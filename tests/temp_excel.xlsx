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redecnpq-my.sharepoint.com/personal/alberto_silva_cnpq_br/Documents/Chamadas/PCI/2026/Comitê Julgador/"/>
    </mc:Choice>
  </mc:AlternateContent>
  <xr:revisionPtr revIDLastSave="149" documentId="11_876DC49BD27944008194B15DDCCC2AA8A40D6048" xr6:coauthVersionLast="47" xr6:coauthVersionMax="47" xr10:uidLastSave="{1B7AF911-8FB0-45DD-A5DD-EE3E313EF5F8}"/>
  <bookViews>
    <workbookView xWindow="-105" yWindow="0" windowWidth="29010" windowHeight="15945" xr2:uid="{00000000-000D-0000-FFFF-FFFF00000000}"/>
  </bookViews>
  <sheets>
    <sheet name="Demanda Bruta" sheetId="1" r:id="rId1"/>
    <sheet name="Planilha1" sheetId="3" r:id="rId2"/>
    <sheet name="Pré-Seleção" sheetId="2" r:id="rId3"/>
  </sheets>
  <externalReferences>
    <externalReference r:id="rId4"/>
  </externalReferences>
  <definedNames>
    <definedName name="_xlnm._FilterDatabase" localSheetId="0" hidden="1">'Demanda Bruta'!$A$1:$BP$458</definedName>
    <definedName name="_xlnm._FilterDatabase" localSheetId="2" hidden="1">'Pré-Seleção'!$A$1:$K$458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3" i="1" l="1"/>
  <c r="BP4" i="1"/>
  <c r="BP5" i="1"/>
  <c r="BP6" i="1"/>
  <c r="BP7" i="1"/>
  <c r="BP8" i="1"/>
  <c r="BP9" i="1"/>
  <c r="BP10" i="1"/>
  <c r="BP11" i="1"/>
  <c r="BP12" i="1"/>
  <c r="BP13" i="1"/>
  <c r="BP14" i="1"/>
  <c r="BP15" i="1"/>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P45" i="1"/>
  <c r="BP46" i="1"/>
  <c r="BP47" i="1"/>
  <c r="BP48" i="1"/>
  <c r="BP49" i="1"/>
  <c r="BP50" i="1"/>
  <c r="BP51" i="1"/>
  <c r="BP52" i="1"/>
  <c r="BP53" i="1"/>
  <c r="BP54" i="1"/>
  <c r="BP55" i="1"/>
  <c r="BP56" i="1"/>
  <c r="BP57" i="1"/>
  <c r="BP58" i="1"/>
  <c r="BP59" i="1"/>
  <c r="BP60" i="1"/>
  <c r="BP61" i="1"/>
  <c r="BP62" i="1"/>
  <c r="BP63" i="1"/>
  <c r="BP64" i="1"/>
  <c r="BP65" i="1"/>
  <c r="BP66" i="1"/>
  <c r="BP67" i="1"/>
  <c r="BP68" i="1"/>
  <c r="BP69" i="1"/>
  <c r="BP70" i="1"/>
  <c r="BP71" i="1"/>
  <c r="BP72" i="1"/>
  <c r="BP73" i="1"/>
  <c r="BP74" i="1"/>
  <c r="BP75" i="1"/>
  <c r="BP76" i="1"/>
  <c r="BP77" i="1"/>
  <c r="BP78" i="1"/>
  <c r="BP79" i="1"/>
  <c r="BP80" i="1"/>
  <c r="BP81" i="1"/>
  <c r="BP82" i="1"/>
  <c r="BP83" i="1"/>
  <c r="BP84" i="1"/>
  <c r="BP85" i="1"/>
  <c r="BP86" i="1"/>
  <c r="BP87" i="1"/>
  <c r="BP88" i="1"/>
  <c r="BP89" i="1"/>
  <c r="BP90" i="1"/>
  <c r="BP91" i="1"/>
  <c r="BP92" i="1"/>
  <c r="BP93" i="1"/>
  <c r="BP94" i="1"/>
  <c r="BP95" i="1"/>
  <c r="BP96" i="1"/>
  <c r="BP97" i="1"/>
  <c r="BP98" i="1"/>
  <c r="BP99" i="1"/>
  <c r="BP100" i="1"/>
  <c r="BP101" i="1"/>
  <c r="BP102" i="1"/>
  <c r="BP103" i="1"/>
  <c r="BP104" i="1"/>
  <c r="BP105" i="1"/>
  <c r="BP106" i="1"/>
  <c r="BP107" i="1"/>
  <c r="BP108" i="1"/>
  <c r="BP109" i="1"/>
  <c r="BP110" i="1"/>
  <c r="BP111" i="1"/>
  <c r="BP112" i="1"/>
  <c r="BP113" i="1"/>
  <c r="BP114" i="1"/>
  <c r="BP115" i="1"/>
  <c r="BP116" i="1"/>
  <c r="BP117" i="1"/>
  <c r="BP118" i="1"/>
  <c r="BP119" i="1"/>
  <c r="BP120" i="1"/>
  <c r="BP121" i="1"/>
  <c r="BP122" i="1"/>
  <c r="BP123" i="1"/>
  <c r="BP124" i="1"/>
  <c r="BP125" i="1"/>
  <c r="BP126" i="1"/>
  <c r="BP127" i="1"/>
  <c r="BP128" i="1"/>
  <c r="BP129" i="1"/>
  <c r="BP130" i="1"/>
  <c r="BP131" i="1"/>
  <c r="BP132" i="1"/>
  <c r="BP133" i="1"/>
  <c r="BP134" i="1"/>
  <c r="BP135" i="1"/>
  <c r="BP136" i="1"/>
  <c r="BP137" i="1"/>
  <c r="BP138" i="1"/>
  <c r="BP139" i="1"/>
  <c r="BP140" i="1"/>
  <c r="BP141" i="1"/>
  <c r="BP142" i="1"/>
  <c r="BP143" i="1"/>
  <c r="BP144" i="1"/>
  <c r="BP145" i="1"/>
  <c r="BP146" i="1"/>
  <c r="BP147" i="1"/>
  <c r="BP148" i="1"/>
  <c r="BP149" i="1"/>
  <c r="BP150" i="1"/>
  <c r="BP151" i="1"/>
  <c r="BP152" i="1"/>
  <c r="BP153" i="1"/>
  <c r="BP154" i="1"/>
  <c r="BP155" i="1"/>
  <c r="BP156" i="1"/>
  <c r="BP157" i="1"/>
  <c r="BP158" i="1"/>
  <c r="BP159" i="1"/>
  <c r="BP160" i="1"/>
  <c r="BP161" i="1"/>
  <c r="BP162" i="1"/>
  <c r="BP163" i="1"/>
  <c r="BP164" i="1"/>
  <c r="BP165" i="1"/>
  <c r="BP166" i="1"/>
  <c r="BP167" i="1"/>
  <c r="BP168" i="1"/>
  <c r="BP169" i="1"/>
  <c r="BP170" i="1"/>
  <c r="BP171" i="1"/>
  <c r="BP172" i="1"/>
  <c r="BP173" i="1"/>
  <c r="BP174" i="1"/>
  <c r="BP175" i="1"/>
  <c r="BP176" i="1"/>
  <c r="BP177" i="1"/>
  <c r="BP178" i="1"/>
  <c r="BP179" i="1"/>
  <c r="BP180" i="1"/>
  <c r="BP181" i="1"/>
  <c r="BP182" i="1"/>
  <c r="BP183" i="1"/>
  <c r="BP184" i="1"/>
  <c r="BP185" i="1"/>
  <c r="BP186" i="1"/>
  <c r="BP187" i="1"/>
  <c r="BP188" i="1"/>
  <c r="BP189" i="1"/>
  <c r="BP190" i="1"/>
  <c r="BP191" i="1"/>
  <c r="BP192" i="1"/>
  <c r="BP193" i="1"/>
  <c r="BP194" i="1"/>
  <c r="BP195" i="1"/>
  <c r="BP196" i="1"/>
  <c r="BP197" i="1"/>
  <c r="BP198" i="1"/>
  <c r="BP199" i="1"/>
  <c r="BP200" i="1"/>
  <c r="BP201" i="1"/>
  <c r="BP202" i="1"/>
  <c r="BP203" i="1"/>
  <c r="BP204" i="1"/>
  <c r="BP205" i="1"/>
  <c r="BP206" i="1"/>
  <c r="BP207" i="1"/>
  <c r="BP208" i="1"/>
  <c r="BP209" i="1"/>
  <c r="BP210" i="1"/>
  <c r="BP211" i="1"/>
  <c r="BP212" i="1"/>
  <c r="BP213" i="1"/>
  <c r="BP214" i="1"/>
  <c r="BP215" i="1"/>
  <c r="BP216" i="1"/>
  <c r="BP217" i="1"/>
  <c r="BP218" i="1"/>
  <c r="BP219" i="1"/>
  <c r="BP220" i="1"/>
  <c r="BP221" i="1"/>
  <c r="BP222" i="1"/>
  <c r="BP223" i="1"/>
  <c r="BP224" i="1"/>
  <c r="BP225" i="1"/>
  <c r="BP226" i="1"/>
  <c r="BP227" i="1"/>
  <c r="BP228" i="1"/>
  <c r="BP229" i="1"/>
  <c r="BP230" i="1"/>
  <c r="BP231" i="1"/>
  <c r="BP232" i="1"/>
  <c r="BP233" i="1"/>
  <c r="BP234" i="1"/>
  <c r="BP235" i="1"/>
  <c r="BP236" i="1"/>
  <c r="BP237" i="1"/>
  <c r="BP238" i="1"/>
  <c r="BP239" i="1"/>
  <c r="BP240" i="1"/>
  <c r="BP241" i="1"/>
  <c r="BP242" i="1"/>
  <c r="BP243" i="1"/>
  <c r="BP244" i="1"/>
  <c r="BP245" i="1"/>
  <c r="BP246" i="1"/>
  <c r="BP247" i="1"/>
  <c r="BP248" i="1"/>
  <c r="BP249" i="1"/>
  <c r="BP250" i="1"/>
  <c r="BP251" i="1"/>
  <c r="BP252" i="1"/>
  <c r="BP253" i="1"/>
  <c r="BP254" i="1"/>
  <c r="BP255" i="1"/>
  <c r="BP256" i="1"/>
  <c r="BP257" i="1"/>
  <c r="BP258" i="1"/>
  <c r="BP259" i="1"/>
  <c r="BP260" i="1"/>
  <c r="BP261" i="1"/>
  <c r="BP262" i="1"/>
  <c r="BP263" i="1"/>
  <c r="BP264" i="1"/>
  <c r="BP265" i="1"/>
  <c r="BP266" i="1"/>
  <c r="BP267" i="1"/>
  <c r="BP268" i="1"/>
  <c r="BP269" i="1"/>
  <c r="BP270" i="1"/>
  <c r="BP271" i="1"/>
  <c r="BP272" i="1"/>
  <c r="BP273" i="1"/>
  <c r="BP274" i="1"/>
  <c r="BP275" i="1"/>
  <c r="BP276" i="1"/>
  <c r="BP277" i="1"/>
  <c r="BP278" i="1"/>
  <c r="BP279" i="1"/>
  <c r="BP280" i="1"/>
  <c r="BP281" i="1"/>
  <c r="BP282" i="1"/>
  <c r="BP283" i="1"/>
  <c r="BP284" i="1"/>
  <c r="BP285" i="1"/>
  <c r="BP286" i="1"/>
  <c r="BP287" i="1"/>
  <c r="BP288" i="1"/>
  <c r="BP289" i="1"/>
  <c r="BP290" i="1"/>
  <c r="BP291" i="1"/>
  <c r="BP292" i="1"/>
  <c r="BP293" i="1"/>
  <c r="BP294" i="1"/>
  <c r="BP295" i="1"/>
  <c r="BP296" i="1"/>
  <c r="BP297" i="1"/>
  <c r="BP298" i="1"/>
  <c r="BP299" i="1"/>
  <c r="BP300" i="1"/>
  <c r="BP301" i="1"/>
  <c r="BP302" i="1"/>
  <c r="BP303" i="1"/>
  <c r="BP304" i="1"/>
  <c r="BP305" i="1"/>
  <c r="BP306" i="1"/>
  <c r="BP307" i="1"/>
  <c r="BP308" i="1"/>
  <c r="BP309" i="1"/>
  <c r="BP310" i="1"/>
  <c r="BP311" i="1"/>
  <c r="BP312" i="1"/>
  <c r="BP313" i="1"/>
  <c r="BP314" i="1"/>
  <c r="BP315" i="1"/>
  <c r="BP316" i="1"/>
  <c r="BP317" i="1"/>
  <c r="BP318" i="1"/>
  <c r="BP319" i="1"/>
  <c r="BP320" i="1"/>
  <c r="BP321" i="1"/>
  <c r="BP322" i="1"/>
  <c r="BP323" i="1"/>
  <c r="BP324" i="1"/>
  <c r="BP325" i="1"/>
  <c r="BP326" i="1"/>
  <c r="BP327" i="1"/>
  <c r="BP328" i="1"/>
  <c r="BP329" i="1"/>
  <c r="BP330" i="1"/>
  <c r="BP331" i="1"/>
  <c r="BP332" i="1"/>
  <c r="BP333" i="1"/>
  <c r="BP334" i="1"/>
  <c r="BP335" i="1"/>
  <c r="BP336" i="1"/>
  <c r="BP337" i="1"/>
  <c r="BP338" i="1"/>
  <c r="BP339" i="1"/>
  <c r="BP340" i="1"/>
  <c r="BP341" i="1"/>
  <c r="BP342" i="1"/>
  <c r="BP343" i="1"/>
  <c r="BP344" i="1"/>
  <c r="BP345" i="1"/>
  <c r="BP346" i="1"/>
  <c r="BP347" i="1"/>
  <c r="BP348" i="1"/>
  <c r="BP349" i="1"/>
  <c r="BP350" i="1"/>
  <c r="BP351" i="1"/>
  <c r="BP352" i="1"/>
  <c r="BP353" i="1"/>
  <c r="BP354" i="1"/>
  <c r="BP355" i="1"/>
  <c r="BP356" i="1"/>
  <c r="BP357" i="1"/>
  <c r="BP358" i="1"/>
  <c r="BP359" i="1"/>
  <c r="BP360" i="1"/>
  <c r="BP361" i="1"/>
  <c r="BP362" i="1"/>
  <c r="BP363" i="1"/>
  <c r="BP364" i="1"/>
  <c r="BP365" i="1"/>
  <c r="BP366" i="1"/>
  <c r="BP367" i="1"/>
  <c r="BP368" i="1"/>
  <c r="BP369" i="1"/>
  <c r="BP370" i="1"/>
  <c r="BP371" i="1"/>
  <c r="BP372" i="1"/>
  <c r="BP373" i="1"/>
  <c r="BP374" i="1"/>
  <c r="BP375" i="1"/>
  <c r="BP376" i="1"/>
  <c r="BP377" i="1"/>
  <c r="BP378" i="1"/>
  <c r="BP379" i="1"/>
  <c r="BP380" i="1"/>
  <c r="BP381" i="1"/>
  <c r="BP382" i="1"/>
  <c r="BP383" i="1"/>
  <c r="BP384" i="1"/>
  <c r="BP385" i="1"/>
  <c r="BP386" i="1"/>
  <c r="BP387" i="1"/>
  <c r="BP388" i="1"/>
  <c r="BP389" i="1"/>
  <c r="BP390" i="1"/>
  <c r="BP391" i="1"/>
  <c r="BP392" i="1"/>
  <c r="BP393" i="1"/>
  <c r="BP394" i="1"/>
  <c r="BP395" i="1"/>
  <c r="BP396" i="1"/>
  <c r="BP397" i="1"/>
  <c r="BP398" i="1"/>
  <c r="BP399" i="1"/>
  <c r="BP400" i="1"/>
  <c r="BP401" i="1"/>
  <c r="BP402" i="1"/>
  <c r="BP403" i="1"/>
  <c r="BP404" i="1"/>
  <c r="BP405" i="1"/>
  <c r="BP406" i="1"/>
  <c r="BP407" i="1"/>
  <c r="BP408" i="1"/>
  <c r="BP409" i="1"/>
  <c r="BP410" i="1"/>
  <c r="BP411" i="1"/>
  <c r="BP412" i="1"/>
  <c r="BP413" i="1"/>
  <c r="BP414" i="1"/>
  <c r="BP415" i="1"/>
  <c r="BP416" i="1"/>
  <c r="BP417" i="1"/>
  <c r="BP418" i="1"/>
  <c r="BP419" i="1"/>
  <c r="BP420" i="1"/>
  <c r="BP421" i="1"/>
  <c r="BP422" i="1"/>
  <c r="BP423" i="1"/>
  <c r="BP424" i="1"/>
  <c r="BP425" i="1"/>
  <c r="BP426" i="1"/>
  <c r="BP427" i="1"/>
  <c r="BP428" i="1"/>
  <c r="BP429" i="1"/>
  <c r="BP430" i="1"/>
  <c r="BP431" i="1"/>
  <c r="BP432" i="1"/>
  <c r="BP433" i="1"/>
  <c r="BP434" i="1"/>
  <c r="BP435" i="1"/>
  <c r="BP436" i="1"/>
  <c r="BP437" i="1"/>
  <c r="BP438" i="1"/>
  <c r="BP439" i="1"/>
  <c r="BP440" i="1"/>
  <c r="BP441" i="1"/>
  <c r="BP442" i="1"/>
  <c r="BP2" i="1"/>
  <c r="J28" i="2"/>
  <c r="K28" i="2" s="1"/>
  <c r="J38" i="2"/>
  <c r="K38" i="2" s="1"/>
  <c r="J115" i="2"/>
  <c r="K115" i="2" s="1"/>
  <c r="J439" i="2"/>
  <c r="K439" i="2" s="1"/>
  <c r="BN439" i="1"/>
  <c r="BM439" i="1"/>
  <c r="BF439" i="1"/>
  <c r="BN115" i="1"/>
  <c r="BM115" i="1"/>
  <c r="BF115" i="1"/>
  <c r="BN38" i="1"/>
  <c r="BM38" i="1"/>
  <c r="BF38" i="1"/>
  <c r="BN28" i="1"/>
  <c r="BM28" i="1"/>
  <c r="BF28" i="1"/>
  <c r="BI442" i="1"/>
  <c r="BF270" i="1"/>
  <c r="J270" i="2" s="1"/>
  <c r="K270" i="2" s="1"/>
  <c r="BF3" i="1"/>
  <c r="J3" i="2" s="1"/>
  <c r="K3" i="2" s="1"/>
  <c r="BF4" i="1"/>
  <c r="J4" i="2" s="1"/>
  <c r="K4" i="2" s="1"/>
  <c r="BF5" i="1"/>
  <c r="J5" i="2" s="1"/>
  <c r="K5" i="2" s="1"/>
  <c r="BF6" i="1"/>
  <c r="J6" i="2" s="1"/>
  <c r="K6" i="2" s="1"/>
  <c r="BF7" i="1"/>
  <c r="J7" i="2" s="1"/>
  <c r="K7" i="2" s="1"/>
  <c r="BF8" i="1"/>
  <c r="J8" i="2" s="1"/>
  <c r="K8" i="2" s="1"/>
  <c r="BF9" i="1"/>
  <c r="J9" i="2" s="1"/>
  <c r="K9" i="2" s="1"/>
  <c r="BF10" i="1"/>
  <c r="J10" i="2" s="1"/>
  <c r="K10" i="2" s="1"/>
  <c r="BF11" i="1"/>
  <c r="J11" i="2" s="1"/>
  <c r="K11" i="2" s="1"/>
  <c r="BF12" i="1"/>
  <c r="J12" i="2" s="1"/>
  <c r="K12" i="2" s="1"/>
  <c r="BF13" i="1"/>
  <c r="J13" i="2" s="1"/>
  <c r="K13" i="2" s="1"/>
  <c r="BF14" i="1"/>
  <c r="J14" i="2" s="1"/>
  <c r="K14" i="2" s="1"/>
  <c r="BF15" i="1"/>
  <c r="J15" i="2" s="1"/>
  <c r="K15" i="2" s="1"/>
  <c r="BF16" i="1"/>
  <c r="J16" i="2" s="1"/>
  <c r="K16" i="2" s="1"/>
  <c r="BF17" i="1"/>
  <c r="J17" i="2" s="1"/>
  <c r="K17" i="2" s="1"/>
  <c r="BF18" i="1"/>
  <c r="J18" i="2" s="1"/>
  <c r="K18" i="2" s="1"/>
  <c r="BF19" i="1"/>
  <c r="J19" i="2" s="1"/>
  <c r="K19" i="2" s="1"/>
  <c r="BF20" i="1"/>
  <c r="J20" i="2" s="1"/>
  <c r="K20" i="2" s="1"/>
  <c r="BF21" i="1"/>
  <c r="J21" i="2" s="1"/>
  <c r="K21" i="2" s="1"/>
  <c r="BF22" i="1"/>
  <c r="J22" i="2" s="1"/>
  <c r="K22" i="2" s="1"/>
  <c r="BF23" i="1"/>
  <c r="J23" i="2" s="1"/>
  <c r="K23" i="2" s="1"/>
  <c r="BF24" i="1"/>
  <c r="J24" i="2" s="1"/>
  <c r="K24" i="2" s="1"/>
  <c r="BF25" i="1"/>
  <c r="J25" i="2" s="1"/>
  <c r="K25" i="2" s="1"/>
  <c r="BF26" i="1"/>
  <c r="J26" i="2" s="1"/>
  <c r="K26" i="2" s="1"/>
  <c r="BF27" i="1"/>
  <c r="J27" i="2" s="1"/>
  <c r="K27" i="2" s="1"/>
  <c r="BF29" i="1"/>
  <c r="J29" i="2" s="1"/>
  <c r="K29" i="2" s="1"/>
  <c r="BF30" i="1"/>
  <c r="J30" i="2" s="1"/>
  <c r="K30" i="2" s="1"/>
  <c r="BF31" i="1"/>
  <c r="J31" i="2" s="1"/>
  <c r="K31" i="2" s="1"/>
  <c r="BF32" i="1"/>
  <c r="J32" i="2" s="1"/>
  <c r="K32" i="2" s="1"/>
  <c r="BF33" i="1"/>
  <c r="J33" i="2" s="1"/>
  <c r="K33" i="2" s="1"/>
  <c r="BF34" i="1"/>
  <c r="J34" i="2" s="1"/>
  <c r="K34" i="2" s="1"/>
  <c r="BF35" i="1"/>
  <c r="J35" i="2" s="1"/>
  <c r="K35" i="2" s="1"/>
  <c r="BF36" i="1"/>
  <c r="J36" i="2" s="1"/>
  <c r="K36" i="2" s="1"/>
  <c r="BF37" i="1"/>
  <c r="J37" i="2" s="1"/>
  <c r="K37" i="2" s="1"/>
  <c r="BF39" i="1"/>
  <c r="J39" i="2" s="1"/>
  <c r="K39" i="2" s="1"/>
  <c r="BF40" i="1"/>
  <c r="J40" i="2" s="1"/>
  <c r="K40" i="2" s="1"/>
  <c r="BF41" i="1"/>
  <c r="J41" i="2" s="1"/>
  <c r="K41" i="2" s="1"/>
  <c r="BF42" i="1"/>
  <c r="J42" i="2" s="1"/>
  <c r="K42" i="2" s="1"/>
  <c r="BF43" i="1"/>
  <c r="J43" i="2" s="1"/>
  <c r="K43" i="2" s="1"/>
  <c r="BF44" i="1"/>
  <c r="J44" i="2" s="1"/>
  <c r="K44" i="2" s="1"/>
  <c r="BF45" i="1"/>
  <c r="J45" i="2" s="1"/>
  <c r="K45" i="2" s="1"/>
  <c r="BF46" i="1"/>
  <c r="J46" i="2" s="1"/>
  <c r="K46" i="2" s="1"/>
  <c r="BF47" i="1"/>
  <c r="J47" i="2" s="1"/>
  <c r="K47" i="2" s="1"/>
  <c r="BF48" i="1"/>
  <c r="J48" i="2" s="1"/>
  <c r="K48" i="2" s="1"/>
  <c r="BF49" i="1"/>
  <c r="J49" i="2" s="1"/>
  <c r="K49" i="2" s="1"/>
  <c r="BF50" i="1"/>
  <c r="J50" i="2" s="1"/>
  <c r="K50" i="2" s="1"/>
  <c r="BF51" i="1"/>
  <c r="J51" i="2" s="1"/>
  <c r="K51" i="2" s="1"/>
  <c r="BF52" i="1"/>
  <c r="J52" i="2" s="1"/>
  <c r="K52" i="2" s="1"/>
  <c r="BF53" i="1"/>
  <c r="J53" i="2" s="1"/>
  <c r="K53" i="2" s="1"/>
  <c r="BF54" i="1"/>
  <c r="J54" i="2" s="1"/>
  <c r="K54" i="2" s="1"/>
  <c r="BF55" i="1"/>
  <c r="J55" i="2" s="1"/>
  <c r="K55" i="2" s="1"/>
  <c r="BF56" i="1"/>
  <c r="J56" i="2" s="1"/>
  <c r="K56" i="2" s="1"/>
  <c r="BF57" i="1"/>
  <c r="J57" i="2" s="1"/>
  <c r="K57" i="2" s="1"/>
  <c r="BF58" i="1"/>
  <c r="J58" i="2" s="1"/>
  <c r="K58" i="2" s="1"/>
  <c r="BF59" i="1"/>
  <c r="J59" i="2" s="1"/>
  <c r="K59" i="2" s="1"/>
  <c r="BF60" i="1"/>
  <c r="J60" i="2" s="1"/>
  <c r="K60" i="2" s="1"/>
  <c r="BF61" i="1"/>
  <c r="J61" i="2" s="1"/>
  <c r="K61" i="2" s="1"/>
  <c r="BF62" i="1"/>
  <c r="J62" i="2" s="1"/>
  <c r="K62" i="2" s="1"/>
  <c r="BF63" i="1"/>
  <c r="J63" i="2" s="1"/>
  <c r="K63" i="2" s="1"/>
  <c r="BF64" i="1"/>
  <c r="J64" i="2" s="1"/>
  <c r="K64" i="2" s="1"/>
  <c r="BF65" i="1"/>
  <c r="J65" i="2" s="1"/>
  <c r="K65" i="2" s="1"/>
  <c r="BF66" i="1"/>
  <c r="J66" i="2" s="1"/>
  <c r="K66" i="2" s="1"/>
  <c r="BF67" i="1"/>
  <c r="J67" i="2" s="1"/>
  <c r="K67" i="2" s="1"/>
  <c r="BF68" i="1"/>
  <c r="J68" i="2" s="1"/>
  <c r="K68" i="2" s="1"/>
  <c r="BF69" i="1"/>
  <c r="J69" i="2" s="1"/>
  <c r="K69" i="2" s="1"/>
  <c r="BF70" i="1"/>
  <c r="J70" i="2" s="1"/>
  <c r="K70" i="2" s="1"/>
  <c r="BF71" i="1"/>
  <c r="J71" i="2" s="1"/>
  <c r="K71" i="2" s="1"/>
  <c r="BF72" i="1"/>
  <c r="J72" i="2" s="1"/>
  <c r="K72" i="2" s="1"/>
  <c r="BF73" i="1"/>
  <c r="J73" i="2" s="1"/>
  <c r="K73" i="2" s="1"/>
  <c r="BF74" i="1"/>
  <c r="J74" i="2" s="1"/>
  <c r="K74" i="2" s="1"/>
  <c r="BF75" i="1"/>
  <c r="J75" i="2" s="1"/>
  <c r="K75" i="2" s="1"/>
  <c r="BF76" i="1"/>
  <c r="J76" i="2" s="1"/>
  <c r="K76" i="2" s="1"/>
  <c r="BF77" i="1"/>
  <c r="J77" i="2" s="1"/>
  <c r="K77" i="2" s="1"/>
  <c r="BF78" i="1"/>
  <c r="J78" i="2" s="1"/>
  <c r="K78" i="2" s="1"/>
  <c r="BF79" i="1"/>
  <c r="J79" i="2" s="1"/>
  <c r="K79" i="2" s="1"/>
  <c r="BF80" i="1"/>
  <c r="J80" i="2" s="1"/>
  <c r="K80" i="2" s="1"/>
  <c r="BF81" i="1"/>
  <c r="J81" i="2" s="1"/>
  <c r="K81" i="2" s="1"/>
  <c r="BF82" i="1"/>
  <c r="J82" i="2" s="1"/>
  <c r="K82" i="2" s="1"/>
  <c r="BF83" i="1"/>
  <c r="J83" i="2" s="1"/>
  <c r="K83" i="2" s="1"/>
  <c r="BF84" i="1"/>
  <c r="J84" i="2" s="1"/>
  <c r="K84" i="2" s="1"/>
  <c r="BF85" i="1"/>
  <c r="J85" i="2" s="1"/>
  <c r="K85" i="2" s="1"/>
  <c r="BF86" i="1"/>
  <c r="J86" i="2" s="1"/>
  <c r="K86" i="2" s="1"/>
  <c r="BF87" i="1"/>
  <c r="J87" i="2" s="1"/>
  <c r="K87" i="2" s="1"/>
  <c r="BF88" i="1"/>
  <c r="J88" i="2" s="1"/>
  <c r="K88" i="2" s="1"/>
  <c r="BF89" i="1"/>
  <c r="J89" i="2" s="1"/>
  <c r="K89" i="2" s="1"/>
  <c r="BF90" i="1"/>
  <c r="J90" i="2" s="1"/>
  <c r="K90" i="2" s="1"/>
  <c r="BF91" i="1"/>
  <c r="J91" i="2" s="1"/>
  <c r="K91" i="2" s="1"/>
  <c r="BF92" i="1"/>
  <c r="J92" i="2" s="1"/>
  <c r="K92" i="2" s="1"/>
  <c r="BF93" i="1"/>
  <c r="J93" i="2" s="1"/>
  <c r="K93" i="2" s="1"/>
  <c r="BF94" i="1"/>
  <c r="J94" i="2" s="1"/>
  <c r="K94" i="2" s="1"/>
  <c r="BF95" i="1"/>
  <c r="J95" i="2" s="1"/>
  <c r="K95" i="2" s="1"/>
  <c r="BF96" i="1"/>
  <c r="J96" i="2" s="1"/>
  <c r="K96" i="2" s="1"/>
  <c r="BF97" i="1"/>
  <c r="J97" i="2" s="1"/>
  <c r="K97" i="2" s="1"/>
  <c r="BF98" i="1"/>
  <c r="J98" i="2" s="1"/>
  <c r="K98" i="2" s="1"/>
  <c r="BF99" i="1"/>
  <c r="J99" i="2" s="1"/>
  <c r="K99" i="2" s="1"/>
  <c r="BF100" i="1"/>
  <c r="J100" i="2" s="1"/>
  <c r="K100" i="2" s="1"/>
  <c r="BF101" i="1"/>
  <c r="J101" i="2" s="1"/>
  <c r="K101" i="2" s="1"/>
  <c r="BF102" i="1"/>
  <c r="J102" i="2" s="1"/>
  <c r="K102" i="2" s="1"/>
  <c r="BF103" i="1"/>
  <c r="J103" i="2" s="1"/>
  <c r="K103" i="2" s="1"/>
  <c r="BF104" i="1"/>
  <c r="J104" i="2" s="1"/>
  <c r="K104" i="2" s="1"/>
  <c r="BF105" i="1"/>
  <c r="J105" i="2" s="1"/>
  <c r="K105" i="2" s="1"/>
  <c r="BF106" i="1"/>
  <c r="J106" i="2" s="1"/>
  <c r="K106" i="2" s="1"/>
  <c r="BF107" i="1"/>
  <c r="J107" i="2" s="1"/>
  <c r="K107" i="2" s="1"/>
  <c r="BF108" i="1"/>
  <c r="J108" i="2" s="1"/>
  <c r="K108" i="2" s="1"/>
  <c r="BF109" i="1"/>
  <c r="J109" i="2" s="1"/>
  <c r="K109" i="2" s="1"/>
  <c r="BF110" i="1"/>
  <c r="J110" i="2" s="1"/>
  <c r="K110" i="2" s="1"/>
  <c r="BF111" i="1"/>
  <c r="J111" i="2" s="1"/>
  <c r="K111" i="2" s="1"/>
  <c r="BF112" i="1"/>
  <c r="J112" i="2" s="1"/>
  <c r="K112" i="2" s="1"/>
  <c r="BF113" i="1"/>
  <c r="J113" i="2" s="1"/>
  <c r="K113" i="2" s="1"/>
  <c r="BF114" i="1"/>
  <c r="J114" i="2" s="1"/>
  <c r="K114" i="2" s="1"/>
  <c r="BF116" i="1"/>
  <c r="J116" i="2" s="1"/>
  <c r="K116" i="2" s="1"/>
  <c r="BF117" i="1"/>
  <c r="J117" i="2" s="1"/>
  <c r="K117" i="2" s="1"/>
  <c r="BF118" i="1"/>
  <c r="J118" i="2" s="1"/>
  <c r="K118" i="2" s="1"/>
  <c r="BF119" i="1"/>
  <c r="J119" i="2" s="1"/>
  <c r="K119" i="2" s="1"/>
  <c r="BF120" i="1"/>
  <c r="J120" i="2" s="1"/>
  <c r="K120" i="2" s="1"/>
  <c r="BF121" i="1"/>
  <c r="J121" i="2" s="1"/>
  <c r="K121" i="2" s="1"/>
  <c r="BF122" i="1"/>
  <c r="J122" i="2" s="1"/>
  <c r="K122" i="2" s="1"/>
  <c r="BF123" i="1"/>
  <c r="J123" i="2" s="1"/>
  <c r="K123" i="2" s="1"/>
  <c r="BF124" i="1"/>
  <c r="J124" i="2" s="1"/>
  <c r="K124" i="2" s="1"/>
  <c r="BF125" i="1"/>
  <c r="J125" i="2" s="1"/>
  <c r="K125" i="2" s="1"/>
  <c r="BF126" i="1"/>
  <c r="J126" i="2" s="1"/>
  <c r="K126" i="2" s="1"/>
  <c r="BF127" i="1"/>
  <c r="J127" i="2" s="1"/>
  <c r="K127" i="2" s="1"/>
  <c r="BF128" i="1"/>
  <c r="J128" i="2" s="1"/>
  <c r="K128" i="2" s="1"/>
  <c r="BF129" i="1"/>
  <c r="J129" i="2" s="1"/>
  <c r="K129" i="2" s="1"/>
  <c r="BF130" i="1"/>
  <c r="J130" i="2" s="1"/>
  <c r="K130" i="2" s="1"/>
  <c r="BF131" i="1"/>
  <c r="J131" i="2" s="1"/>
  <c r="K131" i="2" s="1"/>
  <c r="BF132" i="1"/>
  <c r="J132" i="2" s="1"/>
  <c r="K132" i="2" s="1"/>
  <c r="BF133" i="1"/>
  <c r="J133" i="2" s="1"/>
  <c r="K133" i="2" s="1"/>
  <c r="BF134" i="1"/>
  <c r="J134" i="2" s="1"/>
  <c r="K134" i="2" s="1"/>
  <c r="BF135" i="1"/>
  <c r="J135" i="2" s="1"/>
  <c r="K135" i="2" s="1"/>
  <c r="BF136" i="1"/>
  <c r="J136" i="2" s="1"/>
  <c r="K136" i="2" s="1"/>
  <c r="BF137" i="1"/>
  <c r="J137" i="2" s="1"/>
  <c r="K137" i="2" s="1"/>
  <c r="BF138" i="1"/>
  <c r="J138" i="2" s="1"/>
  <c r="K138" i="2" s="1"/>
  <c r="BF139" i="1"/>
  <c r="J139" i="2" s="1"/>
  <c r="K139" i="2" s="1"/>
  <c r="BF140" i="1"/>
  <c r="J140" i="2" s="1"/>
  <c r="K140" i="2" s="1"/>
  <c r="BF141" i="1"/>
  <c r="J141" i="2" s="1"/>
  <c r="K141" i="2" s="1"/>
  <c r="BF142" i="1"/>
  <c r="J142" i="2" s="1"/>
  <c r="K142" i="2" s="1"/>
  <c r="BF143" i="1"/>
  <c r="J143" i="2" s="1"/>
  <c r="K143" i="2" s="1"/>
  <c r="BF144" i="1"/>
  <c r="J144" i="2" s="1"/>
  <c r="K144" i="2" s="1"/>
  <c r="BF145" i="1"/>
  <c r="J145" i="2" s="1"/>
  <c r="K145" i="2" s="1"/>
  <c r="BF146" i="1"/>
  <c r="J146" i="2" s="1"/>
  <c r="K146" i="2" s="1"/>
  <c r="BF147" i="1"/>
  <c r="J147" i="2" s="1"/>
  <c r="K147" i="2" s="1"/>
  <c r="BF148" i="1"/>
  <c r="J148" i="2" s="1"/>
  <c r="K148" i="2" s="1"/>
  <c r="BF149" i="1"/>
  <c r="J149" i="2" s="1"/>
  <c r="K149" i="2" s="1"/>
  <c r="BF150" i="1"/>
  <c r="J150" i="2" s="1"/>
  <c r="K150" i="2" s="1"/>
  <c r="BF151" i="1"/>
  <c r="J151" i="2" s="1"/>
  <c r="K151" i="2" s="1"/>
  <c r="BF152" i="1"/>
  <c r="J152" i="2" s="1"/>
  <c r="K152" i="2" s="1"/>
  <c r="BF153" i="1"/>
  <c r="J153" i="2" s="1"/>
  <c r="K153" i="2" s="1"/>
  <c r="BF154" i="1"/>
  <c r="J154" i="2" s="1"/>
  <c r="K154" i="2" s="1"/>
  <c r="BF155" i="1"/>
  <c r="J155" i="2" s="1"/>
  <c r="K155" i="2" s="1"/>
  <c r="BF156" i="1"/>
  <c r="J156" i="2" s="1"/>
  <c r="K156" i="2" s="1"/>
  <c r="BF157" i="1"/>
  <c r="J157" i="2" s="1"/>
  <c r="K157" i="2" s="1"/>
  <c r="BF158" i="1"/>
  <c r="J158" i="2" s="1"/>
  <c r="K158" i="2" s="1"/>
  <c r="BF159" i="1"/>
  <c r="J159" i="2" s="1"/>
  <c r="K159" i="2" s="1"/>
  <c r="BF160" i="1"/>
  <c r="J160" i="2" s="1"/>
  <c r="K160" i="2" s="1"/>
  <c r="BF161" i="1"/>
  <c r="J161" i="2" s="1"/>
  <c r="K161" i="2" s="1"/>
  <c r="BF162" i="1"/>
  <c r="J162" i="2" s="1"/>
  <c r="K162" i="2" s="1"/>
  <c r="BF163" i="1"/>
  <c r="J163" i="2" s="1"/>
  <c r="K163" i="2" s="1"/>
  <c r="BF164" i="1"/>
  <c r="J164" i="2" s="1"/>
  <c r="K164" i="2" s="1"/>
  <c r="BF165" i="1"/>
  <c r="J165" i="2" s="1"/>
  <c r="K165" i="2" s="1"/>
  <c r="BF166" i="1"/>
  <c r="J166" i="2" s="1"/>
  <c r="K166" i="2" s="1"/>
  <c r="BF167" i="1"/>
  <c r="J167" i="2" s="1"/>
  <c r="K167" i="2" s="1"/>
  <c r="BF168" i="1"/>
  <c r="J168" i="2" s="1"/>
  <c r="K168" i="2" s="1"/>
  <c r="BF169" i="1"/>
  <c r="J169" i="2" s="1"/>
  <c r="K169" i="2" s="1"/>
  <c r="BF170" i="1"/>
  <c r="J170" i="2" s="1"/>
  <c r="K170" i="2" s="1"/>
  <c r="BF171" i="1"/>
  <c r="J171" i="2" s="1"/>
  <c r="K171" i="2" s="1"/>
  <c r="BF172" i="1"/>
  <c r="J172" i="2" s="1"/>
  <c r="K172" i="2" s="1"/>
  <c r="BF173" i="1"/>
  <c r="J173" i="2" s="1"/>
  <c r="K173" i="2" s="1"/>
  <c r="BF174" i="1"/>
  <c r="J174" i="2" s="1"/>
  <c r="K174" i="2" s="1"/>
  <c r="BF175" i="1"/>
  <c r="J175" i="2" s="1"/>
  <c r="K175" i="2" s="1"/>
  <c r="BF176" i="1"/>
  <c r="J176" i="2" s="1"/>
  <c r="K176" i="2" s="1"/>
  <c r="BF177" i="1"/>
  <c r="J177" i="2" s="1"/>
  <c r="K177" i="2" s="1"/>
  <c r="BF178" i="1"/>
  <c r="J178" i="2" s="1"/>
  <c r="K178" i="2" s="1"/>
  <c r="BF179" i="1"/>
  <c r="J179" i="2" s="1"/>
  <c r="K179" i="2" s="1"/>
  <c r="BF180" i="1"/>
  <c r="J180" i="2" s="1"/>
  <c r="K180" i="2" s="1"/>
  <c r="BF181" i="1"/>
  <c r="J181" i="2" s="1"/>
  <c r="K181" i="2" s="1"/>
  <c r="BF182" i="1"/>
  <c r="J182" i="2" s="1"/>
  <c r="K182" i="2" s="1"/>
  <c r="BF183" i="1"/>
  <c r="J183" i="2" s="1"/>
  <c r="K183" i="2" s="1"/>
  <c r="BF184" i="1"/>
  <c r="J184" i="2" s="1"/>
  <c r="K184" i="2" s="1"/>
  <c r="BF185" i="1"/>
  <c r="J185" i="2" s="1"/>
  <c r="K185" i="2" s="1"/>
  <c r="BF186" i="1"/>
  <c r="J186" i="2" s="1"/>
  <c r="K186" i="2" s="1"/>
  <c r="BF187" i="1"/>
  <c r="J187" i="2" s="1"/>
  <c r="K187" i="2" s="1"/>
  <c r="BF188" i="1"/>
  <c r="J188" i="2" s="1"/>
  <c r="K188" i="2" s="1"/>
  <c r="BF189" i="1"/>
  <c r="J189" i="2" s="1"/>
  <c r="K189" i="2" s="1"/>
  <c r="BF190" i="1"/>
  <c r="J190" i="2" s="1"/>
  <c r="K190" i="2" s="1"/>
  <c r="BF191" i="1"/>
  <c r="J191" i="2" s="1"/>
  <c r="K191" i="2" s="1"/>
  <c r="BF192" i="1"/>
  <c r="J192" i="2" s="1"/>
  <c r="K192" i="2" s="1"/>
  <c r="BF193" i="1"/>
  <c r="J193" i="2" s="1"/>
  <c r="K193" i="2" s="1"/>
  <c r="BF194" i="1"/>
  <c r="J194" i="2" s="1"/>
  <c r="K194" i="2" s="1"/>
  <c r="BF195" i="1"/>
  <c r="J195" i="2" s="1"/>
  <c r="K195" i="2" s="1"/>
  <c r="BF196" i="1"/>
  <c r="J196" i="2" s="1"/>
  <c r="K196" i="2" s="1"/>
  <c r="BF197" i="1"/>
  <c r="J197" i="2" s="1"/>
  <c r="K197" i="2" s="1"/>
  <c r="BF198" i="1"/>
  <c r="J198" i="2" s="1"/>
  <c r="K198" i="2" s="1"/>
  <c r="BF199" i="1"/>
  <c r="J199" i="2" s="1"/>
  <c r="K199" i="2" s="1"/>
  <c r="BF200" i="1"/>
  <c r="J200" i="2" s="1"/>
  <c r="K200" i="2" s="1"/>
  <c r="BF201" i="1"/>
  <c r="J201" i="2" s="1"/>
  <c r="K201" i="2" s="1"/>
  <c r="BF202" i="1"/>
  <c r="J202" i="2" s="1"/>
  <c r="K202" i="2" s="1"/>
  <c r="BF203" i="1"/>
  <c r="J203" i="2" s="1"/>
  <c r="K203" i="2" s="1"/>
  <c r="BF204" i="1"/>
  <c r="J204" i="2" s="1"/>
  <c r="K204" i="2" s="1"/>
  <c r="BF205" i="1"/>
  <c r="J205" i="2" s="1"/>
  <c r="K205" i="2" s="1"/>
  <c r="BF206" i="1"/>
  <c r="J206" i="2" s="1"/>
  <c r="K206" i="2" s="1"/>
  <c r="BF207" i="1"/>
  <c r="J207" i="2" s="1"/>
  <c r="K207" i="2" s="1"/>
  <c r="BF208" i="1"/>
  <c r="J208" i="2" s="1"/>
  <c r="K208" i="2" s="1"/>
  <c r="BF209" i="1"/>
  <c r="J209" i="2" s="1"/>
  <c r="K209" i="2" s="1"/>
  <c r="BF210" i="1"/>
  <c r="J210" i="2" s="1"/>
  <c r="K210" i="2" s="1"/>
  <c r="BF211" i="1"/>
  <c r="J211" i="2" s="1"/>
  <c r="K211" i="2" s="1"/>
  <c r="BF212" i="1"/>
  <c r="J212" i="2" s="1"/>
  <c r="K212" i="2" s="1"/>
  <c r="BF213" i="1"/>
  <c r="J213" i="2" s="1"/>
  <c r="K213" i="2" s="1"/>
  <c r="BF214" i="1"/>
  <c r="J214" i="2" s="1"/>
  <c r="K214" i="2" s="1"/>
  <c r="BF215" i="1"/>
  <c r="J215" i="2" s="1"/>
  <c r="K215" i="2" s="1"/>
  <c r="BF216" i="1"/>
  <c r="J216" i="2" s="1"/>
  <c r="K216" i="2" s="1"/>
  <c r="BF217" i="1"/>
  <c r="J217" i="2" s="1"/>
  <c r="K217" i="2" s="1"/>
  <c r="BF218" i="1"/>
  <c r="J218" i="2" s="1"/>
  <c r="K218" i="2" s="1"/>
  <c r="BF219" i="1"/>
  <c r="J219" i="2" s="1"/>
  <c r="K219" i="2" s="1"/>
  <c r="BF220" i="1"/>
  <c r="J220" i="2" s="1"/>
  <c r="K220" i="2" s="1"/>
  <c r="BF221" i="1"/>
  <c r="J221" i="2" s="1"/>
  <c r="K221" i="2" s="1"/>
  <c r="BF222" i="1"/>
  <c r="J222" i="2" s="1"/>
  <c r="K222" i="2" s="1"/>
  <c r="BF223" i="1"/>
  <c r="J223" i="2" s="1"/>
  <c r="K223" i="2" s="1"/>
  <c r="BF224" i="1"/>
  <c r="J224" i="2" s="1"/>
  <c r="K224" i="2" s="1"/>
  <c r="BF225" i="1"/>
  <c r="J225" i="2" s="1"/>
  <c r="K225" i="2" s="1"/>
  <c r="BF226" i="1"/>
  <c r="J226" i="2" s="1"/>
  <c r="K226" i="2" s="1"/>
  <c r="BF227" i="1"/>
  <c r="J227" i="2" s="1"/>
  <c r="K227" i="2" s="1"/>
  <c r="BF228" i="1"/>
  <c r="J228" i="2" s="1"/>
  <c r="K228" i="2" s="1"/>
  <c r="BF229" i="1"/>
  <c r="J229" i="2" s="1"/>
  <c r="K229" i="2" s="1"/>
  <c r="BF230" i="1"/>
  <c r="J230" i="2" s="1"/>
  <c r="K230" i="2" s="1"/>
  <c r="BF231" i="1"/>
  <c r="J231" i="2" s="1"/>
  <c r="K231" i="2" s="1"/>
  <c r="BF232" i="1"/>
  <c r="J232" i="2" s="1"/>
  <c r="K232" i="2" s="1"/>
  <c r="BF233" i="1"/>
  <c r="J233" i="2" s="1"/>
  <c r="K233" i="2" s="1"/>
  <c r="BF234" i="1"/>
  <c r="J234" i="2" s="1"/>
  <c r="K234" i="2" s="1"/>
  <c r="BF235" i="1"/>
  <c r="J235" i="2" s="1"/>
  <c r="K235" i="2" s="1"/>
  <c r="BF236" i="1"/>
  <c r="J236" i="2" s="1"/>
  <c r="K236" i="2" s="1"/>
  <c r="BF237" i="1"/>
  <c r="J237" i="2" s="1"/>
  <c r="K237" i="2" s="1"/>
  <c r="BF238" i="1"/>
  <c r="J238" i="2" s="1"/>
  <c r="K238" i="2" s="1"/>
  <c r="BF239" i="1"/>
  <c r="J239" i="2" s="1"/>
  <c r="K239" i="2" s="1"/>
  <c r="BF240" i="1"/>
  <c r="J240" i="2" s="1"/>
  <c r="K240" i="2" s="1"/>
  <c r="BF241" i="1"/>
  <c r="J241" i="2" s="1"/>
  <c r="K241" i="2" s="1"/>
  <c r="BF242" i="1"/>
  <c r="J242" i="2" s="1"/>
  <c r="K242" i="2" s="1"/>
  <c r="BF243" i="1"/>
  <c r="J243" i="2" s="1"/>
  <c r="K243" i="2" s="1"/>
  <c r="BF244" i="1"/>
  <c r="J244" i="2" s="1"/>
  <c r="K244" i="2" s="1"/>
  <c r="BF245" i="1"/>
  <c r="J245" i="2" s="1"/>
  <c r="K245" i="2" s="1"/>
  <c r="BF246" i="1"/>
  <c r="J246" i="2" s="1"/>
  <c r="K246" i="2" s="1"/>
  <c r="BF247" i="1"/>
  <c r="J247" i="2" s="1"/>
  <c r="K247" i="2" s="1"/>
  <c r="BF248" i="1"/>
  <c r="J248" i="2" s="1"/>
  <c r="K248" i="2" s="1"/>
  <c r="BF249" i="1"/>
  <c r="J249" i="2" s="1"/>
  <c r="K249" i="2" s="1"/>
  <c r="BF250" i="1"/>
  <c r="J250" i="2" s="1"/>
  <c r="K250" i="2" s="1"/>
  <c r="BF251" i="1"/>
  <c r="J251" i="2" s="1"/>
  <c r="K251" i="2" s="1"/>
  <c r="BF252" i="1"/>
  <c r="J252" i="2" s="1"/>
  <c r="K252" i="2" s="1"/>
  <c r="BF253" i="1"/>
  <c r="J253" i="2" s="1"/>
  <c r="K253" i="2" s="1"/>
  <c r="BF254" i="1"/>
  <c r="J254" i="2" s="1"/>
  <c r="K254" i="2" s="1"/>
  <c r="BF255" i="1"/>
  <c r="J255" i="2" s="1"/>
  <c r="K255" i="2" s="1"/>
  <c r="BF256" i="1"/>
  <c r="J256" i="2" s="1"/>
  <c r="K256" i="2" s="1"/>
  <c r="BF257" i="1"/>
  <c r="J257" i="2" s="1"/>
  <c r="K257" i="2" s="1"/>
  <c r="BF258" i="1"/>
  <c r="J258" i="2" s="1"/>
  <c r="K258" i="2" s="1"/>
  <c r="BF259" i="1"/>
  <c r="BF260" i="1"/>
  <c r="J260" i="2" s="1"/>
  <c r="K260" i="2" s="1"/>
  <c r="BF261" i="1"/>
  <c r="J261" i="2" s="1"/>
  <c r="K261" i="2" s="1"/>
  <c r="BF262" i="1"/>
  <c r="J262" i="2" s="1"/>
  <c r="K262" i="2" s="1"/>
  <c r="BF263" i="1"/>
  <c r="J263" i="2" s="1"/>
  <c r="K263" i="2" s="1"/>
  <c r="BF264" i="1"/>
  <c r="J264" i="2" s="1"/>
  <c r="K264" i="2" s="1"/>
  <c r="BF265" i="1"/>
  <c r="J265" i="2" s="1"/>
  <c r="K265" i="2" s="1"/>
  <c r="BF266" i="1"/>
  <c r="J266" i="2" s="1"/>
  <c r="K266" i="2" s="1"/>
  <c r="BF267" i="1"/>
  <c r="J267" i="2" s="1"/>
  <c r="K267" i="2" s="1"/>
  <c r="BF268" i="1"/>
  <c r="J268" i="2" s="1"/>
  <c r="K268" i="2" s="1"/>
  <c r="BF269" i="1"/>
  <c r="J269" i="2" s="1"/>
  <c r="K269" i="2" s="1"/>
  <c r="BF271" i="1"/>
  <c r="J271" i="2" s="1"/>
  <c r="K271" i="2" s="1"/>
  <c r="BF272" i="1"/>
  <c r="J272" i="2" s="1"/>
  <c r="K272" i="2" s="1"/>
  <c r="BF273" i="1"/>
  <c r="J273" i="2" s="1"/>
  <c r="K273" i="2" s="1"/>
  <c r="BF274" i="1"/>
  <c r="J274" i="2" s="1"/>
  <c r="K274" i="2" s="1"/>
  <c r="BF275" i="1"/>
  <c r="J275" i="2" s="1"/>
  <c r="K275" i="2" s="1"/>
  <c r="BF276" i="1"/>
  <c r="J276" i="2" s="1"/>
  <c r="K276" i="2" s="1"/>
  <c r="BF277" i="1"/>
  <c r="J277" i="2" s="1"/>
  <c r="K277" i="2" s="1"/>
  <c r="BF278" i="1"/>
  <c r="J278" i="2" s="1"/>
  <c r="K278" i="2" s="1"/>
  <c r="BF279" i="1"/>
  <c r="J279" i="2" s="1"/>
  <c r="K279" i="2" s="1"/>
  <c r="BF280" i="1"/>
  <c r="J280" i="2" s="1"/>
  <c r="K280" i="2" s="1"/>
  <c r="BF281" i="1"/>
  <c r="J281" i="2" s="1"/>
  <c r="K281" i="2" s="1"/>
  <c r="BF282" i="1"/>
  <c r="J282" i="2" s="1"/>
  <c r="K282" i="2" s="1"/>
  <c r="BF283" i="1"/>
  <c r="J283" i="2" s="1"/>
  <c r="K283" i="2" s="1"/>
  <c r="BF284" i="1"/>
  <c r="J284" i="2" s="1"/>
  <c r="K284" i="2" s="1"/>
  <c r="BF285" i="1"/>
  <c r="J285" i="2" s="1"/>
  <c r="K285" i="2" s="1"/>
  <c r="BF286" i="1"/>
  <c r="J286" i="2" s="1"/>
  <c r="K286" i="2" s="1"/>
  <c r="BF287" i="1"/>
  <c r="J287" i="2" s="1"/>
  <c r="K287" i="2" s="1"/>
  <c r="BF288" i="1"/>
  <c r="J288" i="2" s="1"/>
  <c r="K288" i="2" s="1"/>
  <c r="BF289" i="1"/>
  <c r="J289" i="2" s="1"/>
  <c r="K289" i="2" s="1"/>
  <c r="BF290" i="1"/>
  <c r="J290" i="2" s="1"/>
  <c r="K290" i="2" s="1"/>
  <c r="BF291" i="1"/>
  <c r="J291" i="2" s="1"/>
  <c r="K291" i="2" s="1"/>
  <c r="BF292" i="1"/>
  <c r="J292" i="2" s="1"/>
  <c r="K292" i="2" s="1"/>
  <c r="BF293" i="1"/>
  <c r="J293" i="2" s="1"/>
  <c r="K293" i="2" s="1"/>
  <c r="BF294" i="1"/>
  <c r="J294" i="2" s="1"/>
  <c r="K294" i="2" s="1"/>
  <c r="BF295" i="1"/>
  <c r="J295" i="2" s="1"/>
  <c r="K295" i="2" s="1"/>
  <c r="BF296" i="1"/>
  <c r="J296" i="2" s="1"/>
  <c r="K296" i="2" s="1"/>
  <c r="BF297" i="1"/>
  <c r="J297" i="2" s="1"/>
  <c r="K297" i="2" s="1"/>
  <c r="BF298" i="1"/>
  <c r="J298" i="2" s="1"/>
  <c r="K298" i="2" s="1"/>
  <c r="BF299" i="1"/>
  <c r="J299" i="2" s="1"/>
  <c r="K299" i="2" s="1"/>
  <c r="BF300" i="1"/>
  <c r="J300" i="2" s="1"/>
  <c r="K300" i="2" s="1"/>
  <c r="BF301" i="1"/>
  <c r="J301" i="2" s="1"/>
  <c r="K301" i="2" s="1"/>
  <c r="BF302" i="1"/>
  <c r="J302" i="2" s="1"/>
  <c r="K302" i="2" s="1"/>
  <c r="BF303" i="1"/>
  <c r="J303" i="2" s="1"/>
  <c r="K303" i="2" s="1"/>
  <c r="BF304" i="1"/>
  <c r="J304" i="2" s="1"/>
  <c r="K304" i="2" s="1"/>
  <c r="BF305" i="1"/>
  <c r="J305" i="2" s="1"/>
  <c r="K305" i="2" s="1"/>
  <c r="BF306" i="1"/>
  <c r="J306" i="2" s="1"/>
  <c r="K306" i="2" s="1"/>
  <c r="BF307" i="1"/>
  <c r="J307" i="2" s="1"/>
  <c r="K307" i="2" s="1"/>
  <c r="BF308" i="1"/>
  <c r="J308" i="2" s="1"/>
  <c r="K308" i="2" s="1"/>
  <c r="BF309" i="1"/>
  <c r="J309" i="2" s="1"/>
  <c r="K309" i="2" s="1"/>
  <c r="BF310" i="1"/>
  <c r="J310" i="2" s="1"/>
  <c r="K310" i="2" s="1"/>
  <c r="BF311" i="1"/>
  <c r="J311" i="2" s="1"/>
  <c r="K311" i="2" s="1"/>
  <c r="BF312" i="1"/>
  <c r="J312" i="2" s="1"/>
  <c r="K312" i="2" s="1"/>
  <c r="BF313" i="1"/>
  <c r="J313" i="2" s="1"/>
  <c r="K313" i="2" s="1"/>
  <c r="BF314" i="1"/>
  <c r="J314" i="2" s="1"/>
  <c r="K314" i="2" s="1"/>
  <c r="BF315" i="1"/>
  <c r="J315" i="2" s="1"/>
  <c r="K315" i="2" s="1"/>
  <c r="BF316" i="1"/>
  <c r="J316" i="2" s="1"/>
  <c r="K316" i="2" s="1"/>
  <c r="BF317" i="1"/>
  <c r="J317" i="2" s="1"/>
  <c r="K317" i="2" s="1"/>
  <c r="BF318" i="1"/>
  <c r="J318" i="2" s="1"/>
  <c r="K318" i="2" s="1"/>
  <c r="BF319" i="1"/>
  <c r="J319" i="2" s="1"/>
  <c r="K319" i="2" s="1"/>
  <c r="BF320" i="1"/>
  <c r="J320" i="2" s="1"/>
  <c r="K320" i="2" s="1"/>
  <c r="BF321" i="1"/>
  <c r="J321" i="2" s="1"/>
  <c r="K321" i="2" s="1"/>
  <c r="BF322" i="1"/>
  <c r="J322" i="2" s="1"/>
  <c r="K322" i="2" s="1"/>
  <c r="BF323" i="1"/>
  <c r="J323" i="2" s="1"/>
  <c r="K323" i="2" s="1"/>
  <c r="BF324" i="1"/>
  <c r="J324" i="2" s="1"/>
  <c r="K324" i="2" s="1"/>
  <c r="BF325" i="1"/>
  <c r="J325" i="2" s="1"/>
  <c r="K325" i="2" s="1"/>
  <c r="BF326" i="1"/>
  <c r="J326" i="2" s="1"/>
  <c r="K326" i="2" s="1"/>
  <c r="BF327" i="1"/>
  <c r="J327" i="2" s="1"/>
  <c r="K327" i="2" s="1"/>
  <c r="BF328" i="1"/>
  <c r="J328" i="2" s="1"/>
  <c r="K328" i="2" s="1"/>
  <c r="BF329" i="1"/>
  <c r="J329" i="2" s="1"/>
  <c r="K329" i="2" s="1"/>
  <c r="BF330" i="1"/>
  <c r="J330" i="2" s="1"/>
  <c r="K330" i="2" s="1"/>
  <c r="BF331" i="1"/>
  <c r="J331" i="2" s="1"/>
  <c r="K331" i="2" s="1"/>
  <c r="BF332" i="1"/>
  <c r="J332" i="2" s="1"/>
  <c r="K332" i="2" s="1"/>
  <c r="BF333" i="1"/>
  <c r="J333" i="2" s="1"/>
  <c r="K333" i="2" s="1"/>
  <c r="BF334" i="1"/>
  <c r="J334" i="2" s="1"/>
  <c r="K334" i="2" s="1"/>
  <c r="BF335" i="1"/>
  <c r="J335" i="2" s="1"/>
  <c r="K335" i="2" s="1"/>
  <c r="BF336" i="1"/>
  <c r="J336" i="2" s="1"/>
  <c r="K336" i="2" s="1"/>
  <c r="BF337" i="1"/>
  <c r="J337" i="2" s="1"/>
  <c r="K337" i="2" s="1"/>
  <c r="BF338" i="1"/>
  <c r="J338" i="2" s="1"/>
  <c r="K338" i="2" s="1"/>
  <c r="BF339" i="1"/>
  <c r="J339" i="2" s="1"/>
  <c r="K339" i="2" s="1"/>
  <c r="BF340" i="1"/>
  <c r="J340" i="2" s="1"/>
  <c r="K340" i="2" s="1"/>
  <c r="BF341" i="1"/>
  <c r="J341" i="2" s="1"/>
  <c r="K341" i="2" s="1"/>
  <c r="BF342" i="1"/>
  <c r="J342" i="2" s="1"/>
  <c r="K342" i="2" s="1"/>
  <c r="BF343" i="1"/>
  <c r="J343" i="2" s="1"/>
  <c r="K343" i="2" s="1"/>
  <c r="BF344" i="1"/>
  <c r="J344" i="2" s="1"/>
  <c r="K344" i="2" s="1"/>
  <c r="BF345" i="1"/>
  <c r="J345" i="2" s="1"/>
  <c r="K345" i="2" s="1"/>
  <c r="BF346" i="1"/>
  <c r="J346" i="2" s="1"/>
  <c r="K346" i="2" s="1"/>
  <c r="BF347" i="1"/>
  <c r="J347" i="2" s="1"/>
  <c r="K347" i="2" s="1"/>
  <c r="BF348" i="1"/>
  <c r="J348" i="2" s="1"/>
  <c r="K348" i="2" s="1"/>
  <c r="BF349" i="1"/>
  <c r="J349" i="2" s="1"/>
  <c r="K349" i="2" s="1"/>
  <c r="BF350" i="1"/>
  <c r="J350" i="2" s="1"/>
  <c r="K350" i="2" s="1"/>
  <c r="BF351" i="1"/>
  <c r="J351" i="2" s="1"/>
  <c r="K351" i="2" s="1"/>
  <c r="BF352" i="1"/>
  <c r="J352" i="2" s="1"/>
  <c r="K352" i="2" s="1"/>
  <c r="BF353" i="1"/>
  <c r="J353" i="2" s="1"/>
  <c r="K353" i="2" s="1"/>
  <c r="BF354" i="1"/>
  <c r="J354" i="2" s="1"/>
  <c r="K354" i="2" s="1"/>
  <c r="BF355" i="1"/>
  <c r="J355" i="2" s="1"/>
  <c r="K355" i="2" s="1"/>
  <c r="BF356" i="1"/>
  <c r="J356" i="2" s="1"/>
  <c r="K356" i="2" s="1"/>
  <c r="BF357" i="1"/>
  <c r="J357" i="2" s="1"/>
  <c r="K357" i="2" s="1"/>
  <c r="BF358" i="1"/>
  <c r="J358" i="2" s="1"/>
  <c r="K358" i="2" s="1"/>
  <c r="BF359" i="1"/>
  <c r="J359" i="2" s="1"/>
  <c r="K359" i="2" s="1"/>
  <c r="BF360" i="1"/>
  <c r="J360" i="2" s="1"/>
  <c r="K360" i="2" s="1"/>
  <c r="BF361" i="1"/>
  <c r="J361" i="2" s="1"/>
  <c r="K361" i="2" s="1"/>
  <c r="BF362" i="1"/>
  <c r="J362" i="2" s="1"/>
  <c r="K362" i="2" s="1"/>
  <c r="BF363" i="1"/>
  <c r="J363" i="2" s="1"/>
  <c r="K363" i="2" s="1"/>
  <c r="BF364" i="1"/>
  <c r="J364" i="2" s="1"/>
  <c r="K364" i="2" s="1"/>
  <c r="BF365" i="1"/>
  <c r="J365" i="2" s="1"/>
  <c r="K365" i="2" s="1"/>
  <c r="BF366" i="1"/>
  <c r="J366" i="2" s="1"/>
  <c r="K366" i="2" s="1"/>
  <c r="BF367" i="1"/>
  <c r="J367" i="2" s="1"/>
  <c r="K367" i="2" s="1"/>
  <c r="BF368" i="1"/>
  <c r="J368" i="2" s="1"/>
  <c r="K368" i="2" s="1"/>
  <c r="BF369" i="1"/>
  <c r="J369" i="2" s="1"/>
  <c r="K369" i="2" s="1"/>
  <c r="BF370" i="1"/>
  <c r="J370" i="2" s="1"/>
  <c r="K370" i="2" s="1"/>
  <c r="BF371" i="1"/>
  <c r="J371" i="2" s="1"/>
  <c r="K371" i="2" s="1"/>
  <c r="BF372" i="1"/>
  <c r="J372" i="2" s="1"/>
  <c r="K372" i="2" s="1"/>
  <c r="BF373" i="1"/>
  <c r="J373" i="2" s="1"/>
  <c r="K373" i="2" s="1"/>
  <c r="BF374" i="1"/>
  <c r="J374" i="2" s="1"/>
  <c r="K374" i="2" s="1"/>
  <c r="BF375" i="1"/>
  <c r="J375" i="2" s="1"/>
  <c r="K375" i="2" s="1"/>
  <c r="BF376" i="1"/>
  <c r="J376" i="2" s="1"/>
  <c r="K376" i="2" s="1"/>
  <c r="BF377" i="1"/>
  <c r="J377" i="2" s="1"/>
  <c r="K377" i="2" s="1"/>
  <c r="BF378" i="1"/>
  <c r="J378" i="2" s="1"/>
  <c r="K378" i="2" s="1"/>
  <c r="BF379" i="1"/>
  <c r="J379" i="2" s="1"/>
  <c r="K379" i="2" s="1"/>
  <c r="BF380" i="1"/>
  <c r="J380" i="2" s="1"/>
  <c r="K380" i="2" s="1"/>
  <c r="BF381" i="1"/>
  <c r="J381" i="2" s="1"/>
  <c r="K381" i="2" s="1"/>
  <c r="BF382" i="1"/>
  <c r="J382" i="2" s="1"/>
  <c r="K382" i="2" s="1"/>
  <c r="BF383" i="1"/>
  <c r="J383" i="2" s="1"/>
  <c r="K383" i="2" s="1"/>
  <c r="BF384" i="1"/>
  <c r="J384" i="2" s="1"/>
  <c r="K384" i="2" s="1"/>
  <c r="BF385" i="1"/>
  <c r="J385" i="2" s="1"/>
  <c r="K385" i="2" s="1"/>
  <c r="BF386" i="1"/>
  <c r="J386" i="2" s="1"/>
  <c r="K386" i="2" s="1"/>
  <c r="BF387" i="1"/>
  <c r="J387" i="2" s="1"/>
  <c r="K387" i="2" s="1"/>
  <c r="BF388" i="1"/>
  <c r="J388" i="2" s="1"/>
  <c r="K388" i="2" s="1"/>
  <c r="BF389" i="1"/>
  <c r="J389" i="2" s="1"/>
  <c r="K389" i="2" s="1"/>
  <c r="BF390" i="1"/>
  <c r="J390" i="2" s="1"/>
  <c r="K390" i="2" s="1"/>
  <c r="BF391" i="1"/>
  <c r="J391" i="2" s="1"/>
  <c r="K391" i="2" s="1"/>
  <c r="BF392" i="1"/>
  <c r="J392" i="2" s="1"/>
  <c r="K392" i="2" s="1"/>
  <c r="BF393" i="1"/>
  <c r="J393" i="2" s="1"/>
  <c r="K393" i="2" s="1"/>
  <c r="BF394" i="1"/>
  <c r="J394" i="2" s="1"/>
  <c r="K394" i="2" s="1"/>
  <c r="BF395" i="1"/>
  <c r="J395" i="2" s="1"/>
  <c r="K395" i="2" s="1"/>
  <c r="BF396" i="1"/>
  <c r="J396" i="2" s="1"/>
  <c r="K396" i="2" s="1"/>
  <c r="BF397" i="1"/>
  <c r="J397" i="2" s="1"/>
  <c r="K397" i="2" s="1"/>
  <c r="BF398" i="1"/>
  <c r="J398" i="2" s="1"/>
  <c r="K398" i="2" s="1"/>
  <c r="BF399" i="1"/>
  <c r="J399" i="2" s="1"/>
  <c r="K399" i="2" s="1"/>
  <c r="BF400" i="1"/>
  <c r="J400" i="2" s="1"/>
  <c r="K400" i="2" s="1"/>
  <c r="BF401" i="1"/>
  <c r="J401" i="2" s="1"/>
  <c r="K401" i="2" s="1"/>
  <c r="BF402" i="1"/>
  <c r="J402" i="2" s="1"/>
  <c r="K402" i="2" s="1"/>
  <c r="BF403" i="1"/>
  <c r="J403" i="2" s="1"/>
  <c r="K403" i="2" s="1"/>
  <c r="BF404" i="1"/>
  <c r="J404" i="2" s="1"/>
  <c r="K404" i="2" s="1"/>
  <c r="BF405" i="1"/>
  <c r="J405" i="2" s="1"/>
  <c r="K405" i="2" s="1"/>
  <c r="BF406" i="1"/>
  <c r="J406" i="2" s="1"/>
  <c r="K406" i="2" s="1"/>
  <c r="BF407" i="1"/>
  <c r="J407" i="2" s="1"/>
  <c r="K407" i="2" s="1"/>
  <c r="BF408" i="1"/>
  <c r="J408" i="2" s="1"/>
  <c r="K408" i="2" s="1"/>
  <c r="BF409" i="1"/>
  <c r="J409" i="2" s="1"/>
  <c r="K409" i="2" s="1"/>
  <c r="BF410" i="1"/>
  <c r="J410" i="2" s="1"/>
  <c r="K410" i="2" s="1"/>
  <c r="BF411" i="1"/>
  <c r="J411" i="2" s="1"/>
  <c r="K411" i="2" s="1"/>
  <c r="BF412" i="1"/>
  <c r="J412" i="2" s="1"/>
  <c r="K412" i="2" s="1"/>
  <c r="BF413" i="1"/>
  <c r="J413" i="2" s="1"/>
  <c r="K413" i="2" s="1"/>
  <c r="BF414" i="1"/>
  <c r="J414" i="2" s="1"/>
  <c r="K414" i="2" s="1"/>
  <c r="BF415" i="1"/>
  <c r="J415" i="2" s="1"/>
  <c r="K415" i="2" s="1"/>
  <c r="BF416" i="1"/>
  <c r="J416" i="2" s="1"/>
  <c r="K416" i="2" s="1"/>
  <c r="BF417" i="1"/>
  <c r="J417" i="2" s="1"/>
  <c r="K417" i="2" s="1"/>
  <c r="BF418" i="1"/>
  <c r="J418" i="2" s="1"/>
  <c r="K418" i="2" s="1"/>
  <c r="BF419" i="1"/>
  <c r="J419" i="2" s="1"/>
  <c r="K419" i="2" s="1"/>
  <c r="BF420" i="1"/>
  <c r="J420" i="2" s="1"/>
  <c r="K420" i="2" s="1"/>
  <c r="BF421" i="1"/>
  <c r="J421" i="2" s="1"/>
  <c r="K421" i="2" s="1"/>
  <c r="BF422" i="1"/>
  <c r="J422" i="2" s="1"/>
  <c r="K422" i="2" s="1"/>
  <c r="BF423" i="1"/>
  <c r="J423" i="2" s="1"/>
  <c r="K423" i="2" s="1"/>
  <c r="BF424" i="1"/>
  <c r="J424" i="2" s="1"/>
  <c r="K424" i="2" s="1"/>
  <c r="BF425" i="1"/>
  <c r="J425" i="2" s="1"/>
  <c r="K425" i="2" s="1"/>
  <c r="BF426" i="1"/>
  <c r="J426" i="2" s="1"/>
  <c r="K426" i="2" s="1"/>
  <c r="BF427" i="1"/>
  <c r="J427" i="2" s="1"/>
  <c r="K427" i="2" s="1"/>
  <c r="BF428" i="1"/>
  <c r="J428" i="2" s="1"/>
  <c r="K428" i="2" s="1"/>
  <c r="BF429" i="1"/>
  <c r="J429" i="2" s="1"/>
  <c r="K429" i="2" s="1"/>
  <c r="BF430" i="1"/>
  <c r="J430" i="2" s="1"/>
  <c r="K430" i="2" s="1"/>
  <c r="BF431" i="1"/>
  <c r="J431" i="2" s="1"/>
  <c r="K431" i="2" s="1"/>
  <c r="BF432" i="1"/>
  <c r="J432" i="2" s="1"/>
  <c r="K432" i="2" s="1"/>
  <c r="BF433" i="1"/>
  <c r="J433" i="2" s="1"/>
  <c r="K433" i="2" s="1"/>
  <c r="BF434" i="1"/>
  <c r="J434" i="2" s="1"/>
  <c r="K434" i="2" s="1"/>
  <c r="BF435" i="1"/>
  <c r="J435" i="2" s="1"/>
  <c r="K435" i="2" s="1"/>
  <c r="BF436" i="1"/>
  <c r="J436" i="2" s="1"/>
  <c r="K436" i="2" s="1"/>
  <c r="BF437" i="1"/>
  <c r="J437" i="2" s="1"/>
  <c r="K437" i="2" s="1"/>
  <c r="BF438" i="1"/>
  <c r="J438" i="2" s="1"/>
  <c r="K438" i="2" s="1"/>
  <c r="BF440" i="1"/>
  <c r="J440" i="2" s="1"/>
  <c r="K440" i="2" s="1"/>
  <c r="BF441" i="1"/>
  <c r="J441" i="2" s="1"/>
  <c r="K441" i="2" s="1"/>
  <c r="BF442" i="1"/>
  <c r="J442" i="2" s="1"/>
  <c r="K442" i="2" s="1"/>
  <c r="BF443" i="1"/>
  <c r="J443" i="2" s="1"/>
  <c r="K443" i="2" s="1"/>
  <c r="BF444" i="1"/>
  <c r="J444" i="2" s="1"/>
  <c r="K444" i="2" s="1"/>
  <c r="BF445" i="1"/>
  <c r="J445" i="2" s="1"/>
  <c r="K445" i="2" s="1"/>
  <c r="BF446" i="1"/>
  <c r="J446" i="2" s="1"/>
  <c r="K446" i="2" s="1"/>
  <c r="BF447" i="1"/>
  <c r="J447" i="2" s="1"/>
  <c r="K447" i="2" s="1"/>
  <c r="BF448" i="1"/>
  <c r="J448" i="2" s="1"/>
  <c r="K448" i="2" s="1"/>
  <c r="BF449" i="1"/>
  <c r="J449" i="2" s="1"/>
  <c r="K449" i="2" s="1"/>
  <c r="BF450" i="1"/>
  <c r="J450" i="2" s="1"/>
  <c r="K450" i="2" s="1"/>
  <c r="BF451" i="1"/>
  <c r="J451" i="2" s="1"/>
  <c r="K451" i="2" s="1"/>
  <c r="BF452" i="1"/>
  <c r="J452" i="2" s="1"/>
  <c r="K452" i="2" s="1"/>
  <c r="BF453" i="1"/>
  <c r="J453" i="2" s="1"/>
  <c r="K453" i="2" s="1"/>
  <c r="BF454" i="1"/>
  <c r="J454" i="2" s="1"/>
  <c r="K454" i="2" s="1"/>
  <c r="BF455" i="1"/>
  <c r="J455" i="2" s="1"/>
  <c r="K455" i="2" s="1"/>
  <c r="BF456" i="1"/>
  <c r="J456" i="2" s="1"/>
  <c r="K456" i="2" s="1"/>
  <c r="BF457" i="1"/>
  <c r="J457" i="2" s="1"/>
  <c r="K457" i="2" s="1"/>
  <c r="BF458" i="1"/>
  <c r="J458" i="2" s="1"/>
  <c r="K458" i="2" s="1"/>
  <c r="BF2" i="1"/>
  <c r="J2" i="2" s="1"/>
  <c r="K2" i="2" s="1"/>
  <c r="J259" i="2" l="1"/>
  <c r="K259" i="2" s="1"/>
</calcChain>
</file>

<file path=xl/sharedStrings.xml><?xml version="1.0" encoding="utf-8"?>
<sst xmlns="http://schemas.openxmlformats.org/spreadsheetml/2006/main" count="25760" uniqueCount="5727">
  <si>
    <t>processo</t>
  </si>
  <si>
    <t>modalidade</t>
  </si>
  <si>
    <t>nivel</t>
  </si>
  <si>
    <t>inicio</t>
  </si>
  <si>
    <t>termino</t>
  </si>
  <si>
    <t>cpf_proponente</t>
  </si>
  <si>
    <t>proponente</t>
  </si>
  <si>
    <t>link_cvlattes_proponente</t>
  </si>
  <si>
    <t>beneficiario</t>
  </si>
  <si>
    <t>orientador_proponente</t>
  </si>
  <si>
    <t>membros_equipe</t>
  </si>
  <si>
    <t>proposta</t>
  </si>
  <si>
    <t>titulo_projeto</t>
  </si>
  <si>
    <t>programa</t>
  </si>
  <si>
    <t>ca</t>
  </si>
  <si>
    <t>grande_area_conhecimento</t>
  </si>
  <si>
    <t>area_conhecimento</t>
  </si>
  <si>
    <t>instituicao_origem</t>
  </si>
  <si>
    <t>instituicao_origem_sigla</t>
  </si>
  <si>
    <t>instituicao_origem_uf</t>
  </si>
  <si>
    <t>instituicao_origem_regiao</t>
  </si>
  <si>
    <t>instituicao_origem_pais</t>
  </si>
  <si>
    <t>instituicao_destino</t>
  </si>
  <si>
    <t>instituicao_destino_sigla</t>
  </si>
  <si>
    <t>instituicao_destino_uf</t>
  </si>
  <si>
    <t>instituicao_destino_regiao</t>
  </si>
  <si>
    <t>instituicao_destino_pais</t>
  </si>
  <si>
    <t>diretoria</t>
  </si>
  <si>
    <t>unidade</t>
  </si>
  <si>
    <t>data_envio</t>
  </si>
  <si>
    <t>hora_envio</t>
  </si>
  <si>
    <t>data_carga</t>
  </si>
  <si>
    <t>hora_carga</t>
  </si>
  <si>
    <t>quantidade_bolsa</t>
  </si>
  <si>
    <t>valor_bolsa</t>
  </si>
  <si>
    <t>valor_custeio</t>
  </si>
  <si>
    <t>valor_capital</t>
  </si>
  <si>
    <t>valor_total</t>
  </si>
  <si>
    <t>instituicao_vinculo</t>
  </si>
  <si>
    <t>sigla_inst_vinculo</t>
  </si>
  <si>
    <t>uf_inst_vinculo</t>
  </si>
  <si>
    <t>regiao_inst_vinculo</t>
  </si>
  <si>
    <t>pais_inst_vinculo</t>
  </si>
  <si>
    <t>id_lattes</t>
  </si>
  <si>
    <t>data_importacao</t>
  </si>
  <si>
    <t>sigla_chamada</t>
  </si>
  <si>
    <t>nome_chamada</t>
  </si>
  <si>
    <t>nome_chamada_arquivo</t>
  </si>
  <si>
    <t>numero_chamada</t>
  </si>
  <si>
    <t>linha_chamada</t>
  </si>
  <si>
    <t>inicio_submissao</t>
  </si>
  <si>
    <t>termino_submissao</t>
  </si>
  <si>
    <t>email</t>
  </si>
  <si>
    <t>Número do Processo</t>
  </si>
  <si>
    <t>Nome do Pesquisador</t>
  </si>
  <si>
    <t>Instituição de Execução do Processo</t>
  </si>
  <si>
    <t>Sigla da Instituição</t>
  </si>
  <si>
    <t>Pré-Selecionado?</t>
  </si>
  <si>
    <t>Instituição Permitida (MCTI)?</t>
  </si>
  <si>
    <t>Ano do Primeiro Doutorado</t>
  </si>
  <si>
    <t>Enviou Carta de Anuência?</t>
  </si>
  <si>
    <t>Faixa/Linha da Proposta</t>
  </si>
  <si>
    <t>Faixa Majoritária da Instituição</t>
  </si>
  <si>
    <t>Faixa Majoritária (=Faixa=ESQUERDA(Majoritária;7))</t>
  </si>
  <si>
    <t>Vínculo com Inst. Executora?</t>
  </si>
  <si>
    <t>Vínculo Executora é Celetista/Estatutário?</t>
  </si>
  <si>
    <t>Vínculos Ativos (Lattes)</t>
  </si>
  <si>
    <t>402356/2026-8</t>
  </si>
  <si>
    <t>APQ</t>
  </si>
  <si>
    <t>46624198087</t>
  </si>
  <si>
    <t>Alexandre Bragio Bonaldo</t>
  </si>
  <si>
    <t>http://lattes.cnpq.br/8721994758453503</t>
  </si>
  <si>
    <t xml:space="preserve">Alexandre Bragio Bonaldo, Antonio Domingos Brescovit, Facundo Martín Labarque, Leonardo Sousa Carvalho, Ivan Luiz Fiorini de Magalhães, Martin Ramirez, Paulo Roberto Pantoja Gomes, Marcos Quintino Drago Bisneto, Cláudio </t>
  </si>
  <si>
    <t xml:space="preserve">Sistemática e taxonomia integrativa de aranhas-soldado e aranhas-raio (Araneae: Corinnidae Karsh, 1880; Theridiosomatidae Simon, 1881) </t>
  </si>
  <si>
    <t>PROGRAMA BASICO DE ZOOLOGIA E RECURSOS PESQUEIROS DE AGUAS INTERIORES</t>
  </si>
  <si>
    <t>ZO</t>
  </si>
  <si>
    <t>Ciências Biológicas</t>
  </si>
  <si>
    <t>Taxonomia dos Grupos Recentes</t>
  </si>
  <si>
    <t>Museu Paraense Emílio Goeldi</t>
  </si>
  <si>
    <t>MPEG</t>
  </si>
  <si>
    <t>PA</t>
  </si>
  <si>
    <t>NO</t>
  </si>
  <si>
    <t>Brasil</t>
  </si>
  <si>
    <t>DCTI</t>
  </si>
  <si>
    <t>COEBI</t>
  </si>
  <si>
    <t>27/06/2026</t>
  </si>
  <si>
    <t>15:54:01</t>
  </si>
  <si>
    <t>15:54:21</t>
  </si>
  <si>
    <t>8721994758453503</t>
  </si>
  <si>
    <t>PCI2026</t>
  </si>
  <si>
    <t>Chamada CNPq/MCTI/FNDCT Nº 12/2026 - Programa PCI</t>
  </si>
  <si>
    <t xml:space="preserve">Chamada: Chamada CNPq/MCTI/FNDCT Nº 12/2026 - Faixa 3: Projetos de Pesquisa vinculados a </t>
  </si>
  <si>
    <t>12/2026</t>
  </si>
  <si>
    <t>Chamada CNPq/MCTI/FNDCT Nº 12/2026 - Faixa 3: Projetos de Pesquisa vinculados a UPs Grandes (acima de 200 servidores)</t>
  </si>
  <si>
    <t>27/04/2026</t>
  </si>
  <si>
    <t>bonaldo@museu-goeldi.br</t>
  </si>
  <si>
    <t>Faixa 3</t>
  </si>
  <si>
    <t>Faixa 3 (24 propostas)</t>
  </si>
  <si>
    <t>- Museu Paraense Emílio Goeldi: (Pesquisador Titular)
- Museu Paraense Emílio Goeldi: (Servidor público - Curador das coleções de Arachnida e Myriapoda)
- Instituto Butantan: (COLABORADOR - Colaborador)
- Universidade Federal do Pará: (COLABORADOR - Professor Pós-Graduação em Zoologia)
- Universidade Federal do Pará: (COLABORADOR - Vice-Coordenador Pós-Graduação Zoologia)
- Universidade Federal do Pará: (COLABORADOR - Coordenador - Programa de PG em Zoologia)
- Museo Argentino de Ciencias Naturales Bernardino Rivadavia: (em branco)</t>
  </si>
  <si>
    <t>400950/2026-0</t>
  </si>
  <si>
    <t>80777376504</t>
  </si>
  <si>
    <t>Alfeu Joãozinho Sguarezi Filho</t>
  </si>
  <si>
    <t>http://lattes.cnpq.br/6603067354811112</t>
  </si>
  <si>
    <t xml:space="preserve">Alfeu Joãozinho Sguarezi Filho, Luis Felipe Normandia Lourenço, Darlan Alexandria Fernandes, Alain Segundo Potts, Jefferson Souza Costa, Yuri de Oliveira Cota, Vitor da Silva Jorge, Angelo dos Santos Lunardi, Marco Estaban Rivera </t>
  </si>
  <si>
    <t>Desenvolvimento de técnicas de controle para um conversor de potência aplicado na integração de fontes de energia renováveis a rede elétrica.</t>
  </si>
  <si>
    <t>PROGRAMA BASICO DE ENGENHARIA ELETRICA</t>
  </si>
  <si>
    <t>EE</t>
  </si>
  <si>
    <t>Engenharias</t>
  </si>
  <si>
    <t>Eletrônica de Potência</t>
  </si>
  <si>
    <t>Universidade Federal do ABC</t>
  </si>
  <si>
    <t>UFABC</t>
  </si>
  <si>
    <t>SP</t>
  </si>
  <si>
    <t>SE</t>
  </si>
  <si>
    <t>COENG</t>
  </si>
  <si>
    <t>08/05/2026</t>
  </si>
  <si>
    <t>10:09:48</t>
  </si>
  <si>
    <t>10:09:55</t>
  </si>
  <si>
    <t>6603067354811112</t>
  </si>
  <si>
    <t>alfeu_sguarezi@yahoo.com.br</t>
  </si>
  <si>
    <t>Faixa 3 (1 propostas)</t>
  </si>
  <si>
    <t>- Universidade Federal do ABC: (Servidor público - Professor Associado IV)
- Sociedade Brasileira de Automática: (Membro comitê - Vice-coordenador Sistemas de Potência)
- Universidade de São Paulo: (Docente PGEE - Docente PPGEE)
- International Federation of Automatic Control: (Membro - Não há.)</t>
  </si>
  <si>
    <t>401867/2026-9</t>
  </si>
  <si>
    <t>02837590703</t>
  </si>
  <si>
    <t>Aline Theodoro Toci</t>
  </si>
  <si>
    <t>http://lattes.cnpq.br/2923907838228544</t>
  </si>
  <si>
    <t>Aline Theodoro Toci, Rodrigo Sequinel, Fernando Augusto de Freitas, Rafaella Costa Bonugli Santos, Mayara Ali Dahrouj, Luana Estefani Knaul, Aldo Sindulfo Barboza Valdez</t>
  </si>
  <si>
    <t>Perfil químico e biológico de canetas emagrecedoras a base de tirzepatida e retatrutida apreendidas na Triplice Fronteira (PY-BR-AR)</t>
  </si>
  <si>
    <t>PROGRAMA BASICO DE QUIMICA</t>
  </si>
  <si>
    <t>QU</t>
  </si>
  <si>
    <t>Ciências Exatas e da Terra</t>
  </si>
  <si>
    <t>Química Analítica</t>
  </si>
  <si>
    <t>Universidade Federal da Integração Latino-Americana</t>
  </si>
  <si>
    <t>UNILA</t>
  </si>
  <si>
    <t>PR</t>
  </si>
  <si>
    <t>SU</t>
  </si>
  <si>
    <t>COCQG</t>
  </si>
  <si>
    <t>23/06/2026</t>
  </si>
  <si>
    <t>12:36:12</t>
  </si>
  <si>
    <t>13:49:10</t>
  </si>
  <si>
    <t>2923907838228544</t>
  </si>
  <si>
    <t>attoci@yahoo.com.br</t>
  </si>
  <si>
    <t>Faixa 3 (4 propostas)</t>
  </si>
  <si>
    <t>- Universidade Federal da Integração Latino-Americana: (Servidor público - Adjunto A)
- Fundação Araucária de Apoio ao Desenvolvimento Científico e Tecnológico: (Membro de comitê assessor)</t>
  </si>
  <si>
    <t>402099/2026-5</t>
  </si>
  <si>
    <t>72842792653</t>
  </si>
  <si>
    <t>Ana Lúcia da Costa Prudente</t>
  </si>
  <si>
    <t>http://lattes.cnpq.br/1008924786363328</t>
  </si>
  <si>
    <t xml:space="preserve">Ana Lúcia da Costa Prudente, Roberta Graboski Mendes, Luciano Nicolás Naka, Kaelle Vaccari Silva Caldeira, Patricia Rodrigues da Silva, João Fabricio de Melo Sarmento, Bruna Mirely da Silva Costa, Giovanna Olivarez Couto </t>
  </si>
  <si>
    <t>Origem e Diversificação de Vertebrados Terrestres na Amazônia: Uma Abordagem Integrativa</t>
  </si>
  <si>
    <t>26/06/2026</t>
  </si>
  <si>
    <t>15:56:04</t>
  </si>
  <si>
    <t>09:52:34</t>
  </si>
  <si>
    <t>1008924786363328</t>
  </si>
  <si>
    <t>prudente@museu-goeldi.br</t>
  </si>
  <si>
    <t>- Museu Paraense Emílio Goeldi: (Servidor público - Pesquisador Titular)</t>
  </si>
  <si>
    <t>401036/2026-0</t>
  </si>
  <si>
    <t>56038496220</t>
  </si>
  <si>
    <t>Ana Lucia M Wanzeller</t>
  </si>
  <si>
    <t>http://lattes.cnpq.br/8983339131944366</t>
  </si>
  <si>
    <t xml:space="preserve">Ana Lucia M Wanzeller, Anderson Bentes de Lima, Ana Cecília Ribeiro Cruz, Ana Claudia da Silva Ribeiro, Joaquim Pinto Nunes Neto, Paula Renata Lima Machado Farias, Lívia Caricio Martins, Livia Medeiros Neves Casseb, Valéria </t>
  </si>
  <si>
    <t>Nanotecnologia farmacêutica aplicada ao desenvolvimento de antivirais contra arbovírus: avaliação in vitro e in vivo de nanoemulsões contendo óleos essenciais da biodiversidade amazônica.</t>
  </si>
  <si>
    <t>PROGRAMA BASICO DE MICROBIOLOGIA</t>
  </si>
  <si>
    <t>MP</t>
  </si>
  <si>
    <t>Virologia</t>
  </si>
  <si>
    <t>Instituto Evandro Chagas</t>
  </si>
  <si>
    <t>IEC</t>
  </si>
  <si>
    <t>COBIO</t>
  </si>
  <si>
    <t>23/05/2026</t>
  </si>
  <si>
    <t>09:22:51</t>
  </si>
  <si>
    <t>09:23:00</t>
  </si>
  <si>
    <t>8983339131944366</t>
  </si>
  <si>
    <t>anawanzeller@iec.gov.br</t>
  </si>
  <si>
    <t>- Instituto Evandro Chagas: (Servidor público - Pesquisadora em Saúde Pública)
- Instituto Evandro Chagas: (Servidor público - Pesquisadora em Saúde Pública)
- Instituto Evandro Chagas: (VICE COORDENAÇÃO PPGV - VICE-COORDENADORA DO PPGV)
- Instituto Evandro Chagas: (em branco)</t>
  </si>
  <si>
    <t>401028/2026-7</t>
  </si>
  <si>
    <t>11464843805</t>
  </si>
  <si>
    <t>Anderson Zanardi de Freitas</t>
  </si>
  <si>
    <t>http://lattes.cnpq.br/7935699829401769</t>
  </si>
  <si>
    <t>Anderson Zanardi de Freitas, Anselmo Sigari Moriscot, Niklaus Ursus Wetter, Patrick Jack Spencer, Daniel Perez Vieira, André Mourão Batista, Martha Simões Ribeiro</t>
  </si>
  <si>
    <t>Capacitação Científica e Tecnológica em Espectroscopia Raman em Nanoescala Aplicada a Sistemas Biológicos</t>
  </si>
  <si>
    <t>PROGRAMA BASICO DE FISICA</t>
  </si>
  <si>
    <t>FA</t>
  </si>
  <si>
    <t xml:space="preserve">Prop. Óticas e Espectrosc. da Mat. Condens; Outras Inter. da </t>
  </si>
  <si>
    <t>COMISSAO NACIONAL DE ENERGIA NUCLEAR</t>
  </si>
  <si>
    <t>CNEN</t>
  </si>
  <si>
    <t>RJ</t>
  </si>
  <si>
    <t>COCEC</t>
  </si>
  <si>
    <t>22/05/2026</t>
  </si>
  <si>
    <t>13:03:36</t>
  </si>
  <si>
    <t>14:04:55</t>
  </si>
  <si>
    <t>7935699829401769</t>
  </si>
  <si>
    <t>freitas.az@gmail.com</t>
  </si>
  <si>
    <t>Faixa 3 (32 propostas)</t>
  </si>
  <si>
    <t>- Instituto de Pesquisas Enegéticas e Nucleares: (Servidor público - Tecnologista)</t>
  </si>
  <si>
    <t>402246/2026-8</t>
  </si>
  <si>
    <t>05462482680</t>
  </si>
  <si>
    <t>Andre Augusto Campagnole dos Santos</t>
  </si>
  <si>
    <t>http://lattes.cnpq.br/4652863024621768</t>
  </si>
  <si>
    <t xml:space="preserve">Andre Augusto Campagnole dos Santos, Graiciany de Paula Barros, Vitor Vasconcelos Araújo Silva, Wesley Cecilio silva, Higor Fabiano Pereira de Castro, Edson Ribeiro, Eduardo Tadeu Stehling Saraiva, Claudio Cunha Lopes, </t>
  </si>
  <si>
    <t>Investigação Numérico-Experimental de Protótipos Fabricados por Manufatura Aditiva para Desenvolvimento e Nacionalização de Componentes de Reatores SMR</t>
  </si>
  <si>
    <t>PROGRAMA BASICO DE ENGENHARIA NUCLEAR</t>
  </si>
  <si>
    <t>EN</t>
  </si>
  <si>
    <t>Transferência de Calor em Reatores</t>
  </si>
  <si>
    <t>COBEN</t>
  </si>
  <si>
    <t>17:25:01</t>
  </si>
  <si>
    <t>10:01:36</t>
  </si>
  <si>
    <t>4652863024621768</t>
  </si>
  <si>
    <t>acampagnole@yahoo.com.br</t>
  </si>
  <si>
    <t>- COMISSAO NACIONAL DE ENERGIA NUCLEAR: (Pesquisador)
- COMISSAO NACIONAL DE ENERGIA NUCLEAR: (Professor - Professor permanente)
- COMISSAO NACIONAL DE ENERGIA NUCLEAR: (Coordenador da pós-graduação - Coordenador da pós-graduação CDTN)
- COMISSAO NACIONAL DE ENERGIA NUCLEAR: (Servidor público - Chefe substituto DIFES - Divisão de Formação)
- Comissão Nacional de Energia Nuclear: (Membro de comitê assessor)</t>
  </si>
  <si>
    <t>402067/2026-6</t>
  </si>
  <si>
    <t>07730923742</t>
  </si>
  <si>
    <t>André dos Santos Bragança Gil</t>
  </si>
  <si>
    <t>http://lattes.cnpq.br/4874787664520093</t>
  </si>
  <si>
    <t>André dos Santos Bragança Gil, Julia Meirelles, Josiane Santana Monteiro, Adriene Mayra da Silva Soares, Jadson José Souza de Oliveira, Bárbara Dunck Oliveira, Flavia Machado Durgante, Caroline da Cruz Vasconcelos</t>
  </si>
  <si>
    <t>Flora e Funga da Floresta Nacional de Caxiuanã: Taxonomia, Fortalecimento de Acervos e Inovação Tecnológica para a Conservação da Biodiversidade Amazônica</t>
  </si>
  <si>
    <t>PROGRAMA BASICO DE BOTANICA</t>
  </si>
  <si>
    <t>BO</t>
  </si>
  <si>
    <t>Taxonomia Vegetal</t>
  </si>
  <si>
    <t>13:06:04</t>
  </si>
  <si>
    <t>09:50:41</t>
  </si>
  <si>
    <t>4874787664520093</t>
  </si>
  <si>
    <t>asbgil@yahoo.com.br</t>
  </si>
  <si>
    <t>- Museu Paraense Emílio Goeldi: (Servidor público - Pesquisador Titular III)
- Universidade Federal Rural da Amazônia/Museu Paraense Emílio Goeldi: (Docente permanente - Professor orientador)
- Instituto Nacional de Pesquisas da Amazônia: (COLABORADOR - Colaborador no projeto HerbSpectra-Amazônia)</t>
  </si>
  <si>
    <t>401115/2026-7</t>
  </si>
  <si>
    <t>02786029678</t>
  </si>
  <si>
    <t>André Luís Silva</t>
  </si>
  <si>
    <t>http://lattes.cnpq.br/3393832875052048</t>
  </si>
  <si>
    <t>André Luís Silva, Pamella Thaís Magalhães Ferreira, Daniel Magalhães Bicalho, André Fonseca Amâncio, Abelard Ramos Fernandes, Saulo Hallah</t>
  </si>
  <si>
    <t>SISTEMA DE DIAGNÓSTICO DE MATURIDADE E SOBREVIVÊNCIA : DESENVOLVIMENTO, DEMONSTRAÇÃO E TRANSFERÊNCIA DE TECNOLOGIA DE GESTÃO PARA INCUBADORAS DE EMPRESAS BRASILEIRAS</t>
  </si>
  <si>
    <t>PROGRAMA BASICO DE ADMINISTRACAO</t>
  </si>
  <si>
    <t>AE</t>
  </si>
  <si>
    <t>Ciências Sociais Aplicadas</t>
  </si>
  <si>
    <t>Administração de Setores Específicos</t>
  </si>
  <si>
    <t>Universidade Federal de Ouro Preto</t>
  </si>
  <si>
    <t>UFOP</t>
  </si>
  <si>
    <t>MG</t>
  </si>
  <si>
    <t>COSAE</t>
  </si>
  <si>
    <t>26/05/2026</t>
  </si>
  <si>
    <t>15:11:21</t>
  </si>
  <si>
    <t>27/05/2026</t>
  </si>
  <si>
    <t>16:56:19</t>
  </si>
  <si>
    <t>3393832875052048</t>
  </si>
  <si>
    <t>andre.silva@ufop.edu.br</t>
  </si>
  <si>
    <t>- Universidade Federal de Ouro Preto: (Servidor público - Professor Associado)
- Parque Tecnológico de Belo Horizonte: (COLABORADOR - Pesquisador)</t>
  </si>
  <si>
    <t>401992/2026-8</t>
  </si>
  <si>
    <t>42437784268</t>
  </si>
  <si>
    <t>Anna Luiza Ilkiu Borges Benkendorff</t>
  </si>
  <si>
    <t>http://lattes.cnpq.br/4847808223159236</t>
  </si>
  <si>
    <t xml:space="preserve">Anna Luiza Ilkiu Borges Benkendorff, Ana Carla Feio dos Santos, Paula Godinho Ribeiro, Fúvio Rubens Oliveira da Silva, Sâmia Batista e Silva, Manolo Cleiton Costa de Freitas, Patricia Magalhães Pereira Silva, Flavia Machado </t>
  </si>
  <si>
    <t>Consolidação da Pesquisa e Inovação do Museu Goeldi na Amazônia: Capacitação Tecnológica para o Manejo e Conservação da FLONA de Caxiuanã</t>
  </si>
  <si>
    <t>Programa Especial de Biotecnologia e Recursos Genéticos - COBRG</t>
  </si>
  <si>
    <t>BI</t>
  </si>
  <si>
    <t>Biotecnologia Ambiental e Recursos Naturais</t>
  </si>
  <si>
    <t>25/06/2026</t>
  </si>
  <si>
    <t>16:33:38</t>
  </si>
  <si>
    <t>16:50:30</t>
  </si>
  <si>
    <t>4847808223159236</t>
  </si>
  <si>
    <t>ilkiu-borges@museu-goeldi.br</t>
  </si>
  <si>
    <t>- Museu Paraense Emílio Goeldi: (Servidor público - Editora Associada de Botânica)
- Museu Paraense Emílio Goeldi: (Servidor público - Pesquisador Titular III)
- Universidade Federal Rural da Amazônia: (Professor da Pós-Graduação)
- Universidade Federal Rural da Amazônia: (COLABORADOR - Coordenadora de Pós-graduação)</t>
  </si>
  <si>
    <t>401313/2026-3</t>
  </si>
  <si>
    <t>87302128715</t>
  </si>
  <si>
    <t>Antônio Carlos de Abreu Mól</t>
  </si>
  <si>
    <t>http://lattes.cnpq.br/1168989222280325</t>
  </si>
  <si>
    <t xml:space="preserve">Antônio Carlos de Abreu Mól, Cláudio Márcio do Nascimento Abreu Pereira, Cláudio Henrique dos Santos Grecco, Paulo Victor Rodrigues de Carvalho, Eugenio Rangel Marins, Ana Paula Legey de Siqueira, Sheila da Silva Ferreira </t>
  </si>
  <si>
    <t>CIDADE VIRTUAL DA CIÊNCIA: METODOLOGIAS EDUCATIVAS PARA POPULARIZAÇÃO DA CIÊNCIA NUCLEAR E FORMAÇÃO DE EDUCADORES</t>
  </si>
  <si>
    <t>Tecnologia dos Reatores</t>
  </si>
  <si>
    <t>Instituto de Engenharia Nuclear</t>
  </si>
  <si>
    <t>IEN/CNEN</t>
  </si>
  <si>
    <t>16/06/2026</t>
  </si>
  <si>
    <t>17:34:33</t>
  </si>
  <si>
    <t>17:34:40</t>
  </si>
  <si>
    <t>1168989222280325</t>
  </si>
  <si>
    <t>antonio.mol@ien.gov.br</t>
  </si>
  <si>
    <t>Faixa 3 (2 propostas)</t>
  </si>
  <si>
    <t>- COMISSAO NACIONAL DE ENERGIA NUCLEAR: (Servidor público - Tecnologista Sênior,)
- COMISSAO NACIONAL DE ENERGIA NUCLEAR: (Servidor público - Pro-Reitor de Ensino)
- COMISSAO NACIONAL DE ENERGIA NUCLEAR: (Servidor público - Chefe de Divisão de Ensino)
- Fundação Carlos Chagas Filho de Amparo à Pesquisa do Estado do RJ: (COLABORADOR - consultor ad hoc (Ciência da Computação))
- Fundação Carlos Chagas Filho de Amparo à Pesquisa do Estado do RJ: (Pesquisador - Jovem Cientista do Estado do RJ)
- Fundação Carlos Chagas Filho de Amparo à Pesquisa do Estado do RJ: (Pesquisador - Coordenador Projeto Pesquisa)
- (CNPq) Conselho Nacional de Desenvolvimento Científico e Tecnológico: (Pesquisador - Coordenador Projeto Pesquisa)
- (CNPq) Conselho Nacional de Desenvolvimento Científico e Tecnológico: (Pesquisador - Acessor Ad-hoc)
- (FAPERJ) Fundação Carlos Chagas Filho de Amparo à Pesq. do Estado do Rio de: (Membro de comitê assessor)
- (UGF) universdade gama filho: (Membro de comitê assessor)
- (UGF) universdade gama filho: (Membro de comitê assessor)
- (CNPq) Conselho Nacional de Desenvolvimento Científico e Tecnológico: (Membro de comitê assessor)
- Centro Universitário Carioca: (CELETISTA - PROFESSOR_TITULAR)
- Universidade Federal do Rio de Janeiro: (COLABORADOR - colaborador)
- Instituto de Ciencia e Tecnologia de Reatores Modulares e Inovadores: (vice-coordenador - Pesquisador)</t>
  </si>
  <si>
    <t>402370/2026-0</t>
  </si>
  <si>
    <t>80900402849</t>
  </si>
  <si>
    <t>Artur Wilson Carbonari</t>
  </si>
  <si>
    <t>http://lattes.cnpq.br/0983858173807551</t>
  </si>
  <si>
    <t xml:space="preserve">Artur Wilson Carbonari, Rajendra Narain Saxena, Frederico Antonio Genezini, Gabriel Adolfo Cabrera Pasca, Ronaldo Domingues Mansano, Levy Scalise Maciel, Wanderson Lobato Ferreira, Luciano Fabrício Dias Pereira, </t>
  </si>
  <si>
    <t>Capacitação Institucional em Tecnologias Nucleares Aplicadas a Semicondutores: Produção de Silício Tipo-N Dopado por Transmutação Neutrônica (NTD) para Dispositivos Fotovoltaicos e Detectores de Radiação de Alta Eficiência</t>
  </si>
  <si>
    <t>Aplicações Industriais de Radioisótopos</t>
  </si>
  <si>
    <t>Instituto de Pesquisas Energéticas e Nucleares</t>
  </si>
  <si>
    <t>IPEN/CNEN</t>
  </si>
  <si>
    <t>17:56:32</t>
  </si>
  <si>
    <t>17:56:38</t>
  </si>
  <si>
    <t>0983858173807551</t>
  </si>
  <si>
    <t>artur.wilson.carbonari@cern.ch</t>
  </si>
  <si>
    <t>Faixa 3 (6 propostas)</t>
  </si>
  <si>
    <t>- Instituto de Pesquisas Energéticas e Nucleares: (Servidor público - PROFESSOR_TITULAR)
- Instituto de Pesquisas Energéticas e Nucleares: (Servidor público - Pesquisador titular U III)
- Conselho Nacional de Desenvolvimento Científico e Tecnológico: (OUTRO - pesquisador 1C)
- Agencia Nacional de Promocion Cientifica y Tecnologica: (OUTRO - Outro (especifique) consultor ad hoc)
- Universidade de São Paulo: (OUTRO - PROFESSOR_TITULAR)
- European Organization for Nuclear Research: (COLABORADOR - Team leader)
- COMISSAO NACIONAL DE ENERGIA NUCLEAR: (em branco)</t>
  </si>
  <si>
    <t>402102/2026-6</t>
  </si>
  <si>
    <t>38692799823</t>
  </si>
  <si>
    <t>Augusto Nobre Gonçalves</t>
  </si>
  <si>
    <t>http://lattes.cnpq.br/1557063709034165</t>
  </si>
  <si>
    <t xml:space="preserve">Augusto Nobre Gonçalves, Victor Leal Fernandes de Mello Pereira, Haline Dugolin Ceccato, Felipe Andre Mayer Silva, Cecília Vianna Pinheiro, Caroline Modica Custódio, Usama Ahmad, Ana Clara de Araujo Sousa, Fabio Ramos </t>
  </si>
  <si>
    <t>Dos poliedros de coordenação aos quasicristais: Desenvolvimento de plataforma computacional para análise da complexidade estrutural de sólidos para inovação em caracterização de minerais estratégicos</t>
  </si>
  <si>
    <t>Programa Basico de Geociência</t>
  </si>
  <si>
    <t>GC</t>
  </si>
  <si>
    <t>Mineralogia</t>
  </si>
  <si>
    <t>Universidade de Brasília</t>
  </si>
  <si>
    <t>UnB</t>
  </si>
  <si>
    <t>DF</t>
  </si>
  <si>
    <t>CO</t>
  </si>
  <si>
    <t>01:43:58</t>
  </si>
  <si>
    <t>09:52:48</t>
  </si>
  <si>
    <t>1557063709034165</t>
  </si>
  <si>
    <t>nobre.augusto@gmail.com</t>
  </si>
  <si>
    <t>- Universidade de Brasília: (Servidor público - Professor Assistente A)</t>
  </si>
  <si>
    <t>401010/2026-0</t>
  </si>
  <si>
    <t>02755828684</t>
  </si>
  <si>
    <t>Bruno Melo Mendes</t>
  </si>
  <si>
    <t>http://lattes.cnpq.br/7016638154017973</t>
  </si>
  <si>
    <t>Bruno Melo Mendes, Tarcisio Passos Ribeiro de Campos, Marco Aurélio de Sousa Lacerda, Bernardo Nunes Borges de Lima, Alberto Mizrahy Campos</t>
  </si>
  <si>
    <t xml:space="preserve"> Investigação da Técnica de Seleção Espectral Ressonante para Produção Radioisotópica e  Redução de Radiotoxicidade de Radionuclideos</t>
  </si>
  <si>
    <t>Produção de Radioisótopos</t>
  </si>
  <si>
    <t>Centro de Desenvolvimento da Tecnologia Nuclear</t>
  </si>
  <si>
    <t>CDTN/CNEN</t>
  </si>
  <si>
    <t>20/05/2026</t>
  </si>
  <si>
    <t>07:22:04</t>
  </si>
  <si>
    <t>12:01:59</t>
  </si>
  <si>
    <t>7016638154017973</t>
  </si>
  <si>
    <t>bmelom@hotmail.com</t>
  </si>
  <si>
    <t>- Centro de Desenvolvimento da Tecnologia Nuclear da CNEN: (Servidor público - Pesquisador)</t>
  </si>
  <si>
    <t>402015/2026-6</t>
  </si>
  <si>
    <t>16515740816</t>
  </si>
  <si>
    <t>Caio Augusto dos Santos Coelho</t>
  </si>
  <si>
    <t>http://lattes.cnpq.br/4978912302419377</t>
  </si>
  <si>
    <t xml:space="preserve">Caio Augusto dos Santos Coelho, Danielson Jorge Delgado Neves, Fabio Pinto da Rocha, Diogo Alessandro Arsego, Jose Alberto da Silva Ferreira, Luciana dos Santos Machado Carvalho, Eduardo Batista de Moraes Barbosa, Andre </t>
  </si>
  <si>
    <t>Fortalecendo o sistema brasileiro de monitoramento e previsão climática para o enfrentamento de adversidades causadas por eventos meteorológicos extremos</t>
  </si>
  <si>
    <t>Programa Basico de Ciências Ambientais</t>
  </si>
  <si>
    <t>CA</t>
  </si>
  <si>
    <t>Climatologia</t>
  </si>
  <si>
    <t>Instituto Nacional de Pesquisas Espaciais</t>
  </si>
  <si>
    <t>INPE</t>
  </si>
  <si>
    <t>COCAM</t>
  </si>
  <si>
    <t>02:16:18</t>
  </si>
  <si>
    <t>02:16:36</t>
  </si>
  <si>
    <t>4978912302419377</t>
  </si>
  <si>
    <t>caio.coelho@inpe.br</t>
  </si>
  <si>
    <t>Faixa 3 (20 propostas)</t>
  </si>
  <si>
    <t>- Instituto Nacional de Pesquisas Espaciais - PA: (Servidor público - Pesquisador)
- Instituto Nacional de Pesquisas Espaciais: (em branco)</t>
  </si>
  <si>
    <t>402012/2026-7</t>
  </si>
  <si>
    <t>05019430641</t>
  </si>
  <si>
    <t>Caleb Guedes Miranda dos Santos</t>
  </si>
  <si>
    <t>http://lattes.cnpq.br/1597761083606654</t>
  </si>
  <si>
    <t xml:space="preserve">Perfil imunofenotípico e multiômico de biomarcadores livres e derivados de vesículas extracelulares induzidos pelo exercício para monitoramento fisiológico em atletas de elite e militares </t>
  </si>
  <si>
    <t>Biotecnologia em Saúde Humana e Animal</t>
  </si>
  <si>
    <t>Instituto de Biologia do Exécito</t>
  </si>
  <si>
    <t>IBEX</t>
  </si>
  <si>
    <t>00:50:44</t>
  </si>
  <si>
    <t>00:50:52</t>
  </si>
  <si>
    <t>1597761083606654</t>
  </si>
  <si>
    <t>calebguedes@gmail.com</t>
  </si>
  <si>
    <t>- Instituto de Biologia do Exécito: (Servidor público - Major Farmaceutico - Pesquisador)</t>
  </si>
  <si>
    <t>402095/2026-0</t>
  </si>
  <si>
    <t>03585876706</t>
  </si>
  <si>
    <t>Camila Cherem Ribas</t>
  </si>
  <si>
    <t>http://lattes.cnpq.br/4928616387172275</t>
  </si>
  <si>
    <t>Camila Cherem Ribas, Andrea Correa Flores Albuquerque, Moysés Mendes de Lima, Roberto Oliveira dos Santos, Inácio de Oliveira Lima Neto, Clausewykson Ribeiro da Cunha</t>
  </si>
  <si>
    <t>Observatório de Repositórios, Integração, Organização e Navegação de Dados Científicos (ORION)</t>
  </si>
  <si>
    <t>PROGRAMA BASICO DE CIENCIA DA COMPUTACAO</t>
  </si>
  <si>
    <t>CC</t>
  </si>
  <si>
    <t>Banco de Dados</t>
  </si>
  <si>
    <t>Instituto Nacional de Pesquisas da Amazônia</t>
  </si>
  <si>
    <t>INPA</t>
  </si>
  <si>
    <t>AM</t>
  </si>
  <si>
    <t>06:50:40</t>
  </si>
  <si>
    <t>09:52:18</t>
  </si>
  <si>
    <t>4928616387172275</t>
  </si>
  <si>
    <t>camilaribas@gmail.com</t>
  </si>
  <si>
    <t>Faixa 3 (15 propostas)</t>
  </si>
  <si>
    <t>- American Museum of Natural History: (Research Associate - Research Associate)
- Instituto Nacional de Pesquisas da Amazônia: (Servidor público - Tecnologista H-III)
- Karlsruher Institut für Technologie: (Pesquisador visitante - Pesquisador visitante - PDE/CNPq)</t>
  </si>
  <si>
    <t>402179/2026-9</t>
  </si>
  <si>
    <t>05137625825</t>
  </si>
  <si>
    <t>Carlos Roberto Jorge Soares</t>
  </si>
  <si>
    <t>http://lattes.cnpq.br/3805602544840562</t>
  </si>
  <si>
    <t xml:space="preserve">Carlos Roberto Jorge Soares, Alvaro Antonio Alencar Queiroz, Cibele Nunes Peroni, Emerson Soares Bernardes, Luís Alberto Pereira Dias, Margareth Mie Nakamura Matsuda, Andrea Glezer, Joao Ezequiel de Oliveira, Daniel Perez </t>
  </si>
  <si>
    <t>Desenvolvimento e Avaliação Teranóstica de Antagonistas do Receptor de Prolactina em Cânceres Prolactino Dependentes</t>
  </si>
  <si>
    <t>Novas Drogas Terapêuticas</t>
  </si>
  <si>
    <t>16:30:51</t>
  </si>
  <si>
    <t>09:57:29</t>
  </si>
  <si>
    <t>3805602544840562</t>
  </si>
  <si>
    <t>crsoares@ipen.br</t>
  </si>
  <si>
    <t>- COMISSAO NACIONAL DE ENERGIA NUCLEAR: (Servidor público - Pesquisador)
- Universidade de São Paulo: (Professor - Responsável por curso de pós-graduação)
- Fundação de Amparo à Pesquisa do Estado da Bahia: (Membro de comitê assessor)
- Coordenação de Aperfeiçoamento de Pessoal de Nível Superior: (Membro de comitê assessor)
- Conselho Nacional de Desenvolvimento Científico e Tecnológico: (Membro de comitê assessor)
- Instituto de Pesquisas Energéticas e Nucleares: (em branco)
- Universidade Estadual de Campinas: (em branco)</t>
  </si>
  <si>
    <t>402215/2026-5</t>
  </si>
  <si>
    <t>16756902865</t>
  </si>
  <si>
    <t>Cecília Chaves Guedes e Silva</t>
  </si>
  <si>
    <t>http://lattes.cnpq.br/3598507725109908</t>
  </si>
  <si>
    <t>Cecília Chaves Guedes e Silva, Dolores Ribeiro Ricci Lazar, Flavio Machado de Souza Carvalho, Thiago dos Santos Ferreira, Anelyse Arata</t>
  </si>
  <si>
    <t>Novas Estratégias no Desenvolvimento de Cerâmicas para a Odontologia: Integração entre Processamento e Desempenho</t>
  </si>
  <si>
    <t>PROGRAMA BASICO DE ENGENHARIA DE MATERIAIS E METALURGIA</t>
  </si>
  <si>
    <t>MM</t>
  </si>
  <si>
    <t>Cerâmicos</t>
  </si>
  <si>
    <t>11:10:44</t>
  </si>
  <si>
    <t>09:59:31</t>
  </si>
  <si>
    <t>3598507725109908</t>
  </si>
  <si>
    <t>ceciliacguedes@gmail.com</t>
  </si>
  <si>
    <t>- Instituto de Pesquisas Energéticas e Nucleares: (Servidor público - Pesquisadora)
- Instituto de Pesquisas Energéticas e Nucleares: (Servidor público - Professor de pós-graduação)
- Instituto de Pesquisas Energéticas e Nucleares: (Servidor público - Membro do comitê de Bolsas PIBIC/PROBIT)
- Fundação de Amparo à Pesquisa do Estado de São Paulo: (Membro de comitê assessor)
- Associação Brasileira de Cerâmica: (COLABORADOR - Membro do Conselho Diretor)</t>
  </si>
  <si>
    <t>402276/2026-4</t>
  </si>
  <si>
    <t>53431685234</t>
  </si>
  <si>
    <t>Charles Eugene Zartman</t>
  </si>
  <si>
    <t>http://lattes.cnpq.br/1704819172861021</t>
  </si>
  <si>
    <t xml:space="preserve">Charles Eugene Zartman, Vania Nobuko Yoshikawa, Dirce Leimi Komura, Maria de Lourdes da Costa Soares Morais, Alberto Vicentini, Mike Hopkins, Matheus Lopes Silva, Ires Paula de Andrade Miranda, Flavia Machado Durgante, </t>
  </si>
  <si>
    <t>BIOCOLABS: Biodiversidade da Flora e Funga Conservada através de Laboratórios da botânica e Aquisição de Bioextratos Amazônicos</t>
  </si>
  <si>
    <t>11:21:19</t>
  </si>
  <si>
    <t>10:03:22</t>
  </si>
  <si>
    <t>1704819172861021</t>
  </si>
  <si>
    <t>chaszartman@gmail.com</t>
  </si>
  <si>
    <t>- Instituto Nacional de Pesquisas da Amazônia: (Orientador - Nucleo permanente PPG-BOT INPA)
- Instituto Nacional de Pesquisas da Amazônia: (Servidor público - Pesquisador Titular III)</t>
  </si>
  <si>
    <t>402243/2026-9</t>
  </si>
  <si>
    <t>09471587824</t>
  </si>
  <si>
    <t>Cláudia Vilega Rodrigues</t>
  </si>
  <si>
    <t>http://lattes.cnpq.br/9527193250756102</t>
  </si>
  <si>
    <t xml:space="preserve">Cláudia Vilega Rodrigues, Carlos Alexandre Wuensche de Souza, Odylio Denys de Aguiar, Ana Carolina Mattiuci Figueiredo, Marina Machado Cunha e Mello, Fernando Falkenberg Marques, Gustavo Henrique da Silva Santos, </t>
  </si>
  <si>
    <t>Da Instrumentação de Fronteira à Análise de Dados Astrofísicos: Integração e Resultados</t>
  </si>
  <si>
    <t>PROGRAMA BASICO DE ASTRONOMIA</t>
  </si>
  <si>
    <t>Processamento de Dados Astronômicos</t>
  </si>
  <si>
    <t>17:43:05</t>
  </si>
  <si>
    <t>10:01:28</t>
  </si>
  <si>
    <t>9527193250756102</t>
  </si>
  <si>
    <t>claudia.rodrigues@inpe.br</t>
  </si>
  <si>
    <t>- Instituto Nacional de Pesquisas Espaciais: (Pesquisador titular)
- Laboratório Nacional de Astrofísica: (COLABORADOR - não há)
- Conselho Nacional de Desenvolvimento Científico e Tecnológico: (Assessor - Nao se aplica)
- International Astronomical Union: (Membro da Comissão B6 - Membro da Comissão B6)
- SOuthern Astrophysical Research Telescope: (Membro do Conselho Diretor - Membro do Conselho Diretor)</t>
  </si>
  <si>
    <t>402298/2026-8</t>
  </si>
  <si>
    <t>27021726600</t>
  </si>
  <si>
    <t>Clédola Cássia Oliveira de Tello</t>
  </si>
  <si>
    <t>http://lattes.cnpq.br/7628216289944686</t>
  </si>
  <si>
    <t xml:space="preserve">Clédola Cássia Oliveira de Tello, Rogerio Pimenta Mourao, Heloisa Maria Santos Oliveira, Jamile Salim Fuina, Daisy Mary Marchezini dos Santos, Maria Judite Afonso Haucz, Thais Braga Teixeira, Isabella Lobo Filgueiras de Miranda </t>
  </si>
  <si>
    <t>Capacitação técnico-científica para o projeto do CENTENA - Centro Tecnológico Nuclear e Ambiental</t>
  </si>
  <si>
    <t>Rejeitos de Combustível Nuclear</t>
  </si>
  <si>
    <t>18:40:07</t>
  </si>
  <si>
    <t>10:04:47</t>
  </si>
  <si>
    <t>7628216289944686</t>
  </si>
  <si>
    <t>tellocc@cdtn.br</t>
  </si>
  <si>
    <t>- COMISSAO NACIONAL DE ENERGIA NUCLEAR: (Servidor público - Tecnologista Senior)
- Associação Brasileira para Desenvolvimento de Atividades Nucleares.: (Membro de comitê assessor)
- Centro de Desenvolvimento da Tecnologia Nuclear: (em branco)</t>
  </si>
  <si>
    <t>402357/2026-4</t>
  </si>
  <si>
    <t>72952229287</t>
  </si>
  <si>
    <t>Cleo Quaresma Dias Júnior</t>
  </si>
  <si>
    <t>http://lattes.cnpq.br/9857237626091379</t>
  </si>
  <si>
    <t xml:space="preserve">Cleo Quaresma Dias Júnior, Luiz Antonio Candido, Aline Corrêa de Sousa, Alderlene Pimentel de Brito, Keila Rêgo Mendes, Israel de Jesus Sampaio Filho, Flávia Regina Capellotto Costa, Bruce Rider Forsberg, Carlos Alberto Nobre </t>
  </si>
  <si>
    <t>Amazônia Central como Hotspot Emergente de Mudanças: Plataforma Integrada de Monitoramento e Modelagem para Estudos de Impactos Hidroclimático e Ambiental</t>
  </si>
  <si>
    <t>Outra</t>
  </si>
  <si>
    <t>Ciências Ambientais</t>
  </si>
  <si>
    <t>15:57:17</t>
  </si>
  <si>
    <t>15:57:32</t>
  </si>
  <si>
    <t>9857237626091379</t>
  </si>
  <si>
    <t>cleo.quaresma@ifpa.edu.br</t>
  </si>
  <si>
    <t>- Instituto Nacional de Pesquisas da Amazônia: (COLABORADOR - Colaborador PPG em Clima e Ambiente)
- Instituto Nacional de Pesquisas da Amazônia: (COLABORADOR - Coordenador da Micrometeorologia do ATTO)
- Instituto Nacional de Pesquisas da Amazônia: (Servidor público - Pesquisador)
- Universidade Federal do Pará: (COLABORADOR - Colaborador PPG em Ciências Ambientais)
- Max-Planck-Institut für Biogeochemie - Jena: (COLABORADOR - Colaborador)
- Universität Leipzig: (COLABORADOR - Colaborador)
- Universidade Federal de Santa Maria: (COLABORADOR - Colaborador)
- Universíade de Taubaté: (COLABORADOR - Colaborador)
- Universidade de São Paulo: (em branco)</t>
  </si>
  <si>
    <t>401137/2026-0</t>
  </si>
  <si>
    <t>13881249800</t>
  </si>
  <si>
    <t>Cléria Mendonça de Moraes</t>
  </si>
  <si>
    <t>http://lattes.cnpq.br/4518337589148307</t>
  </si>
  <si>
    <t xml:space="preserve">Cléria Mendonça de Moraes, Newton Ricardo Pereira Souza, Cecil Albert Boston, Julio Cesar Fraulob Aquino, Beatriz Helena Baldez Vasconcelos, Luciana da Silva Barros, Jackeline da Costa Maciel Silva, Augusto Vicente Ferreira </t>
  </si>
  <si>
    <t>Horto Didático integrado ao Ensino, à Pesquisa e à Inovação de bioprodutos a partir de Plantas Medicinais da Amazônia Setentrional</t>
  </si>
  <si>
    <t>PROGRAMA BASICO DE SAUDE COLETIVA</t>
  </si>
  <si>
    <t>SN</t>
  </si>
  <si>
    <t>Ciências da Saúde</t>
  </si>
  <si>
    <t>Epidemiologia</t>
  </si>
  <si>
    <t>Universidade Federal de Roraima</t>
  </si>
  <si>
    <t>UFRR</t>
  </si>
  <si>
    <t>RR</t>
  </si>
  <si>
    <t>COSAU</t>
  </si>
  <si>
    <t>23:50:44</t>
  </si>
  <si>
    <t>23:50:51</t>
  </si>
  <si>
    <t>4518337589148307</t>
  </si>
  <si>
    <t>clemmsp@gmail.com</t>
  </si>
  <si>
    <t>- Universidade Federal de Roraima: (Servidor público - Professor do Magistério Superior)
- Fundação Oswaldo Cruz: (em branco)</t>
  </si>
  <si>
    <t>401983/2026-9</t>
  </si>
  <si>
    <t>59264594000</t>
  </si>
  <si>
    <t>Cristiano Max Wrasse</t>
  </si>
  <si>
    <t>http://lattes.cnpq.br/2348934439826171</t>
  </si>
  <si>
    <t xml:space="preserve">Cristiano Max Wrasse, Clezio Marcos De Nardin, Delano Gobbi, Diego Barros Silva, Emilia Correia, Fábio Becker Guedes, Jean Carlo Santos, Joaquim Eduardo Rezende Costa, Láysa Cristina Araujo Resende Chagas, Lígia Alves da </t>
  </si>
  <si>
    <t>Desenvolvimento e implementação de produtos de clima espacial para proteção às infraestruturas críticas</t>
  </si>
  <si>
    <t>Geofísica</t>
  </si>
  <si>
    <t>16:13:45</t>
  </si>
  <si>
    <t>16:17:50</t>
  </si>
  <si>
    <t>2348934439826171</t>
  </si>
  <si>
    <t>cristiano.wrasse@gmail.com</t>
  </si>
  <si>
    <t>- Instituto Nacional de Pesquisas Espaciais: (Servidor público - Pesquisador)</t>
  </si>
  <si>
    <t>402263/2026-0</t>
  </si>
  <si>
    <t>48882291200</t>
  </si>
  <si>
    <t>Cristine Bastos do Amarante</t>
  </si>
  <si>
    <t>http://lattes.cnpq.br/4101983776191966</t>
  </si>
  <si>
    <t xml:space="preserve">Cristine Bastos do Amarante, Amilcar Carvalho Mendes, Tarcízio Macedo, José Francisco Berrêdo Reis da Silva, Marcos Paulo Alves de Sousa, Sâmia Batista e Silva, Gerson Valente da Costa, Jose Paulo Sarmento, Lourdes de </t>
  </si>
  <si>
    <t>Fortalecimento do Ecossistema de Inovação do MPEG: estratégias para aumento de TRL e valoração de tecnologias para a bioeconomia e o desenvolvimento regional  INOVAGOELDI</t>
  </si>
  <si>
    <t>Planejamento em Ciência e Tecnologia</t>
  </si>
  <si>
    <t>12:44:09</t>
  </si>
  <si>
    <t>10:02:34</t>
  </si>
  <si>
    <t>4101983776191966</t>
  </si>
  <si>
    <t>cristineamarante@yahoo.com.br</t>
  </si>
  <si>
    <t>- Museu Paraense Emílio Goeldi: (TECNOLOGISTA SÊNIOR)</t>
  </si>
  <si>
    <t>401130/2026-6</t>
  </si>
  <si>
    <t>26807621850</t>
  </si>
  <si>
    <t>Daniel Alexandre Baptista Bonifacio</t>
  </si>
  <si>
    <t>http://lattes.cnpq.br/0153111515550957</t>
  </si>
  <si>
    <t xml:space="preserve">Daniel Alexandre Baptista Bonifacio, Maria da Penha Albuquerque Potiens, Mario Olimpio de Menezes, Orlando Rodrigues Junior, Marcelo Tatit Sapienza, Marcelo Bender Perotoni, Eriki Masahiko Takara, Raphael Elias Diniz, </t>
  </si>
  <si>
    <t>Dosimetria Personalizada para Iodoterapia: Integração de Monitoramento Vestível em Estudo Clínico Piloto</t>
  </si>
  <si>
    <t>Instrumentação para Medida e Controle de Radiação</t>
  </si>
  <si>
    <t>19:15:39</t>
  </si>
  <si>
    <t>19:15:46</t>
  </si>
  <si>
    <t>0153111515550957</t>
  </si>
  <si>
    <t>daniel.bonifacio@ipen.br</t>
  </si>
  <si>
    <t>- COMISSAO NACIONAL DE ENERGIA NUCLEAR: (Servidor público - Pesquisador)
- SOLUCOES E INSTRUMENTACOES AVANCADAS LTDA - ME: (Sócio-fundador - Sócio-fundador)</t>
  </si>
  <si>
    <t>401124/2026-6</t>
  </si>
  <si>
    <t>05426093717</t>
  </si>
  <si>
    <t>Daniel Pedra Adesse</t>
  </si>
  <si>
    <t>http://lattes.cnpq.br/8127213004748485</t>
  </si>
  <si>
    <t xml:space="preserve">Daniel Pedra Adesse, Vladimir Pedro Peralva Borges Martins, Carolina Moreira dos Santos, Andre Luiz Land Curi, Fábio César Sousa Nogueira, Emilly Caroline dos Santos Moraes, Guilherme Andrade de Santana, Gustavo Pinheiro </t>
  </si>
  <si>
    <t>Estratégias terapêuticas antifibróticas baseadas em aptâmeros para reparo retiniano na toxoplasmose ocular</t>
  </si>
  <si>
    <t>PROGRAMA BASICO DE PARASITOLOGIA</t>
  </si>
  <si>
    <t>Protozoologia Parasitária Humana</t>
  </si>
  <si>
    <t>Fundação Oswaldo Cruz</t>
  </si>
  <si>
    <t>FIOCRUZ</t>
  </si>
  <si>
    <t>17:16:04</t>
  </si>
  <si>
    <t>17:16:15</t>
  </si>
  <si>
    <t>8127213004748485</t>
  </si>
  <si>
    <t>adesse@ioc.fiocruz.br</t>
  </si>
  <si>
    <t>Faixa 3 (3 propostas)</t>
  </si>
  <si>
    <t>- Fundação Oswaldo Cruz: (Servidor público - Pesquisador Titular)
- Sociedade Brasileira de Protozoologia: (Membro Ordinário - Membro Ordinário)</t>
  </si>
  <si>
    <t>401125/2026-2</t>
  </si>
  <si>
    <t xml:space="preserve">Daniel Pedra Adesse, Vladimir Pedro Peralva Borges Martins, Carolina Moreira dos Santos, Andre Luiz Land Curi, Emilly Caroline dos Santos Moraes, Guilherme Andrade de Santana, Gustavo Pinheiro de Araujo, Hilda Petrs Silva, </t>
  </si>
  <si>
    <t>16:28:18</t>
  </si>
  <si>
    <t>17:20:26</t>
  </si>
  <si>
    <t>402373/2026-0</t>
  </si>
  <si>
    <t>36893266804</t>
  </si>
  <si>
    <t>Daniela Aparecida Ferreira</t>
  </si>
  <si>
    <t>http://lattes.cnpq.br/7495449835021676</t>
  </si>
  <si>
    <t xml:space="preserve">Daniela Aparecida Ferreira, Diogo Menezes Costa, Edithe da Silva Pereira, Scott Joseph Allen, Erêndira Oliveira, Juliane Roberta Chaves e Chaves, Lígia Carla Albino Marigliani, Jamily Barros Macedo, Camila Rosa do Nascimento </t>
  </si>
  <si>
    <t>Arqueologia das relações globais na Amazônia: consolidação de competências científicas, redes de colaboração e formação de novos pesquisadores</t>
  </si>
  <si>
    <t>PROGRAMA BASICO DE ARQUEOLOGIA</t>
  </si>
  <si>
    <t>CS</t>
  </si>
  <si>
    <t>Ciências Humanas</t>
  </si>
  <si>
    <t>Arqueologia Histórica</t>
  </si>
  <si>
    <t>18:07:53</t>
  </si>
  <si>
    <t>18:07:58</t>
  </si>
  <si>
    <t>7495449835021676</t>
  </si>
  <si>
    <t>ferreiraapdaniela@gmail.com</t>
  </si>
  <si>
    <t>- Universidade Federal de Pernambuco: (COLABORADOR - Pesquisadora)
- Universidade Federal do Oeste do Pará: (COLABORADOR - Pesquisadora)
- Universidade Federal do Oeste do Pará: (COLABORADOR - Estágio pós-doutoral)
- Universidade Federal do Pará: (em branco)
- Museu Paraense Emílio Goeldi: (Servidor público - Pesquisadora)</t>
  </si>
  <si>
    <t>401842/2026-6</t>
  </si>
  <si>
    <t>03223856609</t>
  </si>
  <si>
    <t>Danielle Palma de Oliveira</t>
  </si>
  <si>
    <t>http://lattes.cnpq.br/4347006311423350</t>
  </si>
  <si>
    <t>Danielle Palma de Oliveira, Flavia Renata Abe, Arthur Lima de Oliveira, Andréia Machado Leopoldino, Jaime Eduardo Cecilio Hallak</t>
  </si>
  <si>
    <t>Desenvolvimento de uma plataforma de edição gênica por CRISPR-Cas9 em zebrafish para aplicações translacionais biotecnológicas e de neurofenotipagem</t>
  </si>
  <si>
    <t>PROGRAMA BASICO DE FARMACIA</t>
  </si>
  <si>
    <t>FR</t>
  </si>
  <si>
    <t>Avaliação e analises toxicológicas</t>
  </si>
  <si>
    <t>Universidade de São Paulo</t>
  </si>
  <si>
    <t>USP</t>
  </si>
  <si>
    <t>22/06/2026</t>
  </si>
  <si>
    <t>13:32:39</t>
  </si>
  <si>
    <t>13:32:55</t>
  </si>
  <si>
    <t>4347006311423350</t>
  </si>
  <si>
    <t>oemaildadani@gmail.com</t>
  </si>
  <si>
    <t>- FACULDADE DE CIÊNCIAS FARMACÊUTICAS DE RIBEIRÃO PRETO: (Servidor público - Professor Associado)
- Universidade Estadual Paulista Júlio de Mesquita Filho: (COLABORADOR - colaborador)
- Altox - assessoria Lider em Toxicologia: (consultora - atividade de consultoria)
- Hispanic Organization of Toxicologists: (conselheira - Board councilor 2025 - 2026)</t>
  </si>
  <si>
    <t>401212/2026-2</t>
  </si>
  <si>
    <t>07510402824</t>
  </si>
  <si>
    <t>Denise Maria Zezell</t>
  </si>
  <si>
    <t>http://lattes.cnpq.br/3524890504250775</t>
  </si>
  <si>
    <t>Denise Maria Zezell, Elaine Bortoleti de Araújo, Emerson Soares Bernardes, Joaquim Cezar Felipe, Leandro Luongo de Matos</t>
  </si>
  <si>
    <t>Capacitação Institucional em biofotônica, imagem hiperespectral e inteligência  artificial para avaliação de tecidos biológicos e resposta a terapias radiofarmacêuticas</t>
  </si>
  <si>
    <t>10/06/2026</t>
  </si>
  <si>
    <t>12:56:12</t>
  </si>
  <si>
    <t>12:56:28</t>
  </si>
  <si>
    <t>3524890504250775</t>
  </si>
  <si>
    <t>zezell@gmail.com</t>
  </si>
  <si>
    <t>- COMISSAO NACIONAL DE ENERGIA NUCLEAR: (Pesquisadora Titular)
- COMISSAO NACIONAL DE ENERGIA NUCLEAR: (Servidor público - Coordenadora de Programa de Pós-Graduação)
- Universidade de São Paulo: (COLABORADOR - Outro (docente do PPG Tecnologia Nuclear))
- Instituto de Pesquisas Energéticas Nucleares: (Servidor público - Pesquisadora Titular)
- Instituto de Pesquisas Energéticas Nucleares: (Servidor público - Coordenadora da Pós-graduaçao Profiissional)
- Fundação de Amparo à Ciência e Tecnologia do Estado de Pernambuco: (Membro de comitê assessor)
- Optical Society of America: (Membro de comitê assessor)
- Optical Society of America: (Membro de comitê assessor)
- Third Word Academy of Sciences: (Membro de comitê assessor)
- Universidade Federal de Pernambuco: (em branco)
- Ministerio de Ciência, Tecnologia e Inovações: (Membro de comitê assessor)
- Ministerio de Ciência, Tecnologia e Inovações: (Membro de comitê assessor)
- Fundação de Amparo à Pesquisa do Estado de Minas Gerais: (Membro de comitê assessor)
- Hospital das Clínicas da Faculdade de Medicina da USP: (em branco)
- Ministério da Ciência, Tecnologia e Inovações: (Servidor público - BRICS Working Group of Photonics)
- Ministério da Ciência, Tecnologia e Inovações: (Servidor público - Membro CCFOTO Comissão Consultiva de Fotônica)</t>
  </si>
  <si>
    <t>402412/2026-5</t>
  </si>
  <si>
    <t>61990817220</t>
  </si>
  <si>
    <t>Diana Cruz Rodrigues</t>
  </si>
  <si>
    <t>http://lattes.cnpq.br/8998988531329512</t>
  </si>
  <si>
    <t>Diana Cruz Rodrigues, Ana Vilacy Moreira Galucio, Helena Pinto Lima, Sâmia Batista e Silva, Tarcízio Macedo, Mayara Larrys Gomes de Assis Nogueira, Dávila Suelen Souza Corrêa, Sandra Rufino</t>
  </si>
  <si>
    <t>Observatório de Tecnologia Social da Amazônia</t>
  </si>
  <si>
    <t>23:52:48</t>
  </si>
  <si>
    <t>23:52:55</t>
  </si>
  <si>
    <t>8998988531329512</t>
  </si>
  <si>
    <t>dicruzrodrigues@gmail.com</t>
  </si>
  <si>
    <t>- Museu Paraense Emílio Goeldi: (Servidor público - Tecnologista)
- Universidade da Amazônia: (CELETISTA - Professora)
- Universidade Federal do Pará: (COLABORADOR - Membro de projeto de pesquisa)
- Universidade Federal Rural da Amazônia: (Pesquisadora voluntária - Membro de projeto de pesquisa)
- Associação Brasileira de Ensino, Pesquisa e Extensão em Tecnologia Social: (Voluntária - Coordenadora da Regional Norte)</t>
  </si>
  <si>
    <t>401868/2026-5</t>
  </si>
  <si>
    <t>02277747874</t>
  </si>
  <si>
    <t>Dolores Ribeiro Ricci Lazar</t>
  </si>
  <si>
    <t>http://lattes.cnpq.br/4289995849705434</t>
  </si>
  <si>
    <t xml:space="preserve">Dolores Ribeiro Ricci Lazar, Anderson Zanardi de Freitas, Carlos Roberto Jorge Soares, Cecília Chaves Guedes e Silva, Larissa Otubo, Flavio Machado de Souza Carvalho, Martha Simões Ribeiro, Niklaus Ursus Wetter, Ricardo </t>
  </si>
  <si>
    <t>MXenos e seus compósitos: síntese, processamento e aplicações em saúde e energia</t>
  </si>
  <si>
    <t>11:43:39</t>
  </si>
  <si>
    <t>13:49:18</t>
  </si>
  <si>
    <t>4289995849705434</t>
  </si>
  <si>
    <t>drlazar@gmail.com</t>
  </si>
  <si>
    <t>- COMISSAO NACIONAL DE ENERGIA NUCLEAR: (Servidor público - Pesquisador)
- Universidade de São Paulo: (Professor de Pós-Graduação - Docente do Programa de Tecnologia Nuclear)</t>
  </si>
  <si>
    <t>402379/2026-8</t>
  </si>
  <si>
    <t>05666762818</t>
  </si>
  <si>
    <t>Duclerc Fernandes Parra</t>
  </si>
  <si>
    <t>http://lattes.cnpq.br/1691114842151172</t>
  </si>
  <si>
    <t>Duclerc Fernandes Parra, Clotilde Coppini Pereira</t>
  </si>
  <si>
    <t>Uso da Radiação Ionizante para Avaliação da Degradação na Formação de Microplásticos em Filmes Agrícolas Biodegradáveis</t>
  </si>
  <si>
    <t>Materiais Não-Metálicos</t>
  </si>
  <si>
    <t>19:09:32</t>
  </si>
  <si>
    <t>19:09:40</t>
  </si>
  <si>
    <t>1691114842151172</t>
  </si>
  <si>
    <t>parduclerc@yahoo.com.br</t>
  </si>
  <si>
    <t>- COMISSAO NACIONAL DE ENERGIA NUCLEAR: (Servidor público - Pesquisador Adjunto)</t>
  </si>
  <si>
    <t>402307/2026-7</t>
  </si>
  <si>
    <t>97108030772</t>
  </si>
  <si>
    <t>Eliane D Elia</t>
  </si>
  <si>
    <t>http://lattes.cnpq.br/2739863135439867</t>
  </si>
  <si>
    <t xml:space="preserve">Eliane D Elia, Victor Magno Paiva, Erica Cristina de Fatima Teixeira Machado de Melo, Fellipe dos Santos Pereira, Iris Gonçalves da Silva Moreira, Annelise Casellato, Emerson Schwingel Ribeiro, Natasha Midori Suguihiro, Marco </t>
  </si>
  <si>
    <t>Desenvolvimento de Pontos Quânticos de Carbono a partir de Biomassa para Aplicações Estratégicas em Proteção de Materiais, Sustentabilidade Industrial e Valorização de CO2;</t>
  </si>
  <si>
    <t>Corrosão</t>
  </si>
  <si>
    <t>Universidade Federal do Rio de Janeiro</t>
  </si>
  <si>
    <t>UFRJ</t>
  </si>
  <si>
    <t>11:05:46</t>
  </si>
  <si>
    <t>11:05:51</t>
  </si>
  <si>
    <t>2739863135439867</t>
  </si>
  <si>
    <t>eliane@iq.ufrj.br</t>
  </si>
  <si>
    <t>- Universidade Federal do Rio de Janeiro: (Servidor público - PROFESSOR_TITULAR)
- UFRJ: (em branco)</t>
  </si>
  <si>
    <t>402100/2026-3</t>
  </si>
  <si>
    <t>14671860821</t>
  </si>
  <si>
    <t>Elisabete Inacio Santiago</t>
  </si>
  <si>
    <t>http://lattes.cnpq.br/4409120770460899</t>
  </si>
  <si>
    <t>Elisabete Inacio Santiago, Almir Oliveira Neto, Fabio Coral Fonseca, Estevam Vitorio Spinacé</t>
  </si>
  <si>
    <t xml:space="preserve">Capacitação institucional em novas energias: contribuindo com uma transição energética sustentável </t>
  </si>
  <si>
    <t>Programa Básico de Engenharia de Energia</t>
  </si>
  <si>
    <t xml:space="preserve">Sistemas Híbridos e Sistemas Não-convencionais de </t>
  </si>
  <si>
    <t>13:47:15</t>
  </si>
  <si>
    <t>09:52:38</t>
  </si>
  <si>
    <t>4409120770460899</t>
  </si>
  <si>
    <t>elisabete.santiago@usp.br</t>
  </si>
  <si>
    <t>- Universidade Federal de São Carlos: (PROFESSOR_VISITANTE - Pesquisador Visitante)
- Instituto de Pesquisas Energéticas e Nucleares: (Servidor público - Pesquisadora Titular)
- Universidade de São Paulo: (COLABORADOR - Professor de Pós-Graduação)
- Universidade de São Paulo: (Servidor público - Representante da CPG IPEN/USP)
- Universidade Estadual de Campinas: (em branco)</t>
  </si>
  <si>
    <t>401189/2026-0</t>
  </si>
  <si>
    <t>12314676300</t>
  </si>
  <si>
    <t>Elita Fontenele Urano de Carvalho</t>
  </si>
  <si>
    <t>http://lattes.cnpq.br/1122522095905469</t>
  </si>
  <si>
    <t>Elita Fontenele Urano de Carvalho, Lauro Roberto dos Santos, Ricardo Mendes Leal Neto, Michelangelo Durazzo, Eriki Masahiko Takara</t>
  </si>
  <si>
    <t>Capacitação Institucional do IPEN/CECON em Tecnologia de Fabricação de Combustível Nuclear de Nitreto de Urânio para Microrreatores</t>
  </si>
  <si>
    <t xml:space="preserve">Conversão, Enriquecimento e Fabricação de Combustível </t>
  </si>
  <si>
    <t>08/06/2026</t>
  </si>
  <si>
    <t>09:35:23</t>
  </si>
  <si>
    <t>09:35:39</t>
  </si>
  <si>
    <t>1122522095905469</t>
  </si>
  <si>
    <t>elitaucf@gmail.com</t>
  </si>
  <si>
    <t>- instituto de pesquisas energéticas e nucleares: (SERVIDOR_PUBLICO - Tecnologista Senior)
- instituto de pesquisas energéticas e nucleares: (SERVIDOR_PUBLICO - Tecnologista Senior)
- Universidade Comunitária da Região de Chapecó: (em branco)
- Universidade do Extremo Sul Catarinense: (em branco)
- Universidade Federal de Santa Catarina: (em branco)
- INSTITUTO PESQUISAS ENERGETICAS E NUCLEARES: (em branco)
- COMISSAO NACIONAL DE ENERGIA NUCLEAR: (em branco)</t>
  </si>
  <si>
    <t>402073/2026-6</t>
  </si>
  <si>
    <t>17976073249</t>
  </si>
  <si>
    <t>Elizabeth Gusmão Affonso</t>
  </si>
  <si>
    <t>http://lattes.cnpq.br/3096604627879612</t>
  </si>
  <si>
    <t>Elizabeth Gusmão Affonso, Rogério Souza de Jesus, Paulo Adelino de Medeiros, Yury Oliveira Chaves, Valdelira Lia Araújo Fernandes, Elcimara Cardoso Pereira, Alana Cristina Vinhote da Silva</t>
  </si>
  <si>
    <t>Aquicultura como elo de fortalecimento da bioeconomia circular na Amazônia</t>
  </si>
  <si>
    <t>PROGRAMA BASICO DE AQUICULTURA</t>
  </si>
  <si>
    <t>AQ</t>
  </si>
  <si>
    <t>Ciências Agrárias</t>
  </si>
  <si>
    <t>Aqüicultura</t>
  </si>
  <si>
    <t>COAGR</t>
  </si>
  <si>
    <t>22:00:04</t>
  </si>
  <si>
    <t>09:51:02</t>
  </si>
  <si>
    <t>3096604627879612</t>
  </si>
  <si>
    <t>pgusmao1@yahoo.com.br</t>
  </si>
  <si>
    <t>- Instituto Nacional de Pesquisas da Amazônia: (Servidor público - Pesquisador Titular III)
- UNIVERSIDADE NILTON LINS: (CELETISTA - Professora Adjunta, Nível I)
- Fundação de Amparo a Pesquisa do Estado do Amazonas: (Membro de comitê assessor)
- SECRETARIA DE PRODUÇÃO RURAL: (Membro de comitê assessor)</t>
  </si>
  <si>
    <t>402201/2026-4</t>
  </si>
  <si>
    <t>09338080200</t>
  </si>
  <si>
    <t>Eloisa Helena de Aguiar Andrade</t>
  </si>
  <si>
    <t>http://lattes.cnpq.br/3827055876022373</t>
  </si>
  <si>
    <t>Eloisa Helena de Aguiar Andrade, Kheytiany Hellen da Silva Lopes, Ely Simone Cajueiro Gurgel, Marlia Regina Coelho-Ferreira</t>
  </si>
  <si>
    <t>Bioprospecção na Floresta Nacional de Caxiuanã: Abordagens Etnobotânicas, Químicas e Anatômicas para Conservação e Bioeconomia</t>
  </si>
  <si>
    <t>Botânica Aplicada</t>
  </si>
  <si>
    <t>17:38:43</t>
  </si>
  <si>
    <t>09:58:43</t>
  </si>
  <si>
    <t>Universidade Federal do Pará</t>
  </si>
  <si>
    <t>UFPA</t>
  </si>
  <si>
    <t>3827055876022373</t>
  </si>
  <si>
    <t>eloisa@museu-goeldi.br</t>
  </si>
  <si>
    <t>- Museu Paraense Emílio Goeldi: (Pesquisador Adjunto I)
- Universidade Federal do Pará: (Servidor público - Professor adjunto)
- Universidade Federal da Paraíba: (em branco)</t>
  </si>
  <si>
    <t>401989/2026-7</t>
  </si>
  <si>
    <t>27288306810</t>
  </si>
  <si>
    <t>Elvis Joacir De França</t>
  </si>
  <si>
    <t>http://lattes.cnpq.br/1716496767364751</t>
  </si>
  <si>
    <t xml:space="preserve">Elvis Joacir De França, Cláudio José Mesquita Menezes, Luiz Carlos Gonçalves Filho, Valderes Moraes de Almeida, Rômulo Pinto Tenório, Fernando Roberto de Andrade Lima, Everton Rodrigues da Silva, Carlos Alberto Brayner de </t>
  </si>
  <si>
    <t>PROGRAMA DE CAPACITAÇÃO INSTITUCIONAL DOS LABORATÓRIOS MULTIUSUÁRIOS INTEGRADOS PARA APLICAÇÕES NUCLEARES NAS REGIÕES NORTE E NORDESTE  LINAN-PCI</t>
  </si>
  <si>
    <t>Aplicações de Radioisótopos</t>
  </si>
  <si>
    <t>16:46:27</t>
  </si>
  <si>
    <t>16:46:30</t>
  </si>
  <si>
    <t>1716496767364751</t>
  </si>
  <si>
    <t>ejfranca@gmail.com</t>
  </si>
  <si>
    <t>- Universidade de São Paulo: (COLABORADOR - Pesquisador)
- COMISSAO NACIONAL DE ENERGIA NUCLEAR: (Servidor público - Pesquisador Associado)
- COMISSAO NACIONAL DE ENERGIA NUCLEAR: (Servidor público - Chefia SEPID)
- COMISSAO NACIONAL DE ENERGIA NUCLEAR: (Servidor público - Coordenador CEUA)
- Universidade Federal de Pernambuco: (Professor Doutor - Professor Doutor Permanente)
- COMISSAO NACIONAL DE ENERGIA NUCLEAR: (em branco)</t>
  </si>
  <si>
    <t>402011/2026-0</t>
  </si>
  <si>
    <t>36268839811</t>
  </si>
  <si>
    <t>Erêndira Oliveira</t>
  </si>
  <si>
    <t>http://lattes.cnpq.br/1336094438987346</t>
  </si>
  <si>
    <t xml:space="preserve">Erêndira Oliveira, Helena Pinto Lima, Daniela Aparecida Ferreira, Cristiana Nunes Galvão de Barros Barreto, Igor Morais Mariano Rodrigues, Edithe da Silva Pereira, Sâmia Batista e Silva, Marcia Bezerra de Almeida, Filipe de </t>
  </si>
  <si>
    <t>Acervos em Rede: preservação digital, gestão da informação e socialização do patrimônio arqueológico amazônico</t>
  </si>
  <si>
    <t>Teoria e Método em Arqueologia</t>
  </si>
  <si>
    <t>00:13:16</t>
  </si>
  <si>
    <t>00:13:25</t>
  </si>
  <si>
    <t>1336094438987346</t>
  </si>
  <si>
    <t>erendiraoliveira@museu-goeldi.br</t>
  </si>
  <si>
    <t>- Museu Paraense Emílio Goeldi: (Servidor público - Tecnologista/Pesquisadora)
- Museu Paraense Emílio Goeldi: (Servidor público - Professora Permanente)
- Museu da Amazonia: (COLABORADOR - Pesquisadora)
- Sociedade de Arqueologia Brasileira: (COLABORADOR - Membro de comissão de organização de evento)
- Sociedade de Arqueologia Brasileira: (COLABORADOR - Membro de comissão de revisão de Regimento)</t>
  </si>
  <si>
    <t>401237/2026-5</t>
  </si>
  <si>
    <t>18438367852</t>
  </si>
  <si>
    <t>Érika Renata Branco</t>
  </si>
  <si>
    <t>http://lattes.cnpq.br/3978060547725760</t>
  </si>
  <si>
    <t xml:space="preserve">Érika Renata Branco, Ana Rita de Lima, Adriana Caroprezo Morini, Daniele dos Santos Martins, José Ledamir Sindeaux Neto, Michele Velasco Oliveira da Silva, Lilian de Jesus Oliveira, Antônio Chaves de Assis Neto, Paula </t>
  </si>
  <si>
    <t>Modelos 3D Phygitais como Estratégia Multissensorial para Ensino Inclusivo em Ciências da Saúde</t>
  </si>
  <si>
    <t>Ensino</t>
  </si>
  <si>
    <t>Universidade Federal Rural da Amazônia</t>
  </si>
  <si>
    <t>UFRA</t>
  </si>
  <si>
    <t>11/06/2026</t>
  </si>
  <si>
    <t>15:53:28</t>
  </si>
  <si>
    <t>15:53:37</t>
  </si>
  <si>
    <t>3978060547725760</t>
  </si>
  <si>
    <t>ebranco.ufra@gmail.com</t>
  </si>
  <si>
    <t>- Universidade Federal Rural da Amazônia: (Servidor público - Membro do Colegiado da Pós-Graduação em Saúde)
- Universidade Federal Rural da Amazônia: (Docente - Docente do Programa de Pós-Graduação)
- Universidade Federal Rural da Amazônia: (Servidor público - Membro Colegiado ISPA)
- Universidade Federal Rural da Amazônia: (Servidor público - Membro Comissão Científica)
- Universidade Federal Rural da Amazônia: (Servidor público - Professora Titular)
- Universidade Federal Rural da Amazônia: (Coordenadora do PPGSPAA - Coordenadora do PPGSPAA)
- Fundação de Amparo à Ciência e Tecnologia do Estado de Pernambuco: (Membro de comitê assessor)
- Fundação de Amparo à Ciência e Tecnologia do Estado do Pará: (Membro de comitê assessor)</t>
  </si>
  <si>
    <t>402177/2026-6</t>
  </si>
  <si>
    <t>97650927849</t>
  </si>
  <si>
    <t>Evaldo Jose Corat</t>
  </si>
  <si>
    <t>http://lattes.cnpq.br/0560039556461253</t>
  </si>
  <si>
    <t>Evaldo Jose Corat, Vladimir Jesus Trava-Airoldi, Erica Freire Antunes, Gisele Aparecida Amaral Labat, Ricardo Cotrin Teixeira, Eduardo Cezar Barbosa de Barros Aragão, Sergio Luiz Mineiro</t>
  </si>
  <si>
    <t>CARBON4SPACE: Capacitação Institucional para Desenvolvimento de Aplicações Aeroespaciais com Materiais Avançados de Carbono</t>
  </si>
  <si>
    <t>PROGRAMA BASICO DE ENGENHARIA AEROESPACIAL</t>
  </si>
  <si>
    <t>EM</t>
  </si>
  <si>
    <t xml:space="preserve">Materiais e Processos para Engenharia Aeronáutica e </t>
  </si>
  <si>
    <t>09:07:09</t>
  </si>
  <si>
    <t>09:57:18</t>
  </si>
  <si>
    <t>0560039556461253</t>
  </si>
  <si>
    <t>evaldocorat@gmail.com</t>
  </si>
  <si>
    <t>- Laboratório Associado de Sensores e Materiais: (Servidor público ou celetista - Pesquisador Titular)
- Universidade Federal de São Paulo: (Professor Colaborador - Professor Colaborador)</t>
  </si>
  <si>
    <t>402076/2026-5</t>
  </si>
  <si>
    <t>17639834805</t>
  </si>
  <si>
    <t>Eveline De Robertis</t>
  </si>
  <si>
    <t>http://lattes.cnpq.br/8932748949591727</t>
  </si>
  <si>
    <t>Eveline De Robertis, Alberto de Paula Silva, Bárbara Alessandra Gonçalves Pinheiro Yamada, Renato Henrique Ferreira Branco, Isabela Araújo Resende, Andreia Fatima Sorice Genaro</t>
  </si>
  <si>
    <t>Plataforma Integrada para a Gestão do Portfólio Institucional do INPE</t>
  </si>
  <si>
    <t>18:25:57</t>
  </si>
  <si>
    <t>09:51:11</t>
  </si>
  <si>
    <t>8932748949591727</t>
  </si>
  <si>
    <t>erobertis@yahoo.com.br</t>
  </si>
  <si>
    <t>- Instituto Nacional de Pesquisas Espaciais: (Servidor público - Pesquisadora)</t>
  </si>
  <si>
    <t>402157/2026-5</t>
  </si>
  <si>
    <t>58908013091</t>
  </si>
  <si>
    <t>Ezequiel Echer</t>
  </si>
  <si>
    <t>http://lattes.cnpq.br/3869820274542343</t>
  </si>
  <si>
    <t xml:space="preserve">Ezequiel Echer, Alisson Dal Lago, Franciele Carlesso, Vânia Fátima Andrioli, Hadassa Raquel Peixoto Jácome, Paulo Ricardo Jauer, Eliah Fernanda de Maria de São Sabbas Tavares, Marcos Vinicius Dias Silveira, Ângela Machado dos </t>
  </si>
  <si>
    <t>Apoio a Projetos de Pesquisa em Heliofísica, Ciências Planetárias e Aeronomia</t>
  </si>
  <si>
    <t>13:56:35</t>
  </si>
  <si>
    <t>09:56:08</t>
  </si>
  <si>
    <t>3869820274542343</t>
  </si>
  <si>
    <t>ezequiel.echer@inpe.br</t>
  </si>
  <si>
    <t>402226/2026-7</t>
  </si>
  <si>
    <t>61186066253</t>
  </si>
  <si>
    <t>Fabiana Alves Demeu</t>
  </si>
  <si>
    <t>http://lattes.cnpq.br/1807128280652473</t>
  </si>
  <si>
    <t>Fabiana Alves Demeu, Jomel Francisco dos Santos, Uziel Bemvindo</t>
  </si>
  <si>
    <t>Avaliação de Sistemas de criação de bezerras e novilhas leiteiras em clima tropical úmido com validação de bioacústica para monitoramento comportamental, fisiológico e de bem-estar</t>
  </si>
  <si>
    <t>PROGRAMA BASICO DE ZOOTECNIA</t>
  </si>
  <si>
    <t>ZT</t>
  </si>
  <si>
    <t>Produção Animal</t>
  </si>
  <si>
    <t>Instituto Federal de Educação Ciência e Tecnologia de Rondônia</t>
  </si>
  <si>
    <t>IFRO</t>
  </si>
  <si>
    <t>RO</t>
  </si>
  <si>
    <t>23:19:52</t>
  </si>
  <si>
    <t>10:00:11</t>
  </si>
  <si>
    <t>1807128280652473</t>
  </si>
  <si>
    <t>fabiana.demeu@hotmail.com.br</t>
  </si>
  <si>
    <t>- Instituto Federal de Educação Ciência e Tecnologia de Rondônia: (Servidor público - Professor)</t>
  </si>
  <si>
    <t>402059/2026-3</t>
  </si>
  <si>
    <t>78209781472</t>
  </si>
  <si>
    <t>Fabiana Farias de Lima Guimarães</t>
  </si>
  <si>
    <t>http://lattes.cnpq.br/8796898263583929</t>
  </si>
  <si>
    <t xml:space="preserve">Fabiana Farias de Lima Guimarães, Suy Ferreira Hwang, Ana Maria Mendonca de Albuquerque Melo, Suelen Cristina de Lima, Leydianne Leite de Siqueira Patriota, Mércia Liane de Oliveira, Filipe Rolim Cordeiro, Erika Flavia Fortunata </t>
  </si>
  <si>
    <t xml:space="preserve"> Prospecção de Fitoterápicos Radioprotetores: Padronização de protocolos e cooperação multicêntrica por meio da LBDNet</t>
  </si>
  <si>
    <t>Centro Regional de Ciências Nucleares do Nordeste</t>
  </si>
  <si>
    <t>CRCN/CNEN</t>
  </si>
  <si>
    <t>PE</t>
  </si>
  <si>
    <t>NE</t>
  </si>
  <si>
    <t>09:34:44</t>
  </si>
  <si>
    <t>09:50:14</t>
  </si>
  <si>
    <t>8796898263583929</t>
  </si>
  <si>
    <t>fabiana.farias@cnen.gov.br</t>
  </si>
  <si>
    <t>- Centro Regional de Ciências Nucleares: (Servidor público - Pesquisador Titular)</t>
  </si>
  <si>
    <t>402277/2026-0</t>
  </si>
  <si>
    <t>00793102065</t>
  </si>
  <si>
    <t>Fábio Baum</t>
  </si>
  <si>
    <t>http://lattes.cnpq.br/3487620318253385</t>
  </si>
  <si>
    <t>Fábio Baum, Ediane Karine Scherer Isernhagen, Daniel Augusto Cantane, Jose Ricardo Cezar Salgado</t>
  </si>
  <si>
    <t>Materiais nanoestruturados para armazenamento de hidrogênio em estado sólido</t>
  </si>
  <si>
    <t>Físico Química Inorgânica</t>
  </si>
  <si>
    <t>15:06:57</t>
  </si>
  <si>
    <t>10:03:24</t>
  </si>
  <si>
    <t>3487620318253385</t>
  </si>
  <si>
    <t>fabio.baum@unila.edu.br</t>
  </si>
  <si>
    <t>- Universidade Federal da Integração Latino-Americana: (Servidor público - Professor do Magistério Superior)</t>
  </si>
  <si>
    <t>401109/2026-7</t>
  </si>
  <si>
    <t>73963470682</t>
  </si>
  <si>
    <t>Fábio Gelape Faleiro</t>
  </si>
  <si>
    <t>http://lattes.cnpq.br/9679761162805267</t>
  </si>
  <si>
    <t xml:space="preserve">Fábio Gelape Faleiro, Nilton Tadeu Vilela Junqueira, Angelo Aparecido Barbosa Sussel, Ana Maria Costa, Keize Pereira Junqueira, Isaac Leandro de Almeida, Paulo Campos Christo Fernandes, Eudes de Almeida Cardoso, Patricia </t>
  </si>
  <si>
    <t>Desenvolvimento de cultivares geneticamente superiores de maracujás (Passiflora L.) como alternativas para geração de emprego e renda em diferentes regiões do Brasil</t>
  </si>
  <si>
    <t>PROGRAMA BASICO DE AGRONOMIA</t>
  </si>
  <si>
    <t>AG</t>
  </si>
  <si>
    <t>Melhoramento Vegetal</t>
  </si>
  <si>
    <t>Empresa Brasileira de Pesquisa Agropecuária</t>
  </si>
  <si>
    <t>EMBRAPA</t>
  </si>
  <si>
    <t>22:21:34</t>
  </si>
  <si>
    <t>16:51:28</t>
  </si>
  <si>
    <t>9679761162805267</t>
  </si>
  <si>
    <t>fabiog.faleiro@gmail.com</t>
  </si>
  <si>
    <t>- Comissão Executiva do Plano da Lavoura Cacaueira Centro de Pesquisas do Cac: (COLABORADOR - Colaborador)
- Universidade Federal de Viçosa: (COLABORADOR - colaborador)
- Fundação de Amparo à Pesquisa do Estado de Minas Gerais: (OUTRO - Bolsista de Iniciação Científica/Colaborador)
- Fundação de Amparo à Pesquisa do Estado de Minas Gerais: (COLABORADOR - Colaborador)
- Empresa Brasileira de Pesquisa Agropecuária: (CELETISTA - Pesquisador III)
- Empresa Brasileira de Pesquisa Agropecuária: (Servidor público - Membro Eleito do Comitê Técnico Interno)
- Empresa Brasileira de Pesquisa Agropecuária: (Servidor público - Chefe Adjunto de Transferência de Tecnologia)
- Universidade Católica de Brasília: (COLABORADOR - Orientador Credenciado)
- Universidade Estadual de Santa Cruz: (COLABORADOR - Professor convidado / Colaborador)
- Universidade de Brasília: (Professor credenciado - Pós - Professor credenciado)
- Conselho Nacional de Desenvolvimento Científico e Tecnológico: (COLABORADOR - Colaborador)
- Fundação Araucária de Apoio ao Desenvolvimento Científico e Tecnológico: (COLABORADOR - Colaborador)
- Sociedade Brasileira de Melhoramento de Plantas: (COLABORADOR - Colaborador)
- Sociedade Brasileira de Zootecnia: (COLABORADOR - Colaborador)
- Sociedade Brasileira de Fruticultura: (COLABORADOR - Colaborador)
- Programa Nacional de Pesquisa e Desenvolvimento do Café: (COLABORADOR - Colaborador)
- União Pioneira de Integração Social: (COLABORADOR - Colaborador)
- Universidade Federal de Lavras: (COLABORADOR - Colaborador)
- Universidade Estadual do Norte Fluminense Darcy Ribeiro: (COLABORADOR - Colaborador)
- Fundação de Amparo à Pesquisa do Estado da Bahia: (COLABORADOR - Colaborador)
- Universidade Federal de Goiás: (COLABORADOR - Professor Credenciado)
- Fundação de Apoio à Pesquisa do Distrito Federal: (COLABORADOR - Colaborador)
- Fundação de Amparo à Pesquisa do Espírito Santo: (COLABORADOR - Colaborador)
- Associação Brasileira de Recursos Genéticos: (COLABORADOR - Colaborador)
- Fundação de Tecnologia do Estado do Acre: (COLABORADOR - Colaborador)
- Fundação de Apoio à Pesquisa do Estado da Paraíba: (COLABORADOR - colaborador)
- Empresa Brasileira de Pesquisa Agropecuária: (em branco)</t>
  </si>
  <si>
    <t>402048/2026-1</t>
  </si>
  <si>
    <t>01746963964</t>
  </si>
  <si>
    <t>Fabricio Beggiato Baccaro</t>
  </si>
  <si>
    <t>http://lattes.cnpq.br/2034428391439802</t>
  </si>
  <si>
    <t xml:space="preserve">Fabricio Beggiato Baccaro, Adriano Costa Quaresma, Jochen Schongart, Clarissa Alves da Rosa, Flávia Regina Capellotto Costa, William Ernest Magnusson, Juliana Schietti de Almeida, Cintia Cornelius Frische, Elizandra Rego </t>
  </si>
  <si>
    <t>Fortalecimento dos PELDs amazônicos do INPA por meio de ciência aberta, formação de recursos humanos e inovação científica</t>
  </si>
  <si>
    <t>PROGRAMA BASICO DE ECOLOGIA E LIMNOLOGIA</t>
  </si>
  <si>
    <t>EL</t>
  </si>
  <si>
    <t>Ecologia de Ecossistemas</t>
  </si>
  <si>
    <t>12:25:20</t>
  </si>
  <si>
    <t>09:49:26</t>
  </si>
  <si>
    <t>2034428391439802</t>
  </si>
  <si>
    <t>fabricio.baccaro@inpa.gov.br</t>
  </si>
  <si>
    <t>- Instituto Nacional de Pesquisas da Amazônia: (Servidor público - PROFESSOR_TITULAR)
- Instituto Nacional de Pesquisas da Amazônia: (Servidor público - Pesquisador)
- EMBRAPA Amazônia Oriental: (COLABORADOR - Colaborador)
- Universidade Federal do Pará: (em branco)
- Lancaster University: (em branco)
- George Washington University: (em branco)</t>
  </si>
  <si>
    <t>402093/2026-7</t>
  </si>
  <si>
    <t>87440660153</t>
  </si>
  <si>
    <t>Fernanda de Pinho Werneck</t>
  </si>
  <si>
    <t>http://lattes.cnpq.br/0507204139787803</t>
  </si>
  <si>
    <t xml:space="preserve">Fernanda de Pinho Werneck, Itanna Oliveira Fernandes, Marcio Luiz de Oliveira, Luiz Antônio Wanderley Peixoto, Mario Eric Cohn Haft, Lúcia Helena Rapp PyDaniel, Gabriel Jorgewich-Cohen, Maria Nazareth Ferreira da Silva, Paulo </t>
  </si>
  <si>
    <t>Fortalecimento Científico Institucional e Disponibilização de Dados das Coleções Zoológicas do INPA: do campo e acervos às políticas públicas e popularização sobre a biodiversidade amazônica</t>
  </si>
  <si>
    <t>Zoologia Aplicada</t>
  </si>
  <si>
    <t>18:54:23</t>
  </si>
  <si>
    <t>09:52:12</t>
  </si>
  <si>
    <t>0507204139787803</t>
  </si>
  <si>
    <t>fernanda.werneck@inpa.gov.br</t>
  </si>
  <si>
    <t>- Universidade de Brasília: (COLABORADOR - Pesquisadora colaboradora)
- Universidade Federal da Paraíba: (COLABORADOR - Pesquisadora colaboradora)
- Universidade Federal do Rio Grande do Norte: (COLABORADOR - Pesquisadora colaboradora)
- Instituto Nacional de Pesquisas da Amazônia: (Servidor público - Pesquisadora Titular)
- Universidade Federal do Amazonas: (Professor Colaborador - Professor Colaborador)
- Instituto Chico Mendes de Conservação da Biodiversidade: (Membro de comitê assessor)
- Universidade Federal do Rio Grande do Sul: (COLABORADOR - Colaboradora)
- Instituto Chico Mendes de Conservação da Biodiversidade: (COLABORADOR - Comitê Científico do RAN/ICMBio)
- Instituto Chico Mendes de Conservação da Biodiversidade: (COLABORADOR - Grupo de Assessoramento Técnico - GAT)
- Universidade de São Paulo: (COLABORADOR - Docente colaboradora)
- INSTITUTO CHICO MENDES DE CONSERVAÇÃO DA BIODIVERSIDADE: (Membro de comitê assessor)
- Ministério da Ciência, Tecnologia e Inovações: (Membro de comitê assessor)
- Sociedade Brasileira para o Progresso da Ciência - São Paulo: (Secretaria Regional Amazonas - Secretaria Regional Amazonas)
- Instituto Serrapilheira: (Colaboradora - Colaboradora)
- Pontifícia Universidade Católica do Rio Grande do Sul: (em branco)</t>
  </si>
  <si>
    <t>402195/2026-4</t>
  </si>
  <si>
    <t>83955917215</t>
  </si>
  <si>
    <t>Fernando da Silva Carvalho Filho</t>
  </si>
  <si>
    <t>http://lattes.cnpq.br/7987049452090800</t>
  </si>
  <si>
    <t>Revitalização e curadoria da Coleção Entomológica do Museu Paraense Emílio Goeldi</t>
  </si>
  <si>
    <t>16:45:12</t>
  </si>
  <si>
    <t>09:58:23</t>
  </si>
  <si>
    <t>7987049452090800</t>
  </si>
  <si>
    <t>fernanbio@yahoo.com.br</t>
  </si>
  <si>
    <t>- Museu Paraense Emílio Goeldi: (Servidor público - Pesquisador)
- Universidade Federal do Pará: (em branco)</t>
  </si>
  <si>
    <t>402213/2026-2</t>
  </si>
  <si>
    <t>03968311175</t>
  </si>
  <si>
    <t>Fernando Elias da Silva</t>
  </si>
  <si>
    <t>http://lattes.cnpq.br/7374917289764220</t>
  </si>
  <si>
    <t xml:space="preserve">Fernando Elias da Silva, Bárbara Simões Santos Leal, Lis Fernandes Stegmann, Mário Augusto Gonçalves Jardim, Leandro Valle Ferreira, Nayara Dias Alves Teixeira, Bernard Josiah Barlow, Joice Nunes Ferreira, Carolina da Silva </t>
  </si>
  <si>
    <t>MONITORA-BIO: MONItoramento e avaliação de disTúrbios compOstos sobRe A Biodiversidade e servIços ecOssistêmicos na Amazônia Oriental</t>
  </si>
  <si>
    <t>12:02:19</t>
  </si>
  <si>
    <t>09:59:25</t>
  </si>
  <si>
    <t>7374917289764220</t>
  </si>
  <si>
    <t>fernandosilva@museu-goeldi.br</t>
  </si>
  <si>
    <t>- Museu Paraense Emílio Goeldi: (Professor permanente - Professor)
- Museu Paraense Emílio Goeldi: (Servidor público - Pesquisador)
- Universidade Federal de Santa Catarina: (em branco)</t>
  </si>
  <si>
    <t>401102/2026-2</t>
  </si>
  <si>
    <t>27802245842</t>
  </si>
  <si>
    <t>Fernando Luiz Affonso Fonseca</t>
  </si>
  <si>
    <t>http://lattes.cnpq.br/6772382797320564</t>
  </si>
  <si>
    <t>Fernando Luiz Affonso Fonseca, Glaucia Raquel Luciano da Veiga, Beatriz da Costa Aguiar Alves Reis, Sarah Isabel Pinto Monteiro do Nascimento Alves</t>
  </si>
  <si>
    <t>Programa Translacional de Diagnóstico Avançado e Medicina de Precisão</t>
  </si>
  <si>
    <t>PROGRAMA BASICO DE MEDICINA</t>
  </si>
  <si>
    <t>MD</t>
  </si>
  <si>
    <t>Anatomia Patológica e Patologia Clínica</t>
  </si>
  <si>
    <t>Faculdade de Medicina do ABC</t>
  </si>
  <si>
    <t>FMABC</t>
  </si>
  <si>
    <t>12:00:20</t>
  </si>
  <si>
    <t>16:46:50</t>
  </si>
  <si>
    <t>6772382797320564</t>
  </si>
  <si>
    <t>affonso.fonseca@unifesp.br</t>
  </si>
  <si>
    <t>- Faculdade de Medicina do ABC: (CELETISTA - PROFESSOR_TITULAR)
- Universidade Federal de São Paulo - Diadema: (Servidor público - Professor Adjunto IV)
- Fundação de Amparo à Pesquisa do Estado de Minas Gerais: (ADHOC - Consultor ADHOC)
- Escola Superior de Tecnologia de Saúde de Coimbra: (PROFESSOR_VISITANTE - Professor e Orientador)
- International Society of Oncology and Biomarkers: (Membro Ordinário - Conselheiro)</t>
  </si>
  <si>
    <t>402305/2026-4</t>
  </si>
  <si>
    <t>43694705287</t>
  </si>
  <si>
    <t>Francisca das Chagas do Amaral Souza</t>
  </si>
  <si>
    <t>http://lattes.cnpq.br/4281093837396621</t>
  </si>
  <si>
    <t xml:space="preserve">Francisca das Chagas do Amaral Souza, Edson Pablo da Silva, Bruna Ribeiro de Lima, Jaime Paiva Lopes Aguiar, Carlos Adam Conte Junior, Jelmir Craveiro De Andrade, Milena Botelho Pereira Soares, Leticia de Alencar Pereira </t>
  </si>
  <si>
    <t>INOVA-BIOATIVOS INPA: Estruturação Institucional para Validação Tecnológica, Proteção e Transferência de Ativos da Biodiversidade Amazônica</t>
  </si>
  <si>
    <t>PROGRAMA BASICO DE CIENCIA E TECNOLOGIA DE ALIMENTOS</t>
  </si>
  <si>
    <t>AL</t>
  </si>
  <si>
    <t>Ciência de Alimentos</t>
  </si>
  <si>
    <t>10:54:06</t>
  </si>
  <si>
    <t>10:54:19</t>
  </si>
  <si>
    <t>4281093837396621</t>
  </si>
  <si>
    <t>francisca.souzainpa@gmail.com</t>
  </si>
  <si>
    <t>- Instituto Nacional de Pesquisas da Amazônia: (Servidor público - Tecnologista Pleno  III / Pesquisador)
- Instituto Nacional de Pesquisas da Amazônia: (Servidor público - PROFESSOR_TITULAR)
- Conselho Nacional de Desenvolvimento Científico e Tecnológico: (Membro de comitê assessor)
- Fundação de Amaprao a Pesquisa: (Membro de comitê assessor)</t>
  </si>
  <si>
    <t>402227/2026-3</t>
  </si>
  <si>
    <t>00568682351</t>
  </si>
  <si>
    <t>Francisca das Chagas Sobral Silva</t>
  </si>
  <si>
    <t>http://lattes.cnpq.br/1429305836290181</t>
  </si>
  <si>
    <t>Francisca das Chagas Sobral Silva, Eliana Mosse Alhadeff, Ninoska Isabel Bojorge Ramirez, Patrícia Ribeiro Pereira</t>
  </si>
  <si>
    <t xml:space="preserve">Desenvolvimento de Nanopartículas de Quitosana Encapsulando Alérgenos Nativos e Quimicamente Modificados de Ácaros da Poeira Doméstica para Imunoterapia Sublingual </t>
  </si>
  <si>
    <t>PROGRAMA BASICO DE ENGENHARIA QUIMICA</t>
  </si>
  <si>
    <t>EQ</t>
  </si>
  <si>
    <t>Processos Biotecnológicos e Alimentos</t>
  </si>
  <si>
    <t>15:40:31</t>
  </si>
  <si>
    <t>10:00:14</t>
  </si>
  <si>
    <t>1429305836290181</t>
  </si>
  <si>
    <t>kinhasobral@hotmail.com</t>
  </si>
  <si>
    <t>- Laboratório Extratos Alergênicos LTDA: (COLABORADOR - Pesquisador)
- Universidade Federaldo Riode Janeiro: (em branco)</t>
  </si>
  <si>
    <t>401884/2026-0</t>
  </si>
  <si>
    <t>37185012287</t>
  </si>
  <si>
    <t>Francisco Javier Rios</t>
  </si>
  <si>
    <t>http://lattes.cnpq.br/0122947337651561</t>
  </si>
  <si>
    <t>Francisco Javier Rios, Monica Elizetti de Freitas, Tatiana Aparecida Fernandes de Lima, Liliani Pacheco Tavares Nazareth, Raquel Maia Mingote, Nilo Henrique Balzani Lopes, Ana Claudia Queiroz Ladeira</t>
  </si>
  <si>
    <t>Desenvolvimento e implementação de método de análises de Elementos Terras Raras (ETRs), Urânio e Tório por LA-ICPMS em amostras de rochas, regolitos e argilas iônicas da mina de urânio Osamu Utsumi, Poços de Caldas, MG.</t>
  </si>
  <si>
    <t>Geoquímica</t>
  </si>
  <si>
    <t>19:23:51</t>
  </si>
  <si>
    <t>19:24:00</t>
  </si>
  <si>
    <t>0122947337651561</t>
  </si>
  <si>
    <t>javier@cdtn.br</t>
  </si>
  <si>
    <t>- COMISSAO NACIONAL DE ENERGIA NUCLEAR: (Servidor público - Pesquisador e Professor)
- Comissão Nacional de Energia Nuclear: (Membro de comitê assessor)
- Ministério Ciência Tecnologia e Inovações: (Membro de comitê assessor)</t>
  </si>
  <si>
    <t>402414/2026-8</t>
  </si>
  <si>
    <t>09123666803</t>
  </si>
  <si>
    <t>Frederico Antonio Genezini</t>
  </si>
  <si>
    <t>http://lattes.cnpq.br/2759618347264783</t>
  </si>
  <si>
    <t>Frederico Antonio Genezini, Artur Wilson Carbonari, Mitiko Saiki, Mauricio Moralles, Alexandre Pinho dos Santos Souza, Francine Franzotti da Silva Salvador, Rafael Henrique Lazzari Garcia, Mario Renteria</t>
  </si>
  <si>
    <t>Corpus de Caracterização Nuclear para Materiais Magnéticos Avançados: Capacidade Técnica e Capital Humano para a Era do RMB -  Reator Multipropósito Brasileiro</t>
  </si>
  <si>
    <t xml:space="preserve">Métodos Experimentais e Instrumentação para Partículas </t>
  </si>
  <si>
    <t>23:59:39</t>
  </si>
  <si>
    <t>23:59:45</t>
  </si>
  <si>
    <t>2759618347264783</t>
  </si>
  <si>
    <t>fredzini@ipen.br</t>
  </si>
  <si>
    <t>- COMISSAO NACIONAL DE ENERGIA NUCLEAR: (Servidor público - Pesquisador)
- FUNDACAO DE APOIO E FOMENTO A INOVACAO TECNOLOGICA A PESQUISA E AO ENSINO: (Servidor público - diretor presidente)
- International Atomic Energy Agency: (Servidor público - Membro do Technical working Group de Reatores)</t>
  </si>
  <si>
    <t>402170/2026-1</t>
  </si>
  <si>
    <t>39601074805</t>
  </si>
  <si>
    <t>Gabriel Jorgewich-Cohen</t>
  </si>
  <si>
    <t>http://lattes.cnpq.br/9103194900446781</t>
  </si>
  <si>
    <t>Gabriel Jorgewich-Cohen, Vera Maria Ferreira da Silva, Rodrigo de Souza Amaral, Douglas Aviz Bastos, Moysés Mendes de Lima, Jorge Luiz Ramos Lobato, George Henrique Rebêlo, Jose Antonio Alves Gomes</t>
  </si>
  <si>
    <t xml:space="preserve">Monitoramento acústico de vertebrados aquáticos na Amazônia:  ferramenta de popularização, sustentabilidade, governança e soberania nacional </t>
  </si>
  <si>
    <t>Biologia Geral</t>
  </si>
  <si>
    <t>13:59:43</t>
  </si>
  <si>
    <t>09:56:54</t>
  </si>
  <si>
    <t>9103194900446781</t>
  </si>
  <si>
    <t>gabrieljcohen2@gmail.com</t>
  </si>
  <si>
    <t>- Instituto Nacional de Pesquisas da Amazônia: (Servidor público - Pesquisador adjunto)</t>
  </si>
  <si>
    <t>402238/2026-5</t>
  </si>
  <si>
    <t>06336511847</t>
  </si>
  <si>
    <t>Geilson Loureiro</t>
  </si>
  <si>
    <t>http://lattes.cnpq.br/7824447045520901</t>
  </si>
  <si>
    <t>Geilson Loureiro, Maurício Ribeiro Baldan, Guilherme Nader Kawassaki, Zulema Abraham, Jose Roberto Cecatto, Cesar Strauss, Francisco Carlos Rocha Fernandes</t>
  </si>
  <si>
    <t>Autossuficiência Metrológica em Ondas Milimétricas: Desenvolvimento de Colimadores, Absorvedores e Radomes Nacionais para os Setores Aeroespacial, Defesa e Radioastronomia</t>
  </si>
  <si>
    <t>17:33:54</t>
  </si>
  <si>
    <t>10:01:10</t>
  </si>
  <si>
    <t>7824447045520901</t>
  </si>
  <si>
    <t>loureiro.geilson@gmail.com</t>
  </si>
  <si>
    <t>- Instituto Nacional de Pesquisas Espaciais: (Servidor público ou celetista - Tecnologista Senior III)
- Instituto Nacional de Pesquisas Espaciais: (SERVIDOR_PUBLICO - PROFESSOR_TITULAR)
- Instituto Nacional de Pesquisas Espaciais: (SERVIDOR_PUBLICO - Coord. Geral Infraestrutura e Pesq. Aplicadas)
- Fundação de Amparo à Pesquisa do Estado de São Paulo: (Membro de comitê assessor)
- International Astronautical Federation: (Membro de comitê assessor)</t>
  </si>
  <si>
    <t>402154/2026-6</t>
  </si>
  <si>
    <t>67812813215</t>
  </si>
  <si>
    <t>Gemilson Soares Pontes</t>
  </si>
  <si>
    <t>http://lattes.cnpq.br/9081671233815990</t>
  </si>
  <si>
    <t>Gemilson Soares Pontes, Rosemary Aparecida Roque, Felipe Moura Araujo da Silva, Sergio Massayoshi Nunomura, André Correa de Oliveira, Leonardo Brandão Matos, Cecilia Veronica Nunez, Renata Galvão de Azevedo</t>
  </si>
  <si>
    <t>RIBioAMAZ  Rede Interdisciplinar de Inovação em Bioprospecção de Produtos Naturais Amazônicos para Aplicações Biomédicas e Biotecnológicas</t>
  </si>
  <si>
    <t>Bioprospecção</t>
  </si>
  <si>
    <t>20:24:49</t>
  </si>
  <si>
    <t>09:55:57</t>
  </si>
  <si>
    <t>9081671233815990</t>
  </si>
  <si>
    <t>pontesbm1@gmail.com</t>
  </si>
  <si>
    <t>- Instituto Nacional de Pesquisas da Amazônia: (Servidor público - Pesquisador Titular II)
- Universidade do Estado do Amazonas: (COLABORADOR - Professor do Mestrado em Hematologia)
- Universidade Federal do Amazonas: (COLABORADOR - Mestrado e doutorado em Imunologia básica)</t>
  </si>
  <si>
    <t>401988/2026-0</t>
  </si>
  <si>
    <t>11252974841</t>
  </si>
  <si>
    <t>Gilvan Sampaio de Oliveira</t>
  </si>
  <si>
    <t>http://lattes.cnpq.br/0236607123089481</t>
  </si>
  <si>
    <t>Gilvan Sampaio de Oliveira, Chou Sin Chan, Daniela Carneiro Rodrigues, Silvio Nilo Figueroa Rivero, Julio Pablo Reyes Fernandez</t>
  </si>
  <si>
    <t>Pesquisa e Desenvolvimento para a geração e disseminação de projeções climáticas futuras com ênfase em eventos extremos na América do Sul</t>
  </si>
  <si>
    <t>16:40:22</t>
  </si>
  <si>
    <t>16:40:29</t>
  </si>
  <si>
    <t>0236607123089481</t>
  </si>
  <si>
    <t>gilvan.sampaio@inpe.br</t>
  </si>
  <si>
    <t>- Instituto Nacional de Pesquisas Espaciais: (Pesquisador/Tecnologista Senior)
- Comitê Interministerial sobre Mudança do Clima: (Membro de comitê assessor)</t>
  </si>
  <si>
    <t>402336/2026-7</t>
  </si>
  <si>
    <t>52397491249</t>
  </si>
  <si>
    <t>Glenn Harvey Shepard Jr</t>
  </si>
  <si>
    <t>http://lattes.cnpq.br/6374563794926122</t>
  </si>
  <si>
    <t>Glenn Harvey Shepard Jr, Marlia Regina Coelho-Ferreira, Sue Anne Regina Ferreira da Costa, Tarcízio Macedo, Adenilson Raniery Sarges Pontes, Igor Alves Quadros, Lewis J Daly, Vitória Mendes Alves</t>
  </si>
  <si>
    <t>A Floresta Sensível: O mundo sensorial indígena em diálogo com conhecimentos científicos no Museu Paraense Emílio Goeldi</t>
  </si>
  <si>
    <t>PROGRAMA BASICO DE ANTROPOLOGIA</t>
  </si>
  <si>
    <t>Etnologia Indígena</t>
  </si>
  <si>
    <t>12:24:51</t>
  </si>
  <si>
    <t>12:24:58</t>
  </si>
  <si>
    <t>6374563794926122</t>
  </si>
  <si>
    <t>gshepardjr@gmail.com</t>
  </si>
  <si>
    <t>- Instituto Nacional de Pesquisas da Amazônia: (Professor Credenciado - Professor Credenciado, Coordenação deEcologia)
- Museu Paraense Emílio Goeldi: (Servidor público - Dept. Antropologia, Pesquisador Titular)
- Museu Paraense Emílio Goeldi: (PROFESSOR_VISITANTE - Profesor permanente, PPGDS)
- Middle Tennessee State University: (COLABORADOR - Pesquisador colaborador)
- University of Turku: (em branco)
- Universidade Federal do Amazonas: (PROFESSOR_VISITANTE - Professor permanente)
- American Museum of Natural History: (PROFESSOR_VISITANTE - Professor visitante, Dept Antropologia)
- Universidad Peruana Cayetano Heredia - UPCH: (em branco)</t>
  </si>
  <si>
    <t>401094/2026-0</t>
  </si>
  <si>
    <t>10990816613</t>
  </si>
  <si>
    <t>Gustavo Alves de Melo</t>
  </si>
  <si>
    <t>http://lattes.cnpq.br/8077905004771803</t>
  </si>
  <si>
    <t>Gustavo Alves de Melo, Maria Gabriela Mendonça Peixoto, Maria Cristina Angélico de Mendonça, André Luiz Marques Serrano</t>
  </si>
  <si>
    <t>Desenvolvimento e validação da plataforma AgroCEP para monitoramento agroclimático e controle estatístico aplicado à eficiência e resiliência de sistemas produtivos frente às mudanças climáticas</t>
  </si>
  <si>
    <t>PROGRAMA BASICO DE ENGENHARIA DE PRODUCAO</t>
  </si>
  <si>
    <t>Suprimentos</t>
  </si>
  <si>
    <t>Universidade Federal de Viçosa</t>
  </si>
  <si>
    <t>UFV</t>
  </si>
  <si>
    <t>22:09:24</t>
  </si>
  <si>
    <t>22:09:31</t>
  </si>
  <si>
    <t>8077905004771803</t>
  </si>
  <si>
    <t>gustavo.a.melo@ufv.br</t>
  </si>
  <si>
    <t>- Universidade Federal de Viçosa: (OUTRO - Pesquisador)
- Universidade Federal de Viçosa: (Servidor público - Professor Adjunto 1)
- Universidade Tecnológica Federal do Paraná: (Membro de grupo de pesquisa - Pesquisador)
- Universidade do Sul de Santa Catarina: (Membro de grupo de pesquisa - Pesquisador)</t>
  </si>
  <si>
    <t>401999/2026-2</t>
  </si>
  <si>
    <t>29255363875</t>
  </si>
  <si>
    <t>Helena Pinto Lima</t>
  </si>
  <si>
    <t>http://lattes.cnpq.br/4138407289238061</t>
  </si>
  <si>
    <t>Helena Pinto Lima, Claudia Leonor López Garcés, Caroline Barros Soares, Brenda Bandeira de Azevedo, Larissa Ye'padiho Mota Duarte, Marlia Regina Coelho-Ferreira, Diana Cruz Rodrigues, Artur Garcia Gonçalves, yuri Kuikuro</t>
  </si>
  <si>
    <t xml:space="preserve"> Indigenizando o Museu Goeldi: acervos e territórios amazônicos em diálogo  </t>
  </si>
  <si>
    <t>18:19:47</t>
  </si>
  <si>
    <t>18:19:55</t>
  </si>
  <si>
    <t>4138407289238061</t>
  </si>
  <si>
    <t>lelenalima@gmail.com</t>
  </si>
  <si>
    <t>- Museu Paraense Emílio Goeldi: (Servidor público - Pesquisadora Titular)
- Museu Paraense Emílio Goeldi: (Servidor público - Pesquisadora Adjunta/Associada)
- Museu Paraense Emílio Goeldi: (Servidor público - Curadora da coleção arqueológica)
- Museu Paraense Emílio Goeldi: (Servidor público - Docente permanente)
- Museu Amazônico da Universidade Federal do Amazononas: (COLABORADOR - Professor - membro de colegiado)
- Museu Amazônico da Universidade Federal do Amazononas: (COLABORADOR - Pesquisador colaborador)
- Museu Amazônico da Universidade Federal do Amazononas: (COLABORADOR - Pesquisador associado)
- Associação Indígena Kuikuro do Alto Xingu: (em branco)
- Universidade Federal do Oeste do Pará: (em branco)
- Universidade Federal do Pará: (em branco)
- Conselho Nacional de Desenvolvimento Científico e Tecnológico: (Membro de comitê assessor)
- Universitat Autònoma de Barcelona - UAB: (em branco)</t>
  </si>
  <si>
    <t>402328/2026-4</t>
  </si>
  <si>
    <t>50860623220</t>
  </si>
  <si>
    <t>Hendrikus Gerardus Antonius van der Voort</t>
  </si>
  <si>
    <t>http://lattes.cnpq.br/8723849507527234</t>
  </si>
  <si>
    <t xml:space="preserve">Hendrikus Gerardus Antonius van der Voort, Igor Morais Mariano Rodrigues, Lucia Hussak van Velthem, Claudia Leonor López Garcés, Suzana Primo dos Santos, Fabio Roberto Filpo Jacob, Camila Pereira Jácome, Jaime Xamen </t>
  </si>
  <si>
    <t xml:space="preserve">Abertura de acervos culturais: acesso controlado online ao patrimônio cultural e linguístico indígena do MPEG </t>
  </si>
  <si>
    <t>PROGRAMA BASICO DE LINGUISTICA</t>
  </si>
  <si>
    <t>LL</t>
  </si>
  <si>
    <t>Lingüística, Letras e Artes</t>
  </si>
  <si>
    <t>Teoria e Análise Lingüística</t>
  </si>
  <si>
    <t>COCHS</t>
  </si>
  <si>
    <t>12:03:26</t>
  </si>
  <si>
    <t>12:03:38</t>
  </si>
  <si>
    <t>8723849507527234</t>
  </si>
  <si>
    <t>hvoort@museu-goeldi.br</t>
  </si>
  <si>
    <t>- Museu Paraense Emílio Goeldi: (Servidor público - pesquisador titular)</t>
  </si>
  <si>
    <t>402055/2026-8</t>
  </si>
  <si>
    <t>09054537515</t>
  </si>
  <si>
    <t>Herman Augusto Lepikson</t>
  </si>
  <si>
    <t>http://lattes.cnpq.br/1115148358376830</t>
  </si>
  <si>
    <t>Herman Augusto Lepikson, Luis Carlos Moreno Ledezma, Anderson Farias de Souza Lima, Frederico Garcia de Oliveira, Pedro Xavier Alcantara, Alexandro Quirino da Silva</t>
  </si>
  <si>
    <t>Desenvolvimento de um Robô Reconfigurável para Missões de Inspeção, Mapeamento e Manutenção de Estruturas Suspensas e em Áreas de Difícil Acesso</t>
  </si>
  <si>
    <t>PROGRAMA BASICO DE ENGENHARIA MECANICA</t>
  </si>
  <si>
    <t xml:space="preserve">Métodos de Síntese e Otimização Aplicados ao Projeto </t>
  </si>
  <si>
    <t>Universidade Federal da Bahia</t>
  </si>
  <si>
    <t>UFBA</t>
  </si>
  <si>
    <t>BA</t>
  </si>
  <si>
    <t>18:40:19</t>
  </si>
  <si>
    <t>09:49:49</t>
  </si>
  <si>
    <t>SENAI - Departamento Regional da Bahia</t>
  </si>
  <si>
    <t>SENAI/DR/BA</t>
  </si>
  <si>
    <t>1115148358376830</t>
  </si>
  <si>
    <t>hlepikson@gmail.com</t>
  </si>
  <si>
    <t>- Universidade Federal da Bahia: (COLABORADOR - Professor Permanente)
- Conselho Nacional de Saúde, Comissão Nacional de Ética em Pesquisa: (Membro de comitê assessor)
- Conselho Nacional de Saúde, Comissão Nacional de Ética em Pesquisa: (Membro de comitê assessor)
- Conselho Nacional de Saúde, Comissão Nacional de Ética em Pesquisa: (Membro de comitê assessor)
- Conselho Nacional de Saúde, Comissão Nacional de Ética em Pesquisa: (Membro de comitê assessor)
- SENAI - Departamento Regional da Bahia: (CELETISTA - PROFESSOR_TITULAR)
- SENAI - Departamento Regional da Bahia: (CELETISTA - Pesquisador Líder de ISIs)
- UNIVERSIDADE SENAI CIMATEC: (em branco)</t>
  </si>
  <si>
    <t>402338/2026-0</t>
  </si>
  <si>
    <t>08339536648</t>
  </si>
  <si>
    <t>Izabela Fonseca Aleixo</t>
  </si>
  <si>
    <t>http://lattes.cnpq.br/4484010814909501</t>
  </si>
  <si>
    <t xml:space="preserve">Izabela Fonseca Aleixo, Caroline Schmaedeck Lara, Paulo de Tarso Barbosa Sampaio, Gil Vieira, Raquel da Silva Medeiros, Rayssa Gomes Vasconcelos, Thiago da Silva Nascimento, Flávio Mauro Souza Bruno, Gloria Cecilia Macia </t>
  </si>
  <si>
    <t>Plataforma integrada de monitoramento fenológico e vulnerabilidade climática na Amazônia Central: soluções tecnológicas aplicadas à bioeconomia amazônica</t>
  </si>
  <si>
    <t>PROGRAMA BASICO DE RECURSOS FLORESTAIS E ENGENHARIA FLORESTAL</t>
  </si>
  <si>
    <t>RF</t>
  </si>
  <si>
    <t>Silvicultura</t>
  </si>
  <si>
    <t>12:42:58</t>
  </si>
  <si>
    <t>12:43:09</t>
  </si>
  <si>
    <t>4484010814909501</t>
  </si>
  <si>
    <t>izabela.faleixo@gmail.com</t>
  </si>
  <si>
    <t>- Instituto Nacional de Pesquisas da Amazônia: (Servidor público - PROFESSOR_TITULAR)</t>
  </si>
  <si>
    <t>400941/2026-0</t>
  </si>
  <si>
    <t>59560762400</t>
  </si>
  <si>
    <t>Jair Max Furtunato Maia</t>
  </si>
  <si>
    <t>http://lattes.cnpq.br/2756083344723640</t>
  </si>
  <si>
    <t>Jair Max Furtunato Maia, Marta Regina Silva Pereira, Caroliny Almeida Coelho, José Do Rosário Costa Junior</t>
  </si>
  <si>
    <t>Biomonitoramento de Metais Pesados por Briófitas no Médio Rio Madeira: Fortalecimento Institucional na Amazônia Ocidental</t>
  </si>
  <si>
    <t>Universidade do Estado do Amazonas</t>
  </si>
  <si>
    <t>UEA</t>
  </si>
  <si>
    <t>05/05/2026</t>
  </si>
  <si>
    <t>21:58:29</t>
  </si>
  <si>
    <t>21:58:34</t>
  </si>
  <si>
    <t>2756083344723640</t>
  </si>
  <si>
    <t>jmaia@uea.edu.br</t>
  </si>
  <si>
    <t>- Universidade do Estado do Amazonas: (Servidor público - Professor Associado)
- Fundação de Amparo a Pesquisa do Estado do Amazonas: (Membro de comitê assessor)</t>
  </si>
  <si>
    <t>402222/2026-1</t>
  </si>
  <si>
    <t>54223555634</t>
  </si>
  <si>
    <t>Jefferson José Vilela</t>
  </si>
  <si>
    <t>http://lattes.cnpq.br/0948970682519019</t>
  </si>
  <si>
    <t xml:space="preserve">Jefferson José Vilela, Amir Zacarias Mesquita, Sergio Almeida Cunha Filgueiras, Pablo Andrade Grossi, Daniel de Almeida Magalhães Campolina, Hugo Moura Dalle, Luiz Cláudio Andrade Souza, Patrícia Mendes de Azevedo, </t>
  </si>
  <si>
    <t>Gestão de Envelhecimento e Planejamento do Descomissionamento de Instalações Nucleares do CDTN/CNEN</t>
  </si>
  <si>
    <t>19:36:40</t>
  </si>
  <si>
    <t>09:59:58</t>
  </si>
  <si>
    <t>0948970682519019</t>
  </si>
  <si>
    <t>jjv@cdtn.br</t>
  </si>
  <si>
    <t>- COMISSAO NACIONAL DE ENERGIA NUCLEAR: (Servidor público - Pesquisador Titular III)</t>
  </si>
  <si>
    <t>401040/2026-7</t>
  </si>
  <si>
    <t>05074263808</t>
  </si>
  <si>
    <t>Jesualdo Luiz Rossi</t>
  </si>
  <si>
    <t>http://lattes.cnpq.br/0763948174052925</t>
  </si>
  <si>
    <t xml:space="preserve">Jesualdo Luiz Rossi, Marina Fuser Pillis, Cristiano Stefano Mucsi, Renato Altobelli Antunes, Luis Gallego Martinez, Larissa Otubo, Marcos Tadeu D Azeredo Orlando, Xabier Turrillas, Camila Boldrini Nascimento, Carlos Augusto </t>
  </si>
  <si>
    <t>Ligas de alta entropia, obtenção, processamento, otimização e inovação com uso intensivo de metais especiais</t>
  </si>
  <si>
    <t>Estrutura dos Metais e Ligas</t>
  </si>
  <si>
    <t>22:54:13</t>
  </si>
  <si>
    <t>22:54:20</t>
  </si>
  <si>
    <t>0763948174052925</t>
  </si>
  <si>
    <t>jelrossi@gmail.com</t>
  </si>
  <si>
    <t>- Universidade de São Paulo: (OUTRO - PROFESSOR_TITULAR)
- COMISSAO NACIONAL DE ENERGIA NUCLEAR: (Servidor público - PESQUISADOR TITULAR III)
- COMISSAO NACIONAL DE ENERGIA NUCLEAR: (Servidor público - Gerente de Centro)
- Instituto de Pesqisas Energéticas e Nucleares: (Servidor público - Pesquisador)</t>
  </si>
  <si>
    <t>402037/2026-0</t>
  </si>
  <si>
    <t>03001867540</t>
  </si>
  <si>
    <t>Jhielson Montino Pimentel</t>
  </si>
  <si>
    <t>http://lattes.cnpq.br/9924232256219620</t>
  </si>
  <si>
    <t xml:space="preserve">Jhielson Montino Pimentel, Ivan João de Queiroz Filho, Herman Augusto Lepikson, Daniel Oliveira de Almeida, Álvaro Souza de Araújo, Carlos Eduardo Conceicao Santos de Almeida, Rodrigo Silveira de Santiago, João Pedro </t>
  </si>
  <si>
    <t>Desenvolvimento de ferramenta robótica teleoperada para prevenção à formação de biofilme em embarcações</t>
  </si>
  <si>
    <t>Robótica e mecatrônica</t>
  </si>
  <si>
    <t>UNIVERSIDADE SENAI CIMATEC</t>
  </si>
  <si>
    <t>CIMATEC</t>
  </si>
  <si>
    <t>17:17:44</t>
  </si>
  <si>
    <t>09:48:46</t>
  </si>
  <si>
    <t>9924232256219620</t>
  </si>
  <si>
    <t>jhielsonm@fieb.org.br</t>
  </si>
  <si>
    <t>- SENAI CIMATEC: (CELETISTA - Engenheiro Líder - Robótica - Especialista IV)</t>
  </si>
  <si>
    <t>401993/2026-4</t>
  </si>
  <si>
    <t>73397334853</t>
  </si>
  <si>
    <t>Joaquim Eduardo Rezende Costa</t>
  </si>
  <si>
    <t>http://lattes.cnpq.br/7275059047419031</t>
  </si>
  <si>
    <t xml:space="preserve">Joaquim Eduardo Rezende Costa, Clezio Marcos De Nardin, Cristiano Max Wrasse, Delano Gobbi, Diego Barros Silva, Emilia Correia, Fábio Becker Guedes, Jean Carlo Santos, Láysa Cristina Araujo Resende Chagas, Lígia Alves </t>
  </si>
  <si>
    <t>Pesquisa em clima espacial para proteção às infraestruturas críticas</t>
  </si>
  <si>
    <t>16:20:00</t>
  </si>
  <si>
    <t>16:50:33</t>
  </si>
  <si>
    <t>7275059047419031</t>
  </si>
  <si>
    <t>joaquim.costa@inpe.br</t>
  </si>
  <si>
    <t>- Instituto Nacional de Pesquisas Espaciais: (PESQUISADOR TITULAR III)</t>
  </si>
  <si>
    <t>402106/2026-1</t>
  </si>
  <si>
    <t>53185005287</t>
  </si>
  <si>
    <t>Jochen Schongart</t>
  </si>
  <si>
    <t>http://lattes.cnpq.br/2468979908831549</t>
  </si>
  <si>
    <t xml:space="preserve">Jochen Schongart, Maria Teresa Fernandez Piedade, Layon Oreste Demarchi, Flavia Machado Durgante, Camila Cherem Ribas, Maria Julia Ferreira, Caroline Schmaedeck Lara, Aline Lopes, Florian Karl Wittmann, Elizabeth </t>
  </si>
  <si>
    <t>Pesquisas interdisciplinares e interculturais para fortalecer a gestão territorial de áreas úmidas amazônicas</t>
  </si>
  <si>
    <t>16:53:14</t>
  </si>
  <si>
    <t>09:53:03</t>
  </si>
  <si>
    <t>2468979908831549</t>
  </si>
  <si>
    <t>jochen.schongart@inpa.gov.br</t>
  </si>
  <si>
    <t>- Instituto Nacional de Pesquisas da Amazônia: (Servidor público - Docente permanente PPG-CFT)
- Instituto Nacional de Pesquisas da Amazônia: (Vice Lider do Grupo de Pesquisa MAUA)
- Instituto Nacional de Pesquisas da Amazônia: (Servidor público - Docente permanente PPG-ECO)
- Instituto Nacional de Pesquisas da Amazônia: (Servidor público - Conselheiro Comitê Científico Projeto ATTO)
- Instituto Nacional de Pesquisas da Amazônia: (Membro Comitê Científico - Conselheiro Comitê Científico LBA)
- Instituto Nacional de Pesquisas da Amazônia: (Servidor público - Membro CDRDSU)
- Instituto Nacional de Pesquisas da Amazônia: (Servidor público - Pesquisador Titular do INPA)
- Instituto Nacional de Pesquisas da Amazônia: (Avaliador - Comissão de seleção de doutorado (PPG-CFT))
- Instituto Nacional de Pesquisas da Amazônia: (Servidor público - Conselheiro da CODAM)
- Instituto Nacional de Pesquisas da Amazônia: (Servidor público - Membro Comitê Avaliaçãp PIBIC Ecologia)
- Instituto Nacional de Pesquisas da Amazônia: (Servidor público - Membro Conselho Deliberativo da Resex BRBJ)
- Instituto Nacional de Pesquisas da Amazônia: (Servidor público - Docente permanente PPG-MPGAP)
- Universidade Federal do Amazonas: (PROFESSOR_VISITANTE - Colaborador)
- Ernst-Moritz-Arndt-University Greifswald: (PROFESSOR_VISITANTE - Docente)
- Karlsruher Institut für Technologie: (em branco)
- MINISTERIO DO MEIO AMBIENTE: (Conselheiro - Membro do Comitê Nacional de Zonas Úmidas)</t>
  </si>
  <si>
    <t>401101/2026-6</t>
  </si>
  <si>
    <t>42301149749</t>
  </si>
  <si>
    <t>Jose Abdalla Helayel Neto</t>
  </si>
  <si>
    <t>http://lattes.cnpq.br/4044332658989430</t>
  </si>
  <si>
    <t xml:space="preserve">Jose Abdalla Helayel Neto, Renato Melchiades Doria, Celso Melchiades Doria, Denis Cocuroci, Francisco Carlos Pinheiro Nunes, Erica da Silva Martins Carvalho, Washington Inácio de Souza Soares, Flavio Imbert Domingos, Luís </t>
  </si>
  <si>
    <t>STEM: Educação 4.0 e inovações fotônicas</t>
  </si>
  <si>
    <t>PROGRAMA BASICO DE EDUCACAO</t>
  </si>
  <si>
    <t>ED</t>
  </si>
  <si>
    <t>Ensino-Aprendizagem</t>
  </si>
  <si>
    <t>Centro Brasileiro de Pesquisas Físicas</t>
  </si>
  <si>
    <t>CBPF</t>
  </si>
  <si>
    <t>COEDC</t>
  </si>
  <si>
    <t>13:33:44</t>
  </si>
  <si>
    <t>16:43:12</t>
  </si>
  <si>
    <t>4044332658989430</t>
  </si>
  <si>
    <t>josehelayel@gmail.com</t>
  </si>
  <si>
    <t>Faixa 2 (24 propostas)</t>
  </si>
  <si>
    <t>- Centro Brasileiro de Pesquisas Físicas: (SERVIDOR_PUBLICO - Pesquisador Titular)
- Grupo de Física Teórica José Leite Lopes: (Membro Efetivo - Pesquisador)
- Aprendanet - Petrópolis: (COLABORADOR - Colaborador na Coordenação Científica)
- Instituto Federal de Educação, Ciência e Tecnologia do Rio de Janeiro: (COLABORADOR - Professor-Colaborador)</t>
  </si>
  <si>
    <t>401134/2026-1</t>
  </si>
  <si>
    <t>00794506445</t>
  </si>
  <si>
    <t>Jose Adson Oliveira Guedes da Cunha</t>
  </si>
  <si>
    <t>http://lattes.cnpq.br/3912060609881766</t>
  </si>
  <si>
    <t>Jose Adson Oliveira Guedes da Cunha, Alexandre José Henrique de Oliveira Luna</t>
  </si>
  <si>
    <t>Plataforma de Serious Game para Experimentação e Sistematização de Nudges em Ambientes Digitais</t>
  </si>
  <si>
    <t>Sistemas de Informação</t>
  </si>
  <si>
    <t>Universidade Federal da Paraíba</t>
  </si>
  <si>
    <t>UFPB</t>
  </si>
  <si>
    <t>PB</t>
  </si>
  <si>
    <t>22:24:05</t>
  </si>
  <si>
    <t>22:24:13</t>
  </si>
  <si>
    <t>3912060609881766</t>
  </si>
  <si>
    <t>adsoncunha@gmail.com</t>
  </si>
  <si>
    <t>- Universidade Federal da Paraíba: (Servidor público - Professor Adjunto)
- Escola Nacional de Administração Pública: (COLABORADOR - Colaborador)
- SECRETARIA DE ESTADO DA SAUDE - SES: (Bolsista - Bolsista)</t>
  </si>
  <si>
    <t>402326/2026-1</t>
  </si>
  <si>
    <t>00655044884</t>
  </si>
  <si>
    <t>Jose Bustillos</t>
  </si>
  <si>
    <t>http://lattes.cnpq.br/6677363162414640</t>
  </si>
  <si>
    <t>Jose Bustillos, Maria Claudia França da Cunha Felinto, Hermi Felinto de Brito, Caroline Kako Ostermann</t>
  </si>
  <si>
    <t>Sensores eletro-ópticos multimodais baseados em pontos quânticos e nanopartículas cerâmicas para detecção de contaminantes emergentes</t>
  </si>
  <si>
    <t>11:58:29</t>
  </si>
  <si>
    <t>11:58:37</t>
  </si>
  <si>
    <t>6677363162414640</t>
  </si>
  <si>
    <t>ovega@ipen.br</t>
  </si>
  <si>
    <t>- COMISSAO NACIONAL DE ENERGIA NUCLEAR: (Servidor público ou celetista - Pesquisador)
- Universidade do Estado do Amazonas: (PROFESSOR_VISITANTE - Professor visitante)
- Instituto Nacional de Pesquisas da Amazônia: (em branco)
- Instituto de Botânica: (em branco)
- Espaço Lógico Software e Comércio Ltda.: (em branco)</t>
  </si>
  <si>
    <t>402016/2026-2</t>
  </si>
  <si>
    <t>48876143734</t>
  </si>
  <si>
    <t>Jose Domingos Ardisson</t>
  </si>
  <si>
    <t>http://lattes.cnpq.br/6486792705300520</t>
  </si>
  <si>
    <t xml:space="preserve">Jose Domingos Ardisson, Adelina Pinheiro Santos, Adriana Silva de Albuquerque, Alice Freitas Versiani, Amanda Keller dos Reis Alfeu, Andre Felipe de Oliveira, Bianca Cardenas Moreno Lima, Caíque Amorim Silveira, Clascidia </t>
  </si>
  <si>
    <t>Nanoplataformas multifuncionais: tecnologias habilitadoras para diagnóstico, terapias responsivas e sistemas teranósticos</t>
  </si>
  <si>
    <t>Física da Matéria Condensada</t>
  </si>
  <si>
    <t>02:27:52</t>
  </si>
  <si>
    <t>02:28:13</t>
  </si>
  <si>
    <t>6486792705300520</t>
  </si>
  <si>
    <t>jdr@cdtn.br</t>
  </si>
  <si>
    <t>- COMISSAO NACIONAL DE ENERGIA NUCLEAR: (Pesquisador titular)
- Centro de Desenvolvimento da Tecnologia Nuclear: (Chefe Substituto da  DIIMM/CDTN/CNEN)
- Centro de Desenvolvimento da Tecnologia Nuclear: (Chefe Substituto DO  SENAN/CDTN/CNEN)</t>
  </si>
  <si>
    <t>401982/2026-2</t>
  </si>
  <si>
    <t>17944662826</t>
  </si>
  <si>
    <t>José Eduardo May</t>
  </si>
  <si>
    <t>http://lattes.cnpq.br/3462281514752860</t>
  </si>
  <si>
    <t>José Eduardo May, Valeri Vlassov Vladimirovich, Rafael Lopes Costa, Cristiano Enke, Graziela da Silva Savonov</t>
  </si>
  <si>
    <t xml:space="preserve">Tubos de Calor Alumínio - Água para Uso em Controle Térmico de Satélites </t>
  </si>
  <si>
    <t>Engenharia Térmica</t>
  </si>
  <si>
    <t>16:15:48</t>
  </si>
  <si>
    <t>16:17:47</t>
  </si>
  <si>
    <t>3462281514752860</t>
  </si>
  <si>
    <t>jose.may@inpe.br</t>
  </si>
  <si>
    <t>- Instituto Nacional de Pesquisas Espaciais: (Servidor público - TEcnologista)</t>
  </si>
  <si>
    <t>401966/2026-7</t>
  </si>
  <si>
    <t>10507108272</t>
  </si>
  <si>
    <t>José Francisco Berrêdo Reis da Silva</t>
  </si>
  <si>
    <t>http://lattes.cnpq.br/1338038101910673</t>
  </si>
  <si>
    <t xml:space="preserve">José Francisco Berrêdo Reis da Silva, Ana Paula Linhares Pereira, Paula Godinho Ribeiro, Admilson Moreira Torres, Luís Roberto Takiyama, Pedro Walfir Martins e Souza Filho, Vinicius Tavares Kütter, Zoneibe Augusto Silva Luz, </t>
  </si>
  <si>
    <t>Baseline de metais e saúde dos sedimentos/solos de manguezais da Margem Equatorial Norte para a avaliação de serviços ecossistêmicos e desenvolvimento da Região Amazônica.</t>
  </si>
  <si>
    <t>Geologia</t>
  </si>
  <si>
    <t>15:11:38</t>
  </si>
  <si>
    <t>15:12:34</t>
  </si>
  <si>
    <t>1338038101910673</t>
  </si>
  <si>
    <t>berredo@museu-goeldi.br</t>
  </si>
  <si>
    <t>- Museu Paraense Emílio Goeldi: (Servidor público - Pesquisador Associado I (B IV))
- Universidade Federal Rural da Amazônia: (em branco)
- Universide Federal do Pará: (em branco)</t>
  </si>
  <si>
    <t>402322/2026-6</t>
  </si>
  <si>
    <t>14181231453</t>
  </si>
  <si>
    <t>José Luiz Alves</t>
  </si>
  <si>
    <t>http://lattes.cnpq.br/7078869287819893</t>
  </si>
  <si>
    <t>José Luiz Alves, Marcella Grangeiro Lima, Geysa Karla Alves Galvão, Charlis Alberto Cabral de Moraes Júnior</t>
  </si>
  <si>
    <t>Consultoria conectada a Agenda 2030: jogos digitais com ênfase na sustentabilidade das empresas públicas e privadas.</t>
  </si>
  <si>
    <t>Administração de Empresas</t>
  </si>
  <si>
    <t>Universidade de Pernambuco</t>
  </si>
  <si>
    <t>UPE</t>
  </si>
  <si>
    <t>11:45:29</t>
  </si>
  <si>
    <t>11:45:38</t>
  </si>
  <si>
    <t>7078869287819893</t>
  </si>
  <si>
    <t>luiz.alves@upe.br</t>
  </si>
  <si>
    <t>- Universidade de Pernambuco: (Servidor público - Estatutário)
- Instituto Nacional de Estudos e Pesquisas Educacionais Anísio Teixeira: (Membro de comitê assessor)
- Universidade de Pernambuco: (em branco)</t>
  </si>
  <si>
    <t>402190/2026-2</t>
  </si>
  <si>
    <t>90041640659</t>
  </si>
  <si>
    <t>Jose Ricardo Cezar Salgado</t>
  </si>
  <si>
    <t>http://lattes.cnpq.br/3914867445646676</t>
  </si>
  <si>
    <t xml:space="preserve">Jose Ricardo Cezar Salgado, Diogo Miguel Franco dos Santos, Josimar Ribeiro, Leonardo Alexandre Veltrone, Adalberto Teógenes Tavares Júnior, Henrique Chien Hua Nascimento, Jorge Luis de Oliveira Gomes, Márcio de </t>
  </si>
  <si>
    <t>Desenvolvimento de Eletrocatalisadores Ternários CoNiCu Obtidos por Eletrodeposição para Aplicação na Reação de Desprendimento de Hidrogênio e Oxigênio visando Produção Sustentável de Hidrogênio Verde</t>
  </si>
  <si>
    <t>Eletroquímica</t>
  </si>
  <si>
    <t>17:55:07</t>
  </si>
  <si>
    <t>09:58:08</t>
  </si>
  <si>
    <t>3914867445646676</t>
  </si>
  <si>
    <t>jrc_salgado@yahoo.com.br</t>
  </si>
  <si>
    <t>- Universidade Federal da Integração Latino-Americana: (Servidor público - Professor Adjunto A1)
- Fundação Araucária de Apoio ao Desenvolvimento Científico e Tecnológico: (Membro de comitê assessor)
- Universidade Federal da Fronteira Sul - Campus Realeza: (Membro de comitê assessor)
- Universidade Federal de Pelotas: (Membro de comitê assessor)
- Universidade Estadual do Rio Grande do Sul: (Membro de comitê assessor)</t>
  </si>
  <si>
    <t>401045/2026-9</t>
  </si>
  <si>
    <t>33954487896</t>
  </si>
  <si>
    <t>Joyce Rodrigues de Araújo</t>
  </si>
  <si>
    <t>http://lattes.cnpq.br/8715885877497181</t>
  </si>
  <si>
    <t>Joyce Rodrigues de Araújo, Maria de Fátima Vieira Marques, Michelle Gonçalves Mothé, Thenner Silva Rodrigues, Rogerio Valaski, Fabiele Collovini Tavares, Alan de Araujo Dias, Marcello Pojucan Magaldi Santos</t>
  </si>
  <si>
    <t>Plataforma Nacional de Filmes Finos Semicondutores para Energia e Optoeletrônica</t>
  </si>
  <si>
    <t>Polímeros, Aplicações</t>
  </si>
  <si>
    <t>Instituto Nacional de Metrologia, Qualidade e Tecnologia</t>
  </si>
  <si>
    <t>INMETRO</t>
  </si>
  <si>
    <t>25/05/2026</t>
  </si>
  <si>
    <t>14:02:52</t>
  </si>
  <si>
    <t>14:02:59</t>
  </si>
  <si>
    <t>8715885877497181</t>
  </si>
  <si>
    <t>joyce.2003@gmail.com</t>
  </si>
  <si>
    <t>- Instituto Nacional de Metrologia, Qualidade e Tecnologia: (Pesquisador Tecnologista)
- Instituto Nacional de Metrologia, Qualidade e Tecnologia: (em branco)</t>
  </si>
  <si>
    <t>402180/2026-7</t>
  </si>
  <si>
    <t>07695340740</t>
  </si>
  <si>
    <t>Katia Carneiro de Paula</t>
  </si>
  <si>
    <t>http://lattes.cnpq.br/8188475000675337</t>
  </si>
  <si>
    <t>Katia Carneiro de Paula, Adriana de Oliveira e Silva, Luiza Carneiro Chrysóstomo, Renata Milhomem Sá, Maria Fernanda Lima Oliveira, Nathália Pentagna Maciello Drummond Pires, Rafael Carlini Ruzzi</t>
  </si>
  <si>
    <t xml:space="preserve">Caracterização multi-ômica de uma terapia epigenética para promover a regeneração tecidual em modelo pré-clínico saudável e diabético </t>
  </si>
  <si>
    <t>PROGRAMA BASICO DE MORFOLOGIA</t>
  </si>
  <si>
    <t>MF</t>
  </si>
  <si>
    <t>Citologia e Biologia Celular</t>
  </si>
  <si>
    <t>23:31:52</t>
  </si>
  <si>
    <t>09:57:32</t>
  </si>
  <si>
    <t>8188475000675337</t>
  </si>
  <si>
    <t>kcarneiro@histo.ufrj.br</t>
  </si>
  <si>
    <t>- Universidade Federal do Rio de Janeiro: (Coordenadora Pós-graduação)
- Universidade Federal do Rio de Janeiro: (Servidor público - Professora Associada)
- Universidade Federal do Rio de Janeiro: (Servidor público - Coordenadora de Programa de Pesquisa)
- Fundação de Amparo à Pesquisa do Estado de São Paulo: (Membro de comitê assessor)
- UFRJ: (Membro de comitê assessor)
- Ministério da Saúde: (Membro de comitê assessor)
- Université de Haute-Alsace: (PROFESSOR_VISITANTE - Researcher)</t>
  </si>
  <si>
    <t>401990/2026-5</t>
  </si>
  <si>
    <t>19041906851</t>
  </si>
  <si>
    <t>Kleber Pinheiro Naccarato</t>
  </si>
  <si>
    <t>http://lattes.cnpq.br/6324293045209180</t>
  </si>
  <si>
    <t xml:space="preserve">Kleber Pinheiro Naccarato, Ernani de Lima Nascimento, Aurelienne Aparecida Souza Jorge, Izabelly Carvalho da Costa, Thiago Souza Biscaro, Diego Pereira Enoré, Caio Átila Pereira Sena, Diego Rodrigo Moitinho de Souza, </t>
  </si>
  <si>
    <t>Geração e Disseminação de Produtos Derivados de Dados de Sensoriamento Remoto para Aprimoramento da Infraestrutura Institucional de Modelagem Numérica de Tempo e Sistema Integrado de Bases de Dados</t>
  </si>
  <si>
    <t>Meteorologia</t>
  </si>
  <si>
    <t>16:31:45</t>
  </si>
  <si>
    <t>16:50:25</t>
  </si>
  <si>
    <t>6324293045209180</t>
  </si>
  <si>
    <t>kleber.naccarato@inpe.br</t>
  </si>
  <si>
    <t>- Instituto Nacional de Pesquisas Espaciais: (Pesquisador Associado I)
- Instituto Tecnológico de Aeronáutica: (Pesquisador Colaborador - Docente de Pós-Graduação)</t>
  </si>
  <si>
    <t>402191/2026-9</t>
  </si>
  <si>
    <t>78771919287</t>
  </si>
  <si>
    <t>Larissa Ramos Chevreuil</t>
  </si>
  <si>
    <t>http://lattes.cnpq.br/8899452024207330</t>
  </si>
  <si>
    <t xml:space="preserve">Larissa Ramos Chevreuil, Ceci Sales-Campos, Simone de Nazaré Melo Ramos, Raimundo Sousa Lima Júnior, Márcia Queiroz Latorraca, Maressa Caldeira Morzelle, Julia Ines Fariña, Edson Pablo da Silva, Larissa Batista do Nascimento </t>
  </si>
  <si>
    <t>FUNGIbioActive: Rede Integrada de Capacitação Científica e Desenvolvimento Tecnológico de Macrofungos Amazônicos para Saúde e Bioeconomia</t>
  </si>
  <si>
    <t>Microbiologia Aplicada</t>
  </si>
  <si>
    <t>17:50:02</t>
  </si>
  <si>
    <t>09:58:11</t>
  </si>
  <si>
    <t>8899452024207330</t>
  </si>
  <si>
    <t>lchevreuil@inpa.gov.br</t>
  </si>
  <si>
    <t>- Instituto Nacional de Pesquisas da Amazônia: (Servidor público - Pesquisador)
- Universidade Estadual de Campinas: (COLABORADOR - integrante de projeto de pesquisa)
- Universidade de Caxias do Sul: (COLABORADOR - integrante de projeto de pesquisa)
- Universidade Federal do Amazonas: (Professora Colaboradora - Professora colaboradora)
- Universidade do Estado do Amazonas: (Professora Colaboradora - Professora colaboradora)</t>
  </si>
  <si>
    <t>402384/2026-1</t>
  </si>
  <si>
    <t>32588088805</t>
  </si>
  <si>
    <t>Lina Bufalino</t>
  </si>
  <si>
    <t>http://lattes.cnpq.br/1775021506836485</t>
  </si>
  <si>
    <t xml:space="preserve">Lina Bufalino, Lays Camila Matos, Ingryd Aranda Maciel da Silva, Valéria De Jesus Pereira, Paulo Roberto Santos Josino, Dhimitrius Neves Paraguassu Smith de Oliveira, Luiza Helena da Silva Martins, Nathália Santos Serrão de </t>
  </si>
  <si>
    <t>PRODUTOS CELULÓSICOS DE FIBRAS DO RESÍDUO DE AÇAÍ FUNCIONALIZADOS COM BIOATIVOS AMAZÔNICOS PARA ECOEMBALAGENS</t>
  </si>
  <si>
    <t>Tecnologia e Utilização de Produtos Florestais</t>
  </si>
  <si>
    <t>19:37:45</t>
  </si>
  <si>
    <t>19:37:52</t>
  </si>
  <si>
    <t>1775021506836485</t>
  </si>
  <si>
    <t>linabufalino1@gmail.com</t>
  </si>
  <si>
    <t>- Universidade Federal do Amapá: (Pós-graduação - Professor Efetivo)
- Universidade Federal Rural da Amazônia: (Servidor público - Professora)
- The Biodiversity Research Consortium Brazil-Norway: (Membro de comitê assessor)
- Universidade Estadual do Maranhão: (Pós Graduação - Professora permanente de pós-graduação)</t>
  </si>
  <si>
    <t>402009/2026-6</t>
  </si>
  <si>
    <t>06501970466</t>
  </si>
  <si>
    <t>Lis Fernandes Stegmann</t>
  </si>
  <si>
    <t>http://lattes.cnpq.br/9454867287897965</t>
  </si>
  <si>
    <t xml:space="preserve">Lis Fernandes Stegmann, Sâmia Batista e Silva, Sue Anne Regina Ferreira da Costa, Vanja Joice Bispo Santos, Fernando Elias da Silva, Tarcízio Macedo, Mayara Larrys Gomes de Assis Nogueira, Carla Patrícia Serqueira Lima, </t>
  </si>
  <si>
    <t xml:space="preserve">OCCA - Observatório da Ciência Cidadã na Amazônia </t>
  </si>
  <si>
    <t>22:38:47</t>
  </si>
  <si>
    <t>22:39:01</t>
  </si>
  <si>
    <t>9454867287897965</t>
  </si>
  <si>
    <t>lis.stegmann@gmail.com</t>
  </si>
  <si>
    <t>- Museu Paraense Emílio Goeldi: (Servidor público - Pesquisadora)</t>
  </si>
  <si>
    <t>402027/2026-4</t>
  </si>
  <si>
    <t>02877919200</t>
  </si>
  <si>
    <t>Lucas Ferreira Colares</t>
  </si>
  <si>
    <t>http://lattes.cnpq.br/2089688089770413</t>
  </si>
  <si>
    <t xml:space="preserve">Lucas Ferreira Colares, Rogério Rosa da Silva, Marcos Paulo Alves de Sousa, Danilo Elias de Oliveira, Mario Jardim Cupello, Fernando da Silva Carvalho Filho, Marcos Cesar da Rocha Seruffo, Marlucia Bonifacio Martins, Leandro </t>
  </si>
  <si>
    <t>Soberania, justiça social e desenvolvimento em inovações tecnológicas para o monitoramento ambiental e da sociobiodiversidade na Amazônia Oriental</t>
  </si>
  <si>
    <t>Ecologia Aplicada</t>
  </si>
  <si>
    <t>08:19:46</t>
  </si>
  <si>
    <t>08:19:54</t>
  </si>
  <si>
    <t>2089688089770413</t>
  </si>
  <si>
    <t>lucasfcolares@gmail.com</t>
  </si>
  <si>
    <t>- Museu Paraense Emílio Goeldi: (Servidor público - Pesquisador Titular)
- Universidade Federal Rural da Amazônia: (em branco)</t>
  </si>
  <si>
    <t>400981/2026-2</t>
  </si>
  <si>
    <t>40383307880</t>
  </si>
  <si>
    <t>Luis Eduardo Genaro</t>
  </si>
  <si>
    <t>http://lattes.cnpq.br/4438233758931884</t>
  </si>
  <si>
    <t>Luis Eduardo Genaro, Paula Fernanda Nogueira</t>
  </si>
  <si>
    <t>Saúde bucal de pessoas idosas na Atenção Primária à Saúde: diagnóstico epidemiológico e desenvolvimento de ferramenta digital baseada em inteligência artificial para triagem e estratificação de risco</t>
  </si>
  <si>
    <t>Ciências Sociais e Humanidades em Saúde</t>
  </si>
  <si>
    <t>Universidade Estadual Paulista Júlio de Mesquita Filho</t>
  </si>
  <si>
    <t>UNESP</t>
  </si>
  <si>
    <t>14/05/2026</t>
  </si>
  <si>
    <t>22:35:59</t>
  </si>
  <si>
    <t>22:36:08</t>
  </si>
  <si>
    <t>4438233758931884</t>
  </si>
  <si>
    <t>luis-genaro@outlook.com</t>
  </si>
  <si>
    <t>- Universidade Estadual Paulista Júlio de Mesquita Filho: (Servidor público - Professor Assistente Doutor)
- Universidade Estadual Paulista Júlio de Mesquita Filho: (Servidor público - Professor Permanente)
- Faculdade Odontologia de Jundiaí - Anhanguera: (CELETISTA - Professor)
- Faculdade Odontologia de Jundiaí - Anhanguera: (CELETISTA - Professor)
- Faculdade Odontologia de Jundiaí - Anhanguera: (CELETISTA - Acadêmica e de gestão pedagógica)
- Sociedade Brasileira de Pesquisa Odontológica: (Membro associado - Membro associado)
- Faculdade Anhanguera de Jundiaí: (em branco)</t>
  </si>
  <si>
    <t>401099/2026-1</t>
  </si>
  <si>
    <t>92829929772</t>
  </si>
  <si>
    <t>Luiz Antonio Vaz Pinto</t>
  </si>
  <si>
    <t>http://lattes.cnpq.br/6502547670146126</t>
  </si>
  <si>
    <t>Luiz Antonio Vaz Pinto, Ulisses Admar Barbosa Vicente Monteiro, Ricardo Homero Ramírez Gutiérrez, Antonio Carlos Ramos Troyman, Denise Cunha Dantas, Hualber Lopes Berbet, Jamile Dehaini</t>
  </si>
  <si>
    <t>Transição Energética  e Descarbonização Aplicada a Motores Marítimos</t>
  </si>
  <si>
    <t>PROGRAMA BASICO DE ENGENHARIA NAVAL E OCEANICA</t>
  </si>
  <si>
    <t>Motor de Propulsão</t>
  </si>
  <si>
    <t>11:48:04</t>
  </si>
  <si>
    <t>16:43:07</t>
  </si>
  <si>
    <t>6502547670146126</t>
  </si>
  <si>
    <t>luizvaz@ufrj.br</t>
  </si>
  <si>
    <t>- Universidade Federal do Rio de Janeiro: (Servidor público - Professor Associado)</t>
  </si>
  <si>
    <t>402323/2026-2</t>
  </si>
  <si>
    <t>58573712520</t>
  </si>
  <si>
    <t>Luiz Pereira</t>
  </si>
  <si>
    <t>http://lattes.cnpq.br/5027439416824412</t>
  </si>
  <si>
    <t xml:space="preserve">Luiz Pereira, Iara de Fatima Gimenez, Ledjane Silva Barreto, Euler Araujo dos Santos, Davi Lopes Rios, Vitória Oliveira Macedo Duval, Camila Goes Santos, Rui dos Santos Moreira, Micael José Cardoso Brito, Micael Santos </t>
  </si>
  <si>
    <t>Bioeconomia na Região Nordeste do Brasil: um caminho para o desenvolvimento sustentável junto à indústria  - BIORENAGRO.</t>
  </si>
  <si>
    <t>Química Inorgânica</t>
  </si>
  <si>
    <t>Universidade Federal de Sergipe</t>
  </si>
  <si>
    <t>UFS</t>
  </si>
  <si>
    <t>11:46:22</t>
  </si>
  <si>
    <t>11:46:30</t>
  </si>
  <si>
    <t>5027439416824412</t>
  </si>
  <si>
    <t>lupeco7@hotmail.com</t>
  </si>
  <si>
    <t>- Universidade Federal de Sergipe: (Servidor público - Professor Adjunto)
- Coordenação de Aperfeiçoamento de Pessoal de Nível Superior: (Membro de comitê assessor)
- Conselho Nacional de Desenvolvimento Científico e Tecnológico: (Membro de comitê assessor)
- Fundação de Amparo à Pesquisa e à Inovação Tecnológica do Estado de Sergipe: (Membro de comitê assessor)
- Consejo Nacional de Ciencia, Tecnología e Innovación Tecnologica: (Membro de comitê assessor)
- Consejo Nacional de Ciencia, Tecnología e Innovación Tecnologica: (Membro de comitê assessor)
- Consejo Nacional de Ciencia, Tecnología e Innovación Tecnologica: (Membro de comitê assessor)
- Fundação de Amparo a Pesquisa do Estado do Amazonas: (Membro de comitê assessor)
- Fundação de Amparo à Pesquisa do Estado de Alagoas: (Membro de comitê assessor)
- Fundação de Amparo à Pesquisa do Estado de Minas Gerais: (Membro de comitê assessor)
- Universidad Nacional de San Agustín: (em branco)
- Instituto de CiÃªncias Exatas e Tecnologia: (em branco)
- EMBRAPA TABULEIROS COSTEIROS: (em branco)</t>
  </si>
  <si>
    <t>402129/2026-1</t>
  </si>
  <si>
    <t>04008651900</t>
  </si>
  <si>
    <t>Luiza Helena Gremski</t>
  </si>
  <si>
    <t>http://lattes.cnpq.br/0195255019285499</t>
  </si>
  <si>
    <t xml:space="preserve">Luiza Helena Gremski, Silvio Sanches Veiga, Zelinda Schemczssen Graeff, Guilherme Augusto Minozzo, Deborah Miho Chinen Toyomoto, Milena Biguetti dos Santos, Vitor Emanuel Bohrer de Oliveira, Isabella Mariani Vivan, João </t>
  </si>
  <si>
    <t>Fosfolipases D recombinantes de venenos de aranhas-marrom como ferramentas para inovação biomédica: investigação de seus efeitos na biologia celular tumoral e desenvolvimento de antivenenos de nova geração baseados em antígenos recombinantes</t>
  </si>
  <si>
    <t>Universidade Federal do Paraná</t>
  </si>
  <si>
    <t>UFPR</t>
  </si>
  <si>
    <t>14:24:35</t>
  </si>
  <si>
    <t>09:54:24</t>
  </si>
  <si>
    <t>0195255019285499</t>
  </si>
  <si>
    <t>luizagremski@ufpr.br</t>
  </si>
  <si>
    <t>- Universidade Federal do Paraná: (Servidor público - Docente do Departamento de Biologia Celular)
- Universidade Federal de Minas Gerais: (em branco)</t>
  </si>
  <si>
    <t>400929/2026-0</t>
  </si>
  <si>
    <t>07426826767</t>
  </si>
  <si>
    <t>Manoela da Silva Pedroza</t>
  </si>
  <si>
    <t>http://lattes.cnpq.br/2160636071521196</t>
  </si>
  <si>
    <t>Inovações no coletivo: Desenvolvimento científico, capacitação institucional e preservação cultural sobre territórios tradicionais e instituições coletivas de manejo de recursos naturais no Brasil</t>
  </si>
  <si>
    <t>PROGRAMA BASICO DE HISTORIA</t>
  </si>
  <si>
    <t>HI</t>
  </si>
  <si>
    <t>História Regional do Brasil</t>
  </si>
  <si>
    <t>Universidade Federal Fluminense</t>
  </si>
  <si>
    <t>UFF</t>
  </si>
  <si>
    <t>02/05/2026</t>
  </si>
  <si>
    <t>09:51:19</t>
  </si>
  <si>
    <t>04/05/2026</t>
  </si>
  <si>
    <t>15:43:33</t>
  </si>
  <si>
    <t>2160636071521196</t>
  </si>
  <si>
    <t>manoelap@gmail.com</t>
  </si>
  <si>
    <t>- Universidade Federal Fluminense: (SERVIDOR_PUBLICO - Professora de História Econômica do GHT - IHT)
- Universidade Federal Fluminense: (SERVIDOR_PUBLICO - Professora/Orientadora do PPGH - IHT - UFF)
- Universidade Pública de Navarra: (COLABORADOR - Membro de equipe de projeto de pesquisa)</t>
  </si>
  <si>
    <t>401908/2026-7</t>
  </si>
  <si>
    <t>00745326773</t>
  </si>
  <si>
    <t>Marcelo da Silva Rocha</t>
  </si>
  <si>
    <t>http://lattes.cnpq.br/6939312723826719</t>
  </si>
  <si>
    <t>Marcelo da Silva Rocha, Delvonei Alves de Andrade, Roberto Navarro de Mesquita, Solange Kazumi Sakata, Catharina Batista de Araujo</t>
  </si>
  <si>
    <t>Gerenciamento térmico de dispositivos eletrônicos em nanoescala visando o aumento do desempenho de processadores de dados</t>
  </si>
  <si>
    <t>24/06/2026</t>
  </si>
  <si>
    <t>13:55:33</t>
  </si>
  <si>
    <t>13:55:37</t>
  </si>
  <si>
    <t>6939312723826719</t>
  </si>
  <si>
    <t>msrocha@ipen.br</t>
  </si>
  <si>
    <t>- Universidade de São Paulo: (COLABORADOR - Professor Doutor)
- Universidade de São Paulo: (PROFESSOR_VISITANTE - Professor Visitante)
- Universidade de São Paulo: (Membro CPG, Enquadramento Func - Membro CPG, Enquadramento Funcional: Membro C)
- INSTITUTO DE PESQUISAS ENERGÉTICAS E NUCLEARES: (COLABORADOR - Atividades de Ensino e Pesquisa)
- INSTITUTO DE PESQUISAS ENERGÉTICAS E NUCLEARES: (Servidor público - Chefe de Serviço SEEND/IPEN/CNEN)</t>
  </si>
  <si>
    <t>401107/2026-4</t>
  </si>
  <si>
    <t>12330139713</t>
  </si>
  <si>
    <t>Marcelo Luiz Lima Brandão</t>
  </si>
  <si>
    <t>http://lattes.cnpq.br/1424714804835364</t>
  </si>
  <si>
    <t xml:space="preserve">Marcelo Luiz Lima Brandão, Luciana Veloso da Costa, Catia Aparecida Chaia de Miranda, Verônica Viana Vieira, Erica Miranda Damasio Vieira, Nathalia Gonçalves Santos Caldeira, Luiza Vasconcellos, Juliana Nunes Ramos, </t>
  </si>
  <si>
    <t>Caracterização genômica de bactérias da indústria farmacêutica para a prospecção de genes com potencial biotecnológico na produção de antimicrobianos e processos de biorremediação</t>
  </si>
  <si>
    <t>Biologia e Fisiologia dos Microorganismos</t>
  </si>
  <si>
    <t>15:02:30</t>
  </si>
  <si>
    <t>16:50:45</t>
  </si>
  <si>
    <t>1424714804835364</t>
  </si>
  <si>
    <t>marcelollb8@gmail.com</t>
  </si>
  <si>
    <t>- Fundação Oswaldo Cruz: (Servidor público - Pesquisador em Saúde Pública)
- Centro Universitário de Barra Mansa: (Membro do Conselho Editoral - Colaborador)
- Agência Nacional de Vigilância Sanitária: (Membro de comitê assessor)
- Agência Nacional de Vigilância Sanitária: (Membro de comitê assessor)
- Conselho Nacional de Desenvolvimento Científico e Tecnológico: (Membro de comitê assessor)</t>
  </si>
  <si>
    <t>401910/2026-1</t>
  </si>
  <si>
    <t>27467651600</t>
  </si>
  <si>
    <t>Maria Ângela de Barros Correia Menezes</t>
  </si>
  <si>
    <t>http://lattes.cnpq.br/2861685938046060</t>
  </si>
  <si>
    <t xml:space="preserve">Maria Ângela de Barros Correia Menezes, Willian Miguel Soares, Maria Eugênia de Oliveira Ferreira, Beatriz Cancelier Ribeiro, Daniel de Almeida Magalhães Campolina, Luiz Cláudio Andrade Souza, José Augusto Ribeiro da </t>
  </si>
  <si>
    <t>Avaliação da interferência analítica de elementos terras raras na determinação de urânio em minerais por Nêutrons Retardados de Fissão</t>
  </si>
  <si>
    <t>Química Nuclear e Radioquímica</t>
  </si>
  <si>
    <t>Jozef Stefan Institute</t>
  </si>
  <si>
    <t>JSI</t>
  </si>
  <si>
    <t>Eslovênia</t>
  </si>
  <si>
    <t>14:21:49</t>
  </si>
  <si>
    <t>14:22:01</t>
  </si>
  <si>
    <t>2861685938046060</t>
  </si>
  <si>
    <t>menezes@cdtn.br</t>
  </si>
  <si>
    <t>- Centro de Desenvolvimento da Tecnologia Nuclear Comissão Nacional de Energi: (Servidor público - Pesquisador Titular III)
- Centro de Desenvolvimento da Tecnologia Nuclear Comissão Nacional de Energi: (Ensino: Pós-graduação - Ciên. e Tec. das Radiaç.,Minerais e Materiais)</t>
  </si>
  <si>
    <t>402146/2026-3</t>
  </si>
  <si>
    <t>67131972720</t>
  </si>
  <si>
    <t>Maria de Lourdes Moreira</t>
  </si>
  <si>
    <t>http://lattes.cnpq.br/5553804838230644</t>
  </si>
  <si>
    <t xml:space="preserve">Maria de Lourdes Moreira, Paulo Augusto Berquo de Sampaio, Su Jian, Renato Machado Cotta, César Marques Salgado, Marcos Bertrand de Azevedo, Zelmo Rodrigues de Lima, Rubens Souza dos Santos, Fernando Roberto de </t>
  </si>
  <si>
    <t>Desenvolvimento de Tecnologia Nuclear Autóctone: Contribuições para a Análise e Projeto de Microrreator e SMR Nacionais.</t>
  </si>
  <si>
    <t>18:01:27</t>
  </si>
  <si>
    <t>09:55:31</t>
  </si>
  <si>
    <t>5553804838230644</t>
  </si>
  <si>
    <t>malumoreira2000@gmail.com</t>
  </si>
  <si>
    <t>- Instituto de Engenharia Nuclear: (Professor)
- Comissão Nacional de Energia Nuclear: (Servidor público - Pesquisador Titular III)</t>
  </si>
  <si>
    <t>401136/2026-4</t>
  </si>
  <si>
    <t>00797810471</t>
  </si>
  <si>
    <t>Maria Fabiana Bonfim de Lima Silva</t>
  </si>
  <si>
    <t>http://lattes.cnpq.br/7551925615832090</t>
  </si>
  <si>
    <t xml:space="preserve">Maria Fabiana Bonfim de Lima Silva, Cláudio da Cruz Santos, Igor Gustavo Mendes Silva, Giordanna Emanuelle Ramos Nascimento, Bianca Beatriz Lima Guimarães, Vanessa Medina, Leônidas José da Silva Junior, Filipe Batoni </t>
  </si>
  <si>
    <t>PROGRAMA DE ASSESSORIA EM VOZ PROFISSIONAL - ASSEVOX-PRO</t>
  </si>
  <si>
    <t>PROGRAMA BASICO DE FONOAUDIOLOGIA</t>
  </si>
  <si>
    <t>MS</t>
  </si>
  <si>
    <t>Fonoaudiologia</t>
  </si>
  <si>
    <t>23:49:21</t>
  </si>
  <si>
    <t>23:49:29</t>
  </si>
  <si>
    <t>7551925615832090</t>
  </si>
  <si>
    <t>fbl_fono@yahoo.com.br</t>
  </si>
  <si>
    <t>- Pontifícia Universidade Católica de São Paulo: (COLABORADOR - Aluna Pos doutorado)
- Universidade Federal da Paraíba: (Servidor público - Professor Permanente)
- Universidade Federal da Paraíba: (Servidor público - Professor Permanente)
- Universidade Federal da Paraíba: (Servidor público - Professor Permanente)</t>
  </si>
  <si>
    <t>401980/2026-0</t>
  </si>
  <si>
    <t>52457761034</t>
  </si>
  <si>
    <t>Maria Inês Feijó Ramos</t>
  </si>
  <si>
    <t>http://lattes.cnpq.br/4546620118003936</t>
  </si>
  <si>
    <t xml:space="preserve">Maria Inês Feijó Ramos, Fabio Roberto Filpo Jacob, Vanessa Vieira de Sousa, Rafaela Silva da Silva, Ana Paula de Abreu Alencar, Renato Rafael Martins Ferreira, Álvaro Modesto Santana, Suellen Oliveira Sousa, João Vicente </t>
  </si>
  <si>
    <t>Conservação, Divulgação e Difusão Científica da Coleção Paleontológica do Museu Emílio Goeldi por modelagem 3D, multimídia e atividades de extensão</t>
  </si>
  <si>
    <t>16:14:18</t>
  </si>
  <si>
    <t>16:14:28</t>
  </si>
  <si>
    <t>4546620118003936</t>
  </si>
  <si>
    <t>mramos@museu-goeldi.br</t>
  </si>
  <si>
    <t>- Museu Paraense Emílio Goeldi: (Servidor público - Pesquisador Titular)
- Universidade Federal do Pará: (Professor Permanente do PPGG - Professor Permanente do PPGG)
- Conselho Nacional de Desenvolvimento Científico e Tecnológico: (Bolsista - Bolsista de Produtividade)
- Sociedade Brasileira de Paleontologia: (Sócio - Membro)</t>
  </si>
  <si>
    <t>402080/2026-2</t>
  </si>
  <si>
    <t>39639578835</t>
  </si>
  <si>
    <t>Maria Julia Ferreira</t>
  </si>
  <si>
    <t>http://lattes.cnpq.br/4215445009330563</t>
  </si>
  <si>
    <t>Maria Julia Ferreira, Fabricio Beggiato Baccaro, Wendel Valter da Silveira Pereira, Thuanny Lins Monteiro, Newton Paulo de Souza Falcao, Sonia Sena Alfaia</t>
  </si>
  <si>
    <t>Agroflorestas como estratégias de restauração produtiva, segurança alimentar e sociobioeconomia na Amazônia</t>
  </si>
  <si>
    <t>Manejo Florestal</t>
  </si>
  <si>
    <t>15:38:27</t>
  </si>
  <si>
    <t>09:51:23</t>
  </si>
  <si>
    <t>4215445009330563</t>
  </si>
  <si>
    <t>mjulia_123@hotmail.com</t>
  </si>
  <si>
    <t>- Instituto Nacional de Pesquisas da Amazônia: (Servidor público - Pesquisadora)</t>
  </si>
  <si>
    <t>402408/2026-8</t>
  </si>
  <si>
    <t>12084288703</t>
  </si>
  <si>
    <t>Marina Amaral Alves</t>
  </si>
  <si>
    <t>http://lattes.cnpq.br/0945374845574106</t>
  </si>
  <si>
    <t xml:space="preserve">Marina Amaral Alves, Gilberto Barbosa Domont, Regina Coeli dos Santos Goldenberg, Fábio César Sousa Nogueira, Arthur Eugen Kümmerle, Marlon Lemos Dias, Betina Carla Bertrand Simões, Ivonete Siviero, Fernanda Bertão </t>
  </si>
  <si>
    <t>Abordagem Translacional Multi-Ômica para Doenças Hepáticas Raras Neonatais e Implementação no SUS</t>
  </si>
  <si>
    <t>PROGRAMA BASICO DE BIOQUIMICA</t>
  </si>
  <si>
    <t>BF</t>
  </si>
  <si>
    <t>Metabolismo e Bioenergética</t>
  </si>
  <si>
    <t>23:18:05</t>
  </si>
  <si>
    <t>23:18:15</t>
  </si>
  <si>
    <t>0945374845574106</t>
  </si>
  <si>
    <t>marina.amaral@iq.ufrj.br</t>
  </si>
  <si>
    <t>- Universidade Federal do Rio de Janeiro: (Servidor público - Professor Adjunto)
- Instituto de Pesquisa de Produtos Naturais: (Servidor público - Professor Adjunto)
- Fundação Centro de Educação a Distância do Estado do Rio de Janeiro: (Membro de comitê assessor)
- SOCIEDADE BRASILEIRA DE PROTEOMICA - BRPROT: (Membro - Secretária Associada)
- Metabolomics Society: (Membro - Membro)
- Sociedade Brasileira de Química: (Membro - Membro)</t>
  </si>
  <si>
    <t>402182/2026-0</t>
  </si>
  <si>
    <t>01629116106</t>
  </si>
  <si>
    <t>Marina Leite de Barros Baltar</t>
  </si>
  <si>
    <t>http://lattes.cnpq.br/0056340986329931</t>
  </si>
  <si>
    <t xml:space="preserve">Marina Leite de Barros Baltar, Larissa Rodrigues Turini, Luis Eduardo Santos Fortes, Matheus Henrique de Sousa Oliveira, Leonardo da Silva Ribeiro, Cintia Machado de Oliveira, Matheus de Souza e Silva, Anderson Marden de </t>
  </si>
  <si>
    <t xml:space="preserve">Ritmos da mobilidade urbana: uma proposta metodológica para incorporação da variabilidade temporal no planejamento de transportes do Rio de Janeiro </t>
  </si>
  <si>
    <t>PROGRAMA BASICO DE ENGENHARIA DE TRANSPORTES</t>
  </si>
  <si>
    <t>Planejamento de Transportes</t>
  </si>
  <si>
    <t>20:42:29</t>
  </si>
  <si>
    <t>09:57:39</t>
  </si>
  <si>
    <t>0056340986329931</t>
  </si>
  <si>
    <t>mabaltar@pet.coppe.ufrj.br</t>
  </si>
  <si>
    <t>- Universidade Federal do Rio de Janeiro: (Servidor público - Docente)</t>
  </si>
  <si>
    <t>402155/2026-2</t>
  </si>
  <si>
    <t>14012706705</t>
  </si>
  <si>
    <t>Mario Jardim Cupello</t>
  </si>
  <si>
    <t>http://lattes.cnpq.br/3370203150852001</t>
  </si>
  <si>
    <t xml:space="preserve">Mario Jardim Cupello, Everton Evaristo Nazaré da Silva, Fernando Zagury Vaz de Mello, Fernando Augusto Barbosa Silva, Bruno Zilberman, Sonia Aparecida Casari, Edilson Caron, Jonathan Stuart Ready, Ruan Felipe da Silva, </t>
  </si>
  <si>
    <t>Cobrindo lacunas do conhecimento da biodiversidade de insetos super-decompositores edáficos da Amazônia: integração entre sistemática, biogeografia, métodos filogenéticos comparativos  e curadoria de coleções</t>
  </si>
  <si>
    <t>11:05:52</t>
  </si>
  <si>
    <t>09:56:01</t>
  </si>
  <si>
    <t>3370203150852001</t>
  </si>
  <si>
    <t>mcupello@hotmail.com</t>
  </si>
  <si>
    <t>- International Commission on Zoological Nomenclature: (Cargo eletivo - Comissário)
- Museu Paraense Emílio Goeldi: (Servidor público - Pesquisador Adjunto I)</t>
  </si>
  <si>
    <t>401246/2026-4</t>
  </si>
  <si>
    <t>05924578852</t>
  </si>
  <si>
    <t>Martha Simões Ribeiro</t>
  </si>
  <si>
    <t>http://lattes.cnpq.br/4996734160632011</t>
  </si>
  <si>
    <t xml:space="preserve">Martha Simões Ribeiro, Carla Daruich de Souza, Carlos Alberto Zeituni, Maria Elisa Chuery Martins Rostelato, Anderson Zanardi de Freitas, Niklaus Ursus Wetter, Monica Beatriz Mathor, Camila Ramos Silva, Joselin Judith Meza </t>
  </si>
  <si>
    <t>Plataforma translacional de tecnologias baseadas em luz, nanomateriais e radiação para terapia do câncer e controle de infecções</t>
  </si>
  <si>
    <t xml:space="preserve">Áreas Clássicas de Fenomenologia e suas </t>
  </si>
  <si>
    <t>12/06/2026</t>
  </si>
  <si>
    <t>14:46:40</t>
  </si>
  <si>
    <t>14:46:48</t>
  </si>
  <si>
    <t>4996734160632011</t>
  </si>
  <si>
    <t>martharibeiro@yahoo.com</t>
  </si>
  <si>
    <t>- COMISSAO NACIONAL DE ENERGIA NUCLEAR: (Servidor público - Pesquisador)
- Universidade de São Paulo: (OUTRO - Docente da pós-graduação)
- Faculdade de Odontologia São Leopoldo Mandic: (COLABORADOR - Colaborador em projeto de pesquisa)
- INSTITUTO DE PESQUISAS ENERGETICAS E NUCLEARES IPEN: (Servidor público - Pesquisador)</t>
  </si>
  <si>
    <t>401110/2026-5</t>
  </si>
  <si>
    <t>21339791315</t>
  </si>
  <si>
    <t>Mary Anne Medeiros Bandeira</t>
  </si>
  <si>
    <t>http://lattes.cnpq.br/6291887019034026</t>
  </si>
  <si>
    <t xml:space="preserve">Mary Anne Medeiros Bandeira, Tamara Gonçalves de Araújo, Ronaldo Ferreira do Nascimento, Nirla Rodrigues Romero, Patricia Georgina Garcia do Nascimento, Cléber Domingos Cunha da Silva, Afonso Leoncio Saraiva Junior, </t>
  </si>
  <si>
    <t>Programa de Plantas Medicinais e Aromáticas do Nordeste  Plataforma Essencioteca: conservação, atualização e disponibilização do acervo científico da UFC para inovação tecnológica</t>
  </si>
  <si>
    <t>Farmacognosia</t>
  </si>
  <si>
    <t>Universidade Federal do Ceará</t>
  </si>
  <si>
    <t>UFC</t>
  </si>
  <si>
    <t>CE</t>
  </si>
  <si>
    <t>15:40:19</t>
  </si>
  <si>
    <t>16:51:53</t>
  </si>
  <si>
    <t>6291887019034026</t>
  </si>
  <si>
    <t>farmaciaviva@ufc.br</t>
  </si>
  <si>
    <t>- Universidade Federal do Ceará: (Professora Assistente)
- Ministério da Saúde: (Membro de comitê assessor)
- Secretaria da Saúde do Estado do Ceará: (Membro de comitê assessor)
- Associação Brasileira de Farmácias Vivas: (Membro de comitê assessor)</t>
  </si>
  <si>
    <t>402360/2026-5</t>
  </si>
  <si>
    <t>14121286847</t>
  </si>
  <si>
    <t>Mauricio Roberto Veronez</t>
  </si>
  <si>
    <t>http://lattes.cnpq.br/0157177135951013</t>
  </si>
  <si>
    <t>Mauricio Roberto Veronez, Alex Roehrs, Leandro Tonietto, Toacy Cavalcante de Oliveira, Paulo Sergio Conceicao de Alencar, Kleinner Silva Farias de Oliveira, Luiz Gonzaga da Silveira Junior, Gláucia Melo dos Santos</t>
  </si>
  <si>
    <t>Comportamento de Motoristas de Veículos Pesados em Situações Críticas de Condução: Análise Psicofisiológica em Simulador Imersivo de Rodovias Brasileiras</t>
  </si>
  <si>
    <t>Operação de Sistemas de Transporte</t>
  </si>
  <si>
    <t>Universidade do Vale do Rio dos Sinos</t>
  </si>
  <si>
    <t>UNISINOS</t>
  </si>
  <si>
    <t>RS</t>
  </si>
  <si>
    <t>16:56:15</t>
  </si>
  <si>
    <t>16:56:24</t>
  </si>
  <si>
    <t>0157177135951013</t>
  </si>
  <si>
    <t>veronez@unisinos.br</t>
  </si>
  <si>
    <t>- Universidade do Vale do Rio dos Sinos: (CELETISTA - Professor Adjunto)
- International Federation Of Surveyors: (COLABORADOR - Membro Acadêmico da Comissão 2 da FIG)
- The University Centre Svalbard: (Pesquisador Colaborador - Pesquisador no projeto Circum-Arctic)
- Conselho Nacional de Desenvolvimento Científico e Tecnológico: (Membro de comitê assessor)
- Fundação de Amparo à Ciência e Tecnologia do Estado de Pernambuco: (Membro de comitê assessor)
- Escola de Engenharia de São Carlos - Universidade de São Paulo: (Pesquisador colaborador - Pesquisador colaborador no STT-EESC-USP)</t>
  </si>
  <si>
    <t>401848/2026-4</t>
  </si>
  <si>
    <t>62466682672</t>
  </si>
  <si>
    <t>Maximiliano Delany Martins</t>
  </si>
  <si>
    <t>http://lattes.cnpq.br/9993549523664329</t>
  </si>
  <si>
    <t xml:space="preserve">Maximiliano Delany Martins, Jose Domingos Ardisson, Franklin Massami Matinaga, Carlos Joel Franco, Anna Luísa Damasceno Silva, Gabriel Maia Vieira, Maria Eugênia Silva Nunes, Juan David Caicedo Vásquez, Fernanda de Paula </t>
  </si>
  <si>
    <t>Pesquisa e inovação tecnológica em materiais magnéticos avançados</t>
  </si>
  <si>
    <t>Materiais Magnéticos e Propriedades Magnéticas</t>
  </si>
  <si>
    <t>16:31:34</t>
  </si>
  <si>
    <t>16:31:42</t>
  </si>
  <si>
    <t>9993549523664329</t>
  </si>
  <si>
    <t>mdm@cdtn.br</t>
  </si>
  <si>
    <t>- COMISSAO NACIONAL DE ENERGIA NUCLEAR: (Servidor público - Pesquisador)
- Centro de Desenvolvimento da Tecnologia Nuclear: (Servidor público - Pesquisador)</t>
  </si>
  <si>
    <t>402315/2026-0</t>
  </si>
  <si>
    <t>09517709420</t>
  </si>
  <si>
    <t>Mayara Larrys Gomes de Assis Nogueira</t>
  </si>
  <si>
    <t>http://lattes.cnpq.br/1824181793460239</t>
  </si>
  <si>
    <t xml:space="preserve">Mayara Larrys Gomes de Assis Nogueira, Lúcia das Graças Santana da Silva, Larisse de Fátima Farias da Rosa, Lis Fernandes Stegmann, Sue Anne Regina Ferreira da Costa, Sâmia Batista e Silva, Emanoel Fernandes de Oliveira </t>
  </si>
  <si>
    <t>Ver-O-Peso das Ciências Amazônicas: popularização das ciências, saberes bioculturais e resiliência climática entre o Museu Goeldi, territórios e maretórios amazônicos</t>
  </si>
  <si>
    <t>PROGRAMA TEMATICO DE DIVULGACAO CIENTIFICA</t>
  </si>
  <si>
    <t>DC</t>
  </si>
  <si>
    <t>Divulgação Científica</t>
  </si>
  <si>
    <t>11:24:17</t>
  </si>
  <si>
    <t>11:24:28</t>
  </si>
  <si>
    <t>1824181793460239</t>
  </si>
  <si>
    <t>mayaralarrys@ufpa.br</t>
  </si>
  <si>
    <t>- Universidade Federal do Pará: (Servidor público - Professor do Magistério Superior)
- Museu Paraense Emílio Goeldi: (Servidor público - Chefe do Serviço de Educação)</t>
  </si>
  <si>
    <t>401024/2026-1</t>
  </si>
  <si>
    <t>00715997890</t>
  </si>
  <si>
    <t>Michelangelo Durazzo</t>
  </si>
  <si>
    <t>http://lattes.cnpq.br/1329671245559098</t>
  </si>
  <si>
    <t>Michelangelo Durazzo, Eriki Masahiko Takara, Elita Fontenele Urano de Carvalho, Lauro Roberto dos Santos, Felipe Bonito Jaldin Ferrufino, Marcelo Kobayoshi, Pietro Trevisanello Puglia</t>
  </si>
  <si>
    <t>Desenvolvimento de Métodos para Qualificação de Placas Combustíveis e Alvos de Irradiação para Reator Multipropósito Brasileiro - RMB</t>
  </si>
  <si>
    <t>Combustível Nuclear</t>
  </si>
  <si>
    <t>12:24:17</t>
  </si>
  <si>
    <t>12:24:31</t>
  </si>
  <si>
    <t>1329671245559098</t>
  </si>
  <si>
    <t>mdurazzo@ipen.br</t>
  </si>
  <si>
    <t>- Instituto de Pesquisas Energéticas e Nucleares: (Servidor público - Tecnologista)</t>
  </si>
  <si>
    <t>401802/2026-4</t>
  </si>
  <si>
    <t>01463465807</t>
  </si>
  <si>
    <t>Monica Beatriz Mathor</t>
  </si>
  <si>
    <t>http://lattes.cnpq.br/0655717478478500</t>
  </si>
  <si>
    <t>Monica Beatriz Mathor, Wagner de Rossi, Anderson Zanardi de Freitas, Carlos Roberto Jorge Soares, Daniel Perez Vieira, Aryel Heitor Ferreira, Marcus Paulo Raele, Evandro Drigo da Silva</t>
  </si>
  <si>
    <t>Desenvolvimento de microambientes em organ on a chip para análise de biocompatibilidade e respostas tumorais.</t>
  </si>
  <si>
    <t>PROGRAMA BASICO DE ENGENHARIA BIOMEDICA</t>
  </si>
  <si>
    <t>Bioengenharia</t>
  </si>
  <si>
    <t>21/06/2026</t>
  </si>
  <si>
    <t>17:25:51</t>
  </si>
  <si>
    <t>09:51:45</t>
  </si>
  <si>
    <t>0655717478478500</t>
  </si>
  <si>
    <t>mathor@alumni.usp.br</t>
  </si>
  <si>
    <t>- Instituto de Pesquisas Energéticas e Nucleares: (Servidor público - Pesquisador)
- Instituto de Pesquisas Energéticas e Nucleares: (Servidor público - Ensino, Tecnologia Nuclear Aplicações)
- COMISSAO NACIONAL DE ENERGIA NUCLEAR: (Servidor público - Membro da Câmara de Mediação - CMEC)
- COMISSAO NACIONAL DE ENERGIA NUCLEAR: (Servidor público - Membro do Comitê de Ética da CNEN)
- Instituto Israelita de Ensino e Pesquisa Albert Einstein: (em branco)
- Universidade Federal de São Paulo: (em branco)
- Associação Brasileira de Normas Técnicas - Sede: (Participação de Comissões - Participação em Comitês de Elaboração de ISOs)
- Universidade Federal do ABC: (em branco)
- Instituto Butantan: (em branco)</t>
  </si>
  <si>
    <t>402171/2026-8</t>
  </si>
  <si>
    <t>16933040828</t>
  </si>
  <si>
    <t>Mônica Silva Coelho</t>
  </si>
  <si>
    <t>http://lattes.cnpq.br/6492489147349408</t>
  </si>
  <si>
    <t xml:space="preserve">Mônica Silva Coelho, Marcelo Cordeiro Thalês, Cristine Bastos do Amarante, Ana Luisa Kerti Mangabeira Albernaz, Antônio Messias Costa, Jose Amir Lima de Sousa, Nelson Rodrigues Sanjad, Vanja Joice Bispo Santos, Adenilson </t>
  </si>
  <si>
    <t>Plataforma Permanente de Monitoramento da Biodiversidade Urbana do Parque Zoobotânico (PPBU-PZB): Observando o Passado, Compreendendo o Presente e Antecipando o Futuro da Biodiversidade Urbana Amazônica</t>
  </si>
  <si>
    <t>20:50:40</t>
  </si>
  <si>
    <t>09:56:57</t>
  </si>
  <si>
    <t>6492489147349408</t>
  </si>
  <si>
    <t>mocoelhovet@gmail.com</t>
  </si>
  <si>
    <t>- Grupo Florestas Engenharia: (Pesquisador - Prestador de Serviço Técnico-Científico)
- AMAPÁ FLORESTAL E CELULOSE SA: (Pesquisador - Prestador de Serviço Técnico-Científico)
- BIONATURE: (Proprietária - Pesquisador)
- BIONATURE: (Proprietária - Administrador)
- OIKOS Diagnósticos: (Sócia - Responsável técnica - Médica Veterinária)
- Universidade Federal do Pará: (Bolsista - Pesquisador)
- SysFlor ? Certificações de Manejo e Produtos Florestais: (Prestador de Serviços - Técnico Especialista)
- Museu Paraense Emílio Goeldi: (SERVIDOR_PUBLICO - Tecnologista)</t>
  </si>
  <si>
    <t>402333/2026-8</t>
  </si>
  <si>
    <t>38268551836</t>
  </si>
  <si>
    <t>Murilo Álison Vigilato Rodrigues</t>
  </si>
  <si>
    <t>http://lattes.cnpq.br/0536186820832325</t>
  </si>
  <si>
    <t>Murilo Álison Vigilato Rodrigues, Ademar Benévolo Lugão, Lara Pongeti Blanco, Esther Miranda Fracaro da Silva, Davi Jardim Martins, Cássia Priscila Cunha da Cruz</t>
  </si>
  <si>
    <t>Modificação de nanopartículas de ouro e albumina sintetizadas por radiação para desenvolvimento de vetores não virais para transfecção gênica</t>
  </si>
  <si>
    <t>Nanopartículas em Diagnóstico e Terapia</t>
  </si>
  <si>
    <t>12:06:55</t>
  </si>
  <si>
    <t>12:07:04</t>
  </si>
  <si>
    <t>0536186820832325</t>
  </si>
  <si>
    <t>murilovigilato@gmail.com</t>
  </si>
  <si>
    <t>- Instituto de Pesquisas Energéticas e Nucleares: (Servidor público - Pesquisador Adjunto)</t>
  </si>
  <si>
    <t>401023/2026-5</t>
  </si>
  <si>
    <t>30675222818</t>
  </si>
  <si>
    <t>Natália Martins Dias</t>
  </si>
  <si>
    <t>http://lattes.cnpq.br/4732077027196795</t>
  </si>
  <si>
    <t>Natália Martins Dias, Cláudia Maria Gaspardo, Claudio Sausen Mallmann, Caio César de Paula, Nathália Pacheco de Carvalho, Caroline de Oliveira Cardoso, Betina Ritzel, Camila Strasburger Trierweiler</t>
  </si>
  <si>
    <t>Funções Executivas e Autorregulação na Adolescência: Desenvolvimento de tecnologia educacional para formação de professores com base em evidências</t>
  </si>
  <si>
    <t>PROGRAMA BASICO DE PSICOLOGIA</t>
  </si>
  <si>
    <t>PS</t>
  </si>
  <si>
    <t>Psicologia Cognitiva</t>
  </si>
  <si>
    <t>Universidade Federal de Santa Catarina</t>
  </si>
  <si>
    <t>UFSC</t>
  </si>
  <si>
    <t>SC</t>
  </si>
  <si>
    <t>12:04:31</t>
  </si>
  <si>
    <t>12:04:43</t>
  </si>
  <si>
    <t>4732077027196795</t>
  </si>
  <si>
    <t>natalia_mdias@yahoo.com.br</t>
  </si>
  <si>
    <t>- Universidade Federal de Santa Catarina: (Servidor público - Professor adjunto A)
- Universidade de São Paulo: (em branco)</t>
  </si>
  <si>
    <t>401055/2026-4</t>
  </si>
  <si>
    <t>13451616890</t>
  </si>
  <si>
    <t>Niklaus Ursus Wetter</t>
  </si>
  <si>
    <t>http://lattes.cnpq.br/8623798867256227</t>
  </si>
  <si>
    <t xml:space="preserve">Niklaus Ursus Wetter, Ernesto Jimenez Villar, Luciana Reyes Pires Kassab, Felipe Maia Prado, Allan Bereczki, Anderson Targino da Silva Ferreira, Daniel Perez Vieira, Duclerc Fernandes Parra, Wagner de Rossi, Ana Caroline </t>
  </si>
  <si>
    <t>Fotônica de Fronteira a Serviço da Saúde Pública e do Meio Ambiente</t>
  </si>
  <si>
    <t>18:47:54</t>
  </si>
  <si>
    <t>17:14:35</t>
  </si>
  <si>
    <t>8623798867256227</t>
  </si>
  <si>
    <t>nuwetter@gmail.com</t>
  </si>
  <si>
    <t>- Instituto de Pesquisas Energéticas e Nucleares: (Servidor público - PESQUISADOR TITULAR)
- Instituto de Pesquisas Energéticas e Nucleares: (Servidor público - DIRETOR de Pesquisa do IPEN)
- Instituto de Pesquisas Energéticas e Nucleares: (Servidor público - PRÓ - REITOR de Pós-graduação)
- Universidade de São Paulo: (OUTRO - Docente da pós-graduação)
- COMISSAO NACIONAL DE ENERGIA NUCLEAR: (Servidor público - PESQUISADOR TITULAR)
- Associação Distrito de Inovação de São Paulo: (Membro do Conselho de Administ - Membro do Conselho de Administração da Associ)</t>
  </si>
  <si>
    <t>401037/2026-6</t>
  </si>
  <si>
    <t xml:space="preserve">Niklaus Ursus Wetter, Ernesto Jimenez Villar, Daniel Kendji Kumada, Anderson Zanardi de Freitas, Luciana Reyes Pires Kassab, Felipe Maia Prado, Allan Bereczki, Anderson Targino da Silva Ferreira, Ana Caroline Moura da Silva, </t>
  </si>
  <si>
    <t>13:18:33</t>
  </si>
  <si>
    <t>13:18:42</t>
  </si>
  <si>
    <t>402196/2026-0</t>
  </si>
  <si>
    <t>76002900225</t>
  </si>
  <si>
    <t>Pedro Aurélio Costa Lima Pequeno</t>
  </si>
  <si>
    <t>http://lattes.cnpq.br/7013126109041225</t>
  </si>
  <si>
    <t xml:space="preserve">Pedro Aurélio Costa Lima Pequeno, Adrya da Silva Figueiredo, Arthur Camurça Citó, Evandro José Linhares Ferreira, Fabio Araújo da Silva, Joao Vitor Camargo Soares, Tania Pena Pimentel, Kemilla Sarmento Rebelo, Carolina Volkmer </t>
  </si>
  <si>
    <t>Projeto Integrado de Monitoramento Ambiental e Modelagem Espaço-Temporal de Poluentes, Recursos Hídricos e Mudanças na Paisagem na Amazônia</t>
  </si>
  <si>
    <t>20:51:14</t>
  </si>
  <si>
    <t>09:58:25</t>
  </si>
  <si>
    <t>7013126109041225</t>
  </si>
  <si>
    <t>pacolipe@gmail.com</t>
  </si>
  <si>
    <t>402237/2026-9</t>
  </si>
  <si>
    <t>82137480930</t>
  </si>
  <si>
    <t>Pedro Bertemes Filho</t>
  </si>
  <si>
    <t>http://lattes.cnpq.br/3574740269353806</t>
  </si>
  <si>
    <t xml:space="preserve">Pedro Bertemes Filho, Mariane Weirich Bosenbecker, Clinston Paulino de Almeida, Fabiane Caxico de Abreu Galdino, Renan Fernandes Kozan, Fabrício Noveletto, Jefferson Luiz Brum Marques, Fábio Benedetti, Monah </t>
  </si>
  <si>
    <t xml:space="preserve">GlucoFoot One - Plataforma Vestível Integrada para Monitoramento Não Invasivo da Glicemia e do Pé Diabético </t>
  </si>
  <si>
    <t>Engenharia Médica</t>
  </si>
  <si>
    <t>Universidade do Estado de Santa Catarina</t>
  </si>
  <si>
    <t>UDESC</t>
  </si>
  <si>
    <t>05:01:43</t>
  </si>
  <si>
    <t>10:01:06</t>
  </si>
  <si>
    <t>3574740269353806</t>
  </si>
  <si>
    <t>pedrobertemesfilho@gmail.com</t>
  </si>
  <si>
    <t>- Universidade do Estado de Santa Catarina: (Servidor público - PROFESSOR_TITULAR)
- Universidade Federal de Santa Catarina: (COLABORADOR - Pesquisador)
- Fundação de Amparo à Pesquisa e Inovação do Estado de Santa Catarina: (Membro de comitê assessor)
- Fundo de Apoio à Manutenção e ao Desenvolvimento da Educação Superior: (Membro de comitê assessor)
- Fundação de Amparo à Pesquisa do Estado de São Paulo: (Membro de comitê assessor)
- Coordenação de Aperfeiçoamento de Pessoal de Nível Superior: (Membro de comitê assessor)
- Fundação Universidade do Estado de Santa Catarina: (Membro de comitê assessor)
- Instituto Nacional de Estudos e Pesquisas Educacionais Anísio Teixeira: (Membro de comitê assessor)
- ISO Global Directory: (Voluntariado - Secretario da ABNT/CB-026/CE 026 020 001)
- Institute of Electrical and Electronics Engineers: (Membro de comitê assessor)</t>
  </si>
  <si>
    <t>402358/2026-0</t>
  </si>
  <si>
    <t>80344852504</t>
  </si>
  <si>
    <t>Pedro Ribeiro de Andrade Neto</t>
  </si>
  <si>
    <t>http://lattes.cnpq.br/3800022078311584</t>
  </si>
  <si>
    <t xml:space="preserve">Pedro Ribeiro de Andrade Neto, Ana Paula Dutra de Aguiar, Andre Rodrigues Gonçalves, Celso von Randow, Daniela Carneiro Rodrigues, Evandro Albiach Branco, Francisco Gilney Silva Bezerra, Gustavo Felipe Balué Arcoverde, Javier </t>
  </si>
  <si>
    <t>Provisionamento de dados e serviços geoespaciais para Adaptação a Mudanças Climáticas no Brasil</t>
  </si>
  <si>
    <t>15:58:43</t>
  </si>
  <si>
    <t>15:58:59</t>
  </si>
  <si>
    <t>3800022078311584</t>
  </si>
  <si>
    <t>pedro.andrade@inpe.br</t>
  </si>
  <si>
    <t>- Instituto Nacional de Pesquisas Espaciais: (Servidor público - Tecnologista Sênior)</t>
  </si>
  <si>
    <t>401052/2026-5</t>
  </si>
  <si>
    <t>88330729753</t>
  </si>
  <si>
    <t>Rachel Fátima dos Santos Nunes</t>
  </si>
  <si>
    <t>http://lattes.cnpq.br/8045467824483966</t>
  </si>
  <si>
    <t>Rachel Fátima dos Santos Nunes, Constância Lima Duarte</t>
  </si>
  <si>
    <t>Narrativas do Feminicídio na Literatura Contemporânea  Análise Comparativa de Garotas Mortas (Selva Almada) e Mulheres Empilhadas (Patrícia Melo</t>
  </si>
  <si>
    <t>PROGRAMA BASICO DE LETRAS</t>
  </si>
  <si>
    <t>Literatura Comparada</t>
  </si>
  <si>
    <t>Faculdade de Letras</t>
  </si>
  <si>
    <t>FALE/UFMG</t>
  </si>
  <si>
    <t>16:37:37</t>
  </si>
  <si>
    <t>16:37:43</t>
  </si>
  <si>
    <t>8045467824483966</t>
  </si>
  <si>
    <t>rachelnunes144@gmail.com</t>
  </si>
  <si>
    <t>- Universidade Estácio de Sá: (CELETISTA - PROFESSOR_TITULAR)
- Pontifícia Universidade Católica do Rio de Janeiro: (em branco)
- Universidade Federal do Estado do Rio de Janeiro: (em branco)
- Univerisdade Federal do Rio de Janeiro: (em branco)
- Pontifícia Universidade Católica de São Paulo: (em branco)
- Faculdade Integrada Instituto Souza LTDA: (Conteudista de Letras - Porfessor Contratado)
- Faculdade Integrada Instituto Souza LTDA: (PROFESSOR_VISITANTE - Tutora de Língua Portuguesa)
- Associação Civil Servas de Maria do Brasil: (PROFESSOR_VISITANTE - Professor Contratado)
- Escola Guaratuja LTDA: (CELETISTA - Professor Contratado)
- Colégio Batista Reobote: (CELETISTA - Professor Contratado)
- Universidade do Estado de Minas Gerais: (PROFESSOR_VISITANTE - Professor Substituto)
- Universidade do Estado de Minas Gerais: (PROFESSOR_VISITANTE - Professor Contratado)
- UENP - Campus Luiz Meneghel: (Bolsista - Professora Orientadora TCC)
- Cooperativa dos Alunos do IFES Campus de Alegre: (PROFESSOR_VISITANTE - Revisora de Textos Acadêmicos)
- Faculdade Integrada Instituto Souza LTDA (MG): (CELETISTA - Prrofessora do Curso de |Pedagogia)
- Univerisdade Federal de Minas Gerais: (em branco)
- Instituto Federal de Minas Gerais: (Bolsista - Professor Formador - Literatura Brasileira)
- Instituto Federal Rural de Pernambuco: (Bolsista - Tutora de Língua Portuguesa)
- Fundação Carlos Chagas: (em branco)</t>
  </si>
  <si>
    <t>401936/2026-0</t>
  </si>
  <si>
    <t>28030060220</t>
  </si>
  <si>
    <t>Rafael Duarte Coelho dos Santos</t>
  </si>
  <si>
    <t>http://lattes.cnpq.br/0096913881679975</t>
  </si>
  <si>
    <t>Rafael Duarte Coelho dos Santos, Antonio Fernando Bertachini de Almeida Prado, Carina Barros Mello, Marcela de Araujo Pinto</t>
  </si>
  <si>
    <t>Capacitação Institucional para Comunicação Pública da Ciência, Extensão e Engajamento com a Sociedade no INPE</t>
  </si>
  <si>
    <t>10:16:49</t>
  </si>
  <si>
    <t>10:16:54</t>
  </si>
  <si>
    <t>0096913881679975</t>
  </si>
  <si>
    <t>rafael.santos@inpe.br</t>
  </si>
  <si>
    <t>- Instituto Nacional de Pesquisas Espaciais: (Servidor público - Tecnologista Senior)
- Fórum de Coordenadores de Programas de Pós-Graduação Interdisciplinares: (COLABORADOR - Colaborador)</t>
  </si>
  <si>
    <t>402208/2026-9</t>
  </si>
  <si>
    <t>29963610838</t>
  </si>
  <si>
    <t>Rafael Henrique Lazzari Garcia</t>
  </si>
  <si>
    <t>http://lattes.cnpq.br/4311312149706721</t>
  </si>
  <si>
    <t>Rafael Henrique Lazzari Garcia, Wilson Carlos da Silva Junior, Vinicius Torres dos Santos, Marcio Rodrigues da Silva, Sarah Mamczur Soares, Nathan Holanda Cavalcante Ribeiro</t>
  </si>
  <si>
    <t>Avaliação da resistência à corrosão e integridade estrutural de ligas especiais à base de cobre para aplicações em ambientes nucleares e sistemas de armazenamento de rejeitos radioativos</t>
  </si>
  <si>
    <t>Materiais Nucleares e Blindagem de Reatores</t>
  </si>
  <si>
    <t>18:28:53</t>
  </si>
  <si>
    <t>09:59:08</t>
  </si>
  <si>
    <t>4311312149706721</t>
  </si>
  <si>
    <t>teo@usp.br</t>
  </si>
  <si>
    <t>- Instituto de Pesquisas Energéticas e Nucleares: (Servidor público - Pesquisador)
- Instituto Federal de São Paulo: (em branco)</t>
  </si>
  <si>
    <t>402127/2026-9</t>
  </si>
  <si>
    <t>22090578840</t>
  </si>
  <si>
    <t>Rafaella Costa Bonugli Santos</t>
  </si>
  <si>
    <t>http://lattes.cnpq.br/5470591128080574</t>
  </si>
  <si>
    <t>Rafaella Costa Bonugli Santos, Nathália Corrêa Chagas de Souza, Larissa Sthefany Kao, Laura Cristina Pires Lima, Michel Rodrigo Zambrano Passarini, Giovana Secretti Vendruscolo, Marlon Royer de Morais, Izabele Oliveira Munaro</t>
  </si>
  <si>
    <t xml:space="preserve"> FORTALECIMENTO DA COLEÇÃO MICROBIOLÓGICA CCMIBA E DO HERBÁRIO EVALDO BUTTURA COMO INFRAESTRUTURAS ESTRATÉGICAS DE BIODIVERSIDADE, INOVAÇÃO E FORMAÇÃO CIENTÍFICA DA UNILA</t>
  </si>
  <si>
    <t>13:45:53</t>
  </si>
  <si>
    <t>09:54:16</t>
  </si>
  <si>
    <t>5470591128080574</t>
  </si>
  <si>
    <t>rafaellabonugli@gmail.com</t>
  </si>
  <si>
    <t>- Universidade Federal da Integração Latino-Americana: (Servidor público - Professor)
- Universidade Federal da Integração Latino-Americana: (Servidor público - Docente permanente - Mestrado Biociências)
- Universidade Federal da Integração Latino-Americana: (Servidor público - Docente permanente - Mestrado Biodiversidade)
- Coleção de Cultura de Micro-organismos de Importância Biotecnológica e Ambi: (Servidor público - Curador)
- Universidade Estadual do Oeste do Paraná: (em branco)
- Universidade Federal do Paraná: (em branco)</t>
  </si>
  <si>
    <t>401270/2026-2</t>
  </si>
  <si>
    <t>07689492703</t>
  </si>
  <si>
    <t>Ralph Santos-Oliveira</t>
  </si>
  <si>
    <t>http://lattes.cnpq.br/2376670019296363</t>
  </si>
  <si>
    <t xml:space="preserve">Ralph Santos-Oliveira, Pierre Basílio Almeida Fechine, Luciana Magalhães Rebêlo Alencar, Isabelle Xavier de Britto, Natália Cristina Gomes da Silva, Larissa Saldanha Fonseca, Stephanie Nascimento Neves da Silva, Francisco </t>
  </si>
  <si>
    <t xml:space="preserve">Plataforma Institucional do IEN/CNEN para Desenvolvimento Translacional de Nanorradiofármacos </t>
  </si>
  <si>
    <t>15/06/2026</t>
  </si>
  <si>
    <t>13:31:30</t>
  </si>
  <si>
    <t>13:31:36</t>
  </si>
  <si>
    <t>2376670019296363</t>
  </si>
  <si>
    <t>presidenciaradiofarmacia@gmail.com</t>
  </si>
  <si>
    <t>- COMISSAO NACIONAL DE ENERGIA NUCLEAR: (Servidor público - Analista senior)
- Agência Nacional de Vigilância Sanitária: (Servidor público - Membro)
- Fórum Nacional de Gestores de Inovação e Transfrência de Tecnologia: (COLABORADOR - Membro)
- Fórum Nacional de Gestores de Inovação e Transfrência de Tecnologia: (COLABORADOR - Membro)
- Conselho Federal de Farmácia: (Servidor publico - Membro de Comissão)
- Instituto de Engenharia Nuclear: (Analista pleno)
- Instituto de Engenharia Nuclear: (Servidor público - Analista senior)
- Federation Internationale Pharmaceutique: (COLABORADOR - EducationTask Force Member)
- Sociedade Brasileira de Farmácia Hospitalar: (Coordenador - Coordenador)
- Associação Brasileira de Radiofarmácia: (PRESIDENTE - Presidente)
- Associação Brasileira de Radiofarmácia: (Diretor - Diretor)
- Centro de Gestão e Estudos Estratégicos: (Membro de comitê assessor)
- Universidade do Estado do Rio de Janeiro: (Servidor público - Professor Permanente)
- Universidade do Estado do Rio de Janeiro: (Servidor público - Professor Adjunto)
- Universidade do Estado do Rio de Janeiro: (Servidor público - Professor associado)
- Universidade do Estado do Rio de Janeiro: (Servidor público - Professor associado)
- Agência de Gestão e Inovação Tecnológica do Exercito Brasileiro: (Membro de comitê assessor)
- Programa de Pós Graduação em Desenvolvimento e Inovação Tecnológica em Medi: (COLABORADOR - Professor Colaborador)
- Contrast Media &amp; Molecular Imaging (Hindawi): (EDITOR - LEAD GUEST EDITOR)
- Financiadora de Estudos e Projetos: (em branco)
- Controlled Release Society: (membro - Membro)
- Red de Optimización de Protección Radiológica Ocupacional em Latinoamerica: (membro - Membro credenciado)
- Associação Brasileira de Nanotecnologia: (em branco)
- Academia de Ciências Farmacêuticas do Brasil: (MembroPermanente - Membro Permanente)
- Universidade de São Paulo: (Professor Pós Graduação - Professor)
- Ege University: (em branco)</t>
  </si>
  <si>
    <t>401152/2026-0</t>
  </si>
  <si>
    <t>00227948084</t>
  </si>
  <si>
    <t>Raul Benites Paradeda</t>
  </si>
  <si>
    <t>http://lattes.cnpq.br/7719675103212706</t>
  </si>
  <si>
    <t xml:space="preserve">Raul Benites Paradeda, Wilfredo Blanco Figuerola, Alan de Oliveira Santana, Anderson Abner de Santana Souza, Luiziane Paulino dos Santos, Artemisia Kimberlly Marques da Silva, Maria Klara Brito Sena, Aquiles Medeiros </t>
  </si>
  <si>
    <t>Polo de Desenvolvimento em Robótica Social e Tecnologias Assistivas para Inclusão e Autonomia: Ecossistema Integrado de PD&amp;I na UERN</t>
  </si>
  <si>
    <t>Metodologia e Técnicas da Computação</t>
  </si>
  <si>
    <t>Universidade do Estado do Rio Grande do Norte</t>
  </si>
  <si>
    <t>UERN</t>
  </si>
  <si>
    <t>RN</t>
  </si>
  <si>
    <t>01/06/2026</t>
  </si>
  <si>
    <t>14:51:44</t>
  </si>
  <si>
    <t>14:51:55</t>
  </si>
  <si>
    <t>7719675103212706</t>
  </si>
  <si>
    <t>raulparadeda@uern.br</t>
  </si>
  <si>
    <t>- Universidade do Estado do Rio Grande do Norte: (Servidor público - PES-3-08)
- Universidade do Estado do Rio Grande do Norte: (Bolsista - Produtividade)</t>
  </si>
  <si>
    <t>401032/2026-4</t>
  </si>
  <si>
    <t>14946720812</t>
  </si>
  <si>
    <t>Renata de Lima</t>
  </si>
  <si>
    <t>http://lattes.cnpq.br/9121907190104646</t>
  </si>
  <si>
    <t>Renata de Lima, Ricardo Antonio Polanczyk, Adriano Arrué Melo, Leonardo Fernandes Fraceto</t>
  </si>
  <si>
    <t>Síntese Biogênica de Nanopartículas para Aplicações em Agricultura Sustentável: Consolidação de Linha de Pesquisa e Formação de Recursos Humanos</t>
  </si>
  <si>
    <t>Universidade de Sorocaba</t>
  </si>
  <si>
    <t>UNISO</t>
  </si>
  <si>
    <t>16:34:53</t>
  </si>
  <si>
    <t>01:15:57</t>
  </si>
  <si>
    <t>9121907190104646</t>
  </si>
  <si>
    <t>renata.lima@prof.uniso.br</t>
  </si>
  <si>
    <t>- Universidade de Sorocaba: (Pesquisa - PROFESSOR_TITULAR)
- Universidade de Sorocaba: (CELETISTA - PROFESSOR_TITULAR)
- Universidade de Sorocaba: (Pesquisa e Desenvolvimento: Genétca Ambiental)
- Universidade de Sorocaba: (CELETISTA - PROFESSOR_TITULAR)
- Universidade de Sorocaba: (CELETISTA - pesquisador/professor)
- Universidade de Sorocaba: (CELETISTA - PROFESSOR_TITULAR)
- Univesridade Julio de Mesquita Filho: (em branco)</t>
  </si>
  <si>
    <t>401445/2026-7</t>
  </si>
  <si>
    <t>01240182627</t>
  </si>
  <si>
    <t>Renata Maria Lataro</t>
  </si>
  <si>
    <t>http://lattes.cnpq.br/3727492285903717</t>
  </si>
  <si>
    <t>Renata Maria Lataro, Carolina Eto, Gabriel Baracy Klafke, Bibiana Sgorla de Almeida, Andressa Betat, Claudio Gabriel Aguiar de Oliveira, Maria Eduarda Gomes Bialeski, Edroaldo Lummertz da Rocha</t>
  </si>
  <si>
    <t>Busca por novos alvos terapêuticos para sobreviventes da sepse.</t>
  </si>
  <si>
    <t>PROGRAMA BASICO DE FISIOLOGIA</t>
  </si>
  <si>
    <t>Fisiologia Cardiovascular</t>
  </si>
  <si>
    <t>19/06/2026</t>
  </si>
  <si>
    <t>09:20:37</t>
  </si>
  <si>
    <t>09:20:46</t>
  </si>
  <si>
    <t>3727492285903717</t>
  </si>
  <si>
    <t>relataro@hotmail.com</t>
  </si>
  <si>
    <t>- Universidade Federal de Santa Catarina: (Servidor público - Professor de Magistério Superior)</t>
  </si>
  <si>
    <t>401323/2026-9</t>
  </si>
  <si>
    <t>20928637204</t>
  </si>
  <si>
    <t>Ricardo Angelo Pereira de Lima</t>
  </si>
  <si>
    <t>http://lattes.cnpq.br/1993748824383678</t>
  </si>
  <si>
    <t xml:space="preserve">Ricardo Angelo Pereira de Lima, Rosana Laurentino Pessoa, Kesia Cunha Pontes, Antonio Torrinha da Silva, Sergiane de Mello Ramos, Olavo Fagundes da Silva, Joao Marcio Palheta da Silva, Pedro Henrique Laurentino </t>
  </si>
  <si>
    <t>Estudos integrados de paisagem e território na Bacia da Foz do Rio Amazonas</t>
  </si>
  <si>
    <t>Programa Basico de Geografia Humana e Regional</t>
  </si>
  <si>
    <t>SA</t>
  </si>
  <si>
    <t>Geografia Regional</t>
  </si>
  <si>
    <t>Universidade Federal do Amapá</t>
  </si>
  <si>
    <t>UNIFAP</t>
  </si>
  <si>
    <t>AP</t>
  </si>
  <si>
    <t>17/06/2026</t>
  </si>
  <si>
    <t>09:56:28</t>
  </si>
  <si>
    <t>09:56:55</t>
  </si>
  <si>
    <t>1993748824383678</t>
  </si>
  <si>
    <t>ricardo@unifap.br</t>
  </si>
  <si>
    <t>- Universidade Federal do Pará: (Servidor público - Professor colaborador PPGEO/UFPA (Mestrado/Do)
- Universidade Federal do Amapá: (Servidor público - Professor Associado IV)
- Universidade Federal do Amapá: (Servidor público - PROFESSOR_TITULAR)
- Serviço de Apoio às Micro e Pequenas Empresas do Amapá (AP): (CONSULTORIA - CONSULTOR)</t>
  </si>
  <si>
    <t>402052/2026-9</t>
  </si>
  <si>
    <t>47283106120</t>
  </si>
  <si>
    <t>Rugles César Barbosa</t>
  </si>
  <si>
    <t>http://lattes.cnpq.br/2031076079310047</t>
  </si>
  <si>
    <t>Rugles César Barbosa, Emerson Nobuyuki Itikawa, Laísa Vieira dos Santos, Regina Apolinária Nogueira, Renata Rodrigues Alves</t>
  </si>
  <si>
    <t>Desenvolvimento de uma metodologia de monitoramento radiológico aéreo com Aeronave Remotamente Pilotada (RPA) para mapeamento ambiental no Depósito de Rejeitos do Césio-137 em Abadia de Goiás.</t>
  </si>
  <si>
    <t>Física Nuclear</t>
  </si>
  <si>
    <t>09:39:51</t>
  </si>
  <si>
    <t>09:49:39</t>
  </si>
  <si>
    <t>2031076079310047</t>
  </si>
  <si>
    <t>rbarbosa@cnen.gov.br</t>
  </si>
  <si>
    <t>- COMISSAO NACIONAL DE ENERGIA NUCLEAR: (Servidor público - TECNOLOGISTA)</t>
  </si>
  <si>
    <t>401105/2026-1</t>
  </si>
  <si>
    <t>27809367897</t>
  </si>
  <si>
    <t>William Chiappim Junior</t>
  </si>
  <si>
    <t>http://lattes.cnpq.br/6050875493886342</t>
  </si>
  <si>
    <t>William Chiappim Junior, Konstantin Georgiev Kostov, Olivia Maria Berengue, Vinicius Tadeu Santana</t>
  </si>
  <si>
    <t>Plasma Frio à Pressão Atmosférica e Processos Oxidativos Avançados Híbridos para Degradação de Fármacos em Matrizes Aquosas: Integração entre Nanopartículas Catalíticas, Transformação Química e Risco Biológico</t>
  </si>
  <si>
    <t>Física de Plasmas e Descargas Elétricas</t>
  </si>
  <si>
    <t>Faculdade de Engenharia de Guaratinguetá</t>
  </si>
  <si>
    <t>FEG/UNESP/Guarat</t>
  </si>
  <si>
    <t>13:26:54</t>
  </si>
  <si>
    <t>16:50:32</t>
  </si>
  <si>
    <t>6050875493886342</t>
  </si>
  <si>
    <t>william.chiappim@unesp.br</t>
  </si>
  <si>
    <t>- Faculdade de Engenharia de Guaratinguetá - UNESP: (Servidor público - Membro do Conselho do Curso de Física)
- Faculdade de Engenharia de Guaratinguetá - UNESP: (Servidor público - Professor Assistente Doutor - MS-3.2 - RDIDP)
- Faculdade de Engenharia de Guaratinguetá - UNESP: (Servidor público - Chefe de Departamento)
- Faculdade de Engenharia de Guaratinguetá - UNESP: (Servidor público - Comissão Permanente de Gestão do PDI)
- Faculdade de Engenharia de Guaratinguetá - UNESP: (Servidor público - Comitê Científico da PROPe Unesp)
- Faculdade de Engenharia de Guaratinguetá - UNESP: (Servidor público - Conselho do PPGFA)
- Faculdade de Engenharia de Guaratinguetá - UNESP: (Servidor público - Conselho de Graduação em Física)
- Faculdade de Engenharia de Guaratinguetá - UNESP: (Servidor público - Ensino, Física, Nível: Graduação)
- Faculdade de Engenharia de Guaratinguetá - UNESP: (Servidor público - Ensino, Física, Nível: Graduação)</t>
  </si>
  <si>
    <t>401912/2026-4</t>
  </si>
  <si>
    <t>56171897949</t>
  </si>
  <si>
    <t>Wolmar Benjamin Wosiacki</t>
  </si>
  <si>
    <t>http://lattes.cnpq.br/0040413891328104</t>
  </si>
  <si>
    <t xml:space="preserve">Wolmar Benjamin Wosiacki, Alberto Akama, Carlos David Canabarro Machado de Santana, Any Beatriz da Silva Damasceno, Felipe Arian de Andrade Araújo, Rodrigo Silva de Sousa, Laize Pinto De Oliveira, Murilo De Moura </t>
  </si>
  <si>
    <t>A Ictiofauna Amazônica sob a lupa da Genômica nas coleções científicas: um paradigma atual.</t>
  </si>
  <si>
    <t>14:37:45</t>
  </si>
  <si>
    <t>14:37:51</t>
  </si>
  <si>
    <t>0040413891328104</t>
  </si>
  <si>
    <t>wolmar@museu-goeldi.br</t>
  </si>
  <si>
    <t>- Museu Paraense Emílio Goeldi: (Pesquisador Titular III)
- Universidade Federal do Pará: (COLABORADOR - Outro (Orientador de graduação e pós))
- Conselho Nacional de Desenvolvimento Científico e Tecnológico: (Membro de comitê assessor)
- Conselho Nacional de Desenvolvimento Científico e Tecnológico: (Membro de comitê assessor)</t>
  </si>
  <si>
    <t>401994/2026-0</t>
  </si>
  <si>
    <t>72593750944</t>
  </si>
  <si>
    <t>Ricardo Cotrin Teixeira</t>
  </si>
  <si>
    <t>http://lattes.cnpq.br/2473548616237558</t>
  </si>
  <si>
    <t xml:space="preserve">Ricardo Cotrin Teixeira, Eduardo Cezar Barbosa de Barros Aragão, Paulo Henrique de Oliveira Rappl, Luiz Angelo Berni, Alisson Dal Lago, Franciele Carlesso, Erica Freire Antunes, Isaias de Oliveira, Vladimir Jesus Trava-Airoldi, </t>
  </si>
  <si>
    <t>MEMS4Space: Consolidação de Capacidades Institucionais em Microfabricação, MEMS e Sensores Avançados para Missões Satelitais e Instrumentação Espacial</t>
  </si>
  <si>
    <t>Programa Básico de Microeletrônica</t>
  </si>
  <si>
    <t>ME</t>
  </si>
  <si>
    <t>Processos de Fabricação</t>
  </si>
  <si>
    <t>17:02:52</t>
  </si>
  <si>
    <t>17:02:58</t>
  </si>
  <si>
    <t>2473548616237558</t>
  </si>
  <si>
    <t>rcotrin@gmail.com</t>
  </si>
  <si>
    <t>- Instituto Nacional de Pesquisas Espaciais: (Civil servant - Senior Researcher)</t>
  </si>
  <si>
    <t>401357/2026-0</t>
  </si>
  <si>
    <t>01414358520</t>
  </si>
  <si>
    <t>Ricardo Gomes Passos</t>
  </si>
  <si>
    <t>http://lattes.cnpq.br/7422431150278976</t>
  </si>
  <si>
    <t xml:space="preserve">Ricardo Gomes Passos, Eduardo Antonio Gomes Marques, Cristina Helena Ribeiro Rocha Augustin, Leonardo Passos de Sa, Carlos Alberto de Carvalho Filho, Carolina Santos Lamounier, Cláudio José Chagas, Elydio José Dias Soares, </t>
  </si>
  <si>
    <t>AVALIAÇÃO DO BALANÇO HIDROLÓGICO, DAS CONEXÕES ENTRE RESERVAS HÍDRICAS SUPERFICIAIS E SUBTERRÂNEAS E DA VULNERABILIDADE HÍDRICA NAS BACIAS DOS RIOS PANDEIROS E PERUAÇU, NO SEMIÁRIDO MINEIRO</t>
  </si>
  <si>
    <t>Recursos Hídricos</t>
  </si>
  <si>
    <t>18/06/2026</t>
  </si>
  <si>
    <t>09:54:31</t>
  </si>
  <si>
    <t>09:54:46</t>
  </si>
  <si>
    <t>7422431150278976</t>
  </si>
  <si>
    <t>ricardogpassos@yahoo.com.br</t>
  </si>
  <si>
    <t>- COMISSAO NACIONAL DE ENERGIA NUCLEAR: (Servidor público - Pesquisador)</t>
  </si>
  <si>
    <t>401972/2026-7</t>
  </si>
  <si>
    <t>05260943899</t>
  </si>
  <si>
    <t>Ricardo Mendes Leal Neto</t>
  </si>
  <si>
    <t>http://lattes.cnpq.br/3270615314717988</t>
  </si>
  <si>
    <t>Ricardo Mendes Leal Neto, Michelangelo Durazzo, Elita Fontenele Urano de Carvalho, Sumair Gouveia de Araujo, Larissa Otubo, Felipe Jaime Davila</t>
  </si>
  <si>
    <t>Fortalecimento da Competência do IPEN/CNEN em Armazenamento Sólido de Hidrogênio em Ligas de Urânio</t>
  </si>
  <si>
    <t>Metalurgia Física</t>
  </si>
  <si>
    <t>15:35:07</t>
  </si>
  <si>
    <t>15:35:17</t>
  </si>
  <si>
    <t>3270615314717988</t>
  </si>
  <si>
    <t>riclealn@usp.br</t>
  </si>
  <si>
    <t>- COMISSAO NACIONAL DE ENERGIA NUCLEAR: (Servidor público - Tecnoligista Senior)
- Universidade de São Paulo: (COLABORADOR - Outro (Orientador e Docente))
- Alluvium: (Sócio - Cotista)</t>
  </si>
  <si>
    <t>402130/2026-0</t>
  </si>
  <si>
    <t>08411066819</t>
  </si>
  <si>
    <t>Ricardo Sobhie Diaz</t>
  </si>
  <si>
    <t>http://lattes.cnpq.br/0846508761438062</t>
  </si>
  <si>
    <t xml:space="preserve">Ricardo Sobhie Diaz, Paulo Roberto Abrão Ferreira, Adauto Castelo Filho, Mauro Schechter, Andrea Savarino, Lishomwa Ndhlovu, Reinaldo Salomão, James Richard Hunter, Erica Araujo Mendes, Joao Francisco Justo Filho, José </t>
  </si>
  <si>
    <t>Nanobiotecnologia e Terapia Celular Avançada Aplicadas à Cura do HIV Latente</t>
  </si>
  <si>
    <t>Doenças Infecciosas e Parasitárias</t>
  </si>
  <si>
    <t>Universidade Federal de São Paulo</t>
  </si>
  <si>
    <t>UNIFESP</t>
  </si>
  <si>
    <t>15:43:41</t>
  </si>
  <si>
    <t>09:54:29</t>
  </si>
  <si>
    <t>0846508761438062</t>
  </si>
  <si>
    <t>rsdiaz@unifesp.br</t>
  </si>
  <si>
    <t>Faixa 2 (1 propostas)</t>
  </si>
  <si>
    <t>- Universidade Federal de São Paulo: (Servidor público - Professor Associado)
- Conselho Nacional de Desenvolvimento Científico e Tecnológico: (Pesquisador Principal - PI)
- Fundação de Amparo à Pesquisa do Estado de São Paulo: (Pesquisador Principal - PI)</t>
  </si>
  <si>
    <t>401917/2026-6</t>
  </si>
  <si>
    <t>72035714753</t>
  </si>
  <si>
    <t>Roberto Navarro de Mesquita</t>
  </si>
  <si>
    <t>http://lattes.cnpq.br/9735321541608879</t>
  </si>
  <si>
    <t>Roberto Navarro de Mesquita, Mario Olimpio de Menezes, Marcos Rodrigues de Carvalho</t>
  </si>
  <si>
    <t>Capacitação Institucional em Monitoramento Preditivo Multiparamétrico de Máquinas Rotativas Críticas em Instalações Nucleares</t>
  </si>
  <si>
    <t>Instrumentação para Operação e Controle de Reatores</t>
  </si>
  <si>
    <t>16:04:27</t>
  </si>
  <si>
    <t>16:04:35</t>
  </si>
  <si>
    <t>9735321541608879</t>
  </si>
  <si>
    <t>rnavarro@ipen.br</t>
  </si>
  <si>
    <t>- COMISSAO NACIONAL DE ENERGIA NUCLEAR: (Servidor público ou celetista - Tecnologista Pleno)</t>
  </si>
  <si>
    <t>402077/2026-1</t>
  </si>
  <si>
    <t>50901990000</t>
  </si>
  <si>
    <t>Rodrigo Intini Marques</t>
  </si>
  <si>
    <t>http://lattes.cnpq.br/3979829162351186</t>
  </si>
  <si>
    <t>Rodrigo Intini Marques, Fernando de Souza Costa, Danilo Almeida Machado</t>
  </si>
  <si>
    <t>Propulsão Espacial para Satélites</t>
  </si>
  <si>
    <t>Propulsão Aeroespacial</t>
  </si>
  <si>
    <t>16:56:30</t>
  </si>
  <si>
    <t>09:51:13</t>
  </si>
  <si>
    <t>3979829162351186</t>
  </si>
  <si>
    <t>rodrigo.intini@inpe.br</t>
  </si>
  <si>
    <t>401976/2026-2</t>
  </si>
  <si>
    <t>37132725149</t>
  </si>
  <si>
    <t>Saulo Ribeiro de Freitas</t>
  </si>
  <si>
    <t>http://lattes.cnpq.br/9873289111461387</t>
  </si>
  <si>
    <t xml:space="preserve">Saulo Ribeiro de Freitas, Ariane Frassoni dos Santos de Mattos, Antonio Ocimar Manzi, Marcos Longo, Luiz Fernando Sapucci, Eduardo Georges Khamis, João Gerd Zell de Mattos, Emanuel Giarolla, Fernanda Casagrande, </t>
  </si>
  <si>
    <t>Consolidação da Plataforma Nacional de Previsão Numérica do Sistema Terrestre com o Model for Ocean-laNd-Atmosphere PredictioN (MONAN)</t>
  </si>
  <si>
    <t>15:55:28</t>
  </si>
  <si>
    <t>15:57:34</t>
  </si>
  <si>
    <t>9873289111461387</t>
  </si>
  <si>
    <t>saulo.r.de.freitas@gmail.com</t>
  </si>
  <si>
    <t>- Instituto Nacional de Pesquisas Espaciais: (Servidor público - Pesquisador TItular)
- Instituto Nacional de Pesquisas Espaciais: (Servidor público - Chefe da Divisão de Modelagem do Sist Terrest)</t>
  </si>
  <si>
    <t>402355/2026-1</t>
  </si>
  <si>
    <t>78632390104</t>
  </si>
  <si>
    <t>Saulo Rodrigues e Silva</t>
  </si>
  <si>
    <t>http://lattes.cnpq.br/4246717998455436</t>
  </si>
  <si>
    <t>Saulo Rodrigues e Silva, Orlando Belo, Jefferson Magalhães de Morais, Wanderley Azevedo de Brito, Erturul Doruluk</t>
  </si>
  <si>
    <t>Inova Mundo: Uma Infraestrutura Internacional Estratégica para a Orquestração Transcontinental de PDI e a Mitigação da Falha Translacional em PMEs.</t>
  </si>
  <si>
    <t>Engenharia de Software</t>
  </si>
  <si>
    <t>Instituto Federal de Educação, Ciência e Tecnologia de Goiás</t>
  </si>
  <si>
    <t>IFG</t>
  </si>
  <si>
    <t>GO</t>
  </si>
  <si>
    <t>15:47:20</t>
  </si>
  <si>
    <t>15:47:28</t>
  </si>
  <si>
    <t>4246717998455436</t>
  </si>
  <si>
    <t>saulors@yahoo.com</t>
  </si>
  <si>
    <t>- Instituto Federal de Educação, Ciência e Tecnologia de Goiás: (Servidor público - Téc. Tecnologia da Informação)</t>
  </si>
  <si>
    <t>401928/2026-8</t>
  </si>
  <si>
    <t>31580653634</t>
  </si>
  <si>
    <t>Sergio Almeida Cunha Filgueiras</t>
  </si>
  <si>
    <t>http://lattes.cnpq.br/3165380752669036</t>
  </si>
  <si>
    <t>Sergio Almeida Cunha Filgueiras, Regia Ruth Ramirez Guimaraes, Jefferson José Vilela, Wagner Reis da Costa Campos, Emerson Giovani Rabello, Luiz Leite da Silva, Jonnas Peressinotto, Edson Ribeiro, Claudio Cunha Lopes</t>
  </si>
  <si>
    <t>Estruturação e Capacitação de Infraestrutura em Manufatura Aditiva (FDM e LB-PBF) com Foco na Qualificação de Processos para a Indústria de Base Tecnológica</t>
  </si>
  <si>
    <t>Processos de Fabricação, Seleção Econômica</t>
  </si>
  <si>
    <t>08:33:38</t>
  </si>
  <si>
    <t>08:33:54</t>
  </si>
  <si>
    <t>3165380752669036</t>
  </si>
  <si>
    <t>sacf@cdtn.br</t>
  </si>
  <si>
    <t>- COMISSAO NACIONAL DE ENERGIA NUCLEAR: (Servidor público - Tecnologista)</t>
  </si>
  <si>
    <t>402392/2026-4</t>
  </si>
  <si>
    <t>61043087672</t>
  </si>
  <si>
    <t>Sidney Nicodemos da Silva</t>
  </si>
  <si>
    <t>http://lattes.cnpq.br/7979338384555091</t>
  </si>
  <si>
    <t>Modelagem computacional multifísica e otimização guiada por inteligência artificial de eletrodos compósitos para baterias avançadas de íon alumínio e de íon lítio com Si/grafeno</t>
  </si>
  <si>
    <t>Materiais Conjugados Não-Metálicos</t>
  </si>
  <si>
    <t>Centro Federal de Educação Tecnológica de Minas Gerais</t>
  </si>
  <si>
    <t>CEFET/MG</t>
  </si>
  <si>
    <t>20:50:35</t>
  </si>
  <si>
    <t>7979338384555091</t>
  </si>
  <si>
    <t>sidney@des.cefetmg.br</t>
  </si>
  <si>
    <t>- Centro Federal de Educação Tecnológica de Minas Gerais: (Servidor público - Professor Efetivo do Quadro Permanente)
- Institut Fur Neue Materialien Gmbh: (PROFESSOR_VISITANTE - Pesquisador Colaborador)
- Centro de Desenvolvimento da Tecnologia Nuclear: (em branco)</t>
  </si>
  <si>
    <t>402063/2026-0</t>
  </si>
  <si>
    <t>97677043887</t>
  </si>
  <si>
    <t>Silvio Manea</t>
  </si>
  <si>
    <t>http://lattes.cnpq.br/3678026099849524</t>
  </si>
  <si>
    <t>Silvio Manea, Marcio Afonso Arimura Fialho, Agnaldo Vieira Dias</t>
  </si>
  <si>
    <t>RACE-COTS (Radiação em Componentes Eletrônicos COTS)</t>
  </si>
  <si>
    <t>Sistemas Aeroespaciais</t>
  </si>
  <si>
    <t>11:09:43</t>
  </si>
  <si>
    <t>09:50:29</t>
  </si>
  <si>
    <t>3678026099849524</t>
  </si>
  <si>
    <t>silvio.manea@gmail.com</t>
  </si>
  <si>
    <t>- Instituto Nacional de Pesquisas Espaciais: (Servidor público - TECNOLOGISTA)
- Instituto de Estudos Avançados: (COLABORADOR - Pesquisador)
- Universidade Estadual Paulista Júlio de Mesquita Filho: (em branco)</t>
  </si>
  <si>
    <t>402010/2026-4</t>
  </si>
  <si>
    <t>15724356821</t>
  </si>
  <si>
    <t>Solange Kazumi Sakata</t>
  </si>
  <si>
    <t>http://lattes.cnpq.br/7715634436402530</t>
  </si>
  <si>
    <t>Solange Kazumi Sakata, Eguiberto Galego, Ligia Ely Morganti Ferreira Dias, Lucio Angnes, Marilene Morelli Serna, Rosa Maria Chura Chambi</t>
  </si>
  <si>
    <t>Plataforma diagnóstica rápida por biossensoriamento eletroquímico para doenças negligenciadas</t>
  </si>
  <si>
    <t>Vacinas e Kits para Diagnósticos</t>
  </si>
  <si>
    <t>CNEN_PPPROV</t>
  </si>
  <si>
    <t>22:57:12</t>
  </si>
  <si>
    <t>22:57:19</t>
  </si>
  <si>
    <t>7715634436402530</t>
  </si>
  <si>
    <t>sksakata@ipen.br</t>
  </si>
  <si>
    <t>- Universidade de São Paulo: (COLABORADOR - Professor)
- Conselho Regional de Química IV Região: (Membro de Comissão - Membro da Comissão de Energia)
- COMISSAO NACIONAL DE ENERGIA NUCLEAR: (Servidor público - Pesquisadora titular III)</t>
  </si>
  <si>
    <t>402318/2026-9</t>
  </si>
  <si>
    <t>71512950220</t>
  </si>
  <si>
    <t>Sue Anne Regina Ferreira da Costa</t>
  </si>
  <si>
    <t>http://lattes.cnpq.br/3629751361208856</t>
  </si>
  <si>
    <t xml:space="preserve">Sue Anne Regina Ferreira da Costa, Nelson Rodrigues Sanjad, Lilian Bayma de Amorim, Sâmia Batista e Silva, Mayara Larrys Gomes de Assis Nogueira, Tarcízio Macedo, Larisse de Fátima Farias da Rosa, Rodrigo Oliveira de </t>
  </si>
  <si>
    <t xml:space="preserve"> Os Acervos do Museu Goeldi na Conservação e Divulgação da Sociobiodiversidade amazônica.</t>
  </si>
  <si>
    <t>PROGRAMA BASICO DE MUSEOLOGIA</t>
  </si>
  <si>
    <t>AC</t>
  </si>
  <si>
    <t>Museologia</t>
  </si>
  <si>
    <t>11:27:24</t>
  </si>
  <si>
    <t>11:27:35</t>
  </si>
  <si>
    <t>3629751361208856</t>
  </si>
  <si>
    <t>sue.costa@gmail.com</t>
  </si>
  <si>
    <t>- Museu Paraense Emílio Goeldi: (Servidor público - Coordenadora de Comunicação e Extensão)
- Universidade Federal do Pará: (Servidor público - Professora Associada)
- Universidade Federal do Pará: (Servidor público - Docente PPGPatri)</t>
  </si>
  <si>
    <t>401194/2026-4</t>
  </si>
  <si>
    <t>02936460824</t>
  </si>
  <si>
    <t>Sumair Gouveia de Araujo</t>
  </si>
  <si>
    <t>http://lattes.cnpq.br/7878266367283841</t>
  </si>
  <si>
    <t>Sumair Gouveia de Araujo, Marilene Morelli Serna, Marycel Elena Barboza Cotrim, Eguiberto Galego, Ricardo Mendes Leal Neto, Michelangelo Durazzo, Solange Kazumi Sakata, João Cristiano Ulrich</t>
  </si>
  <si>
    <t>Biorrefinaria sustentável assistida por micro-ondas, na síntese de grafeno e seus derivados e de quitosana, para aplicações medicinais, energéticas, industriais e ambientais</t>
  </si>
  <si>
    <t>Processos Ambientais e Tecnologias Limpas</t>
  </si>
  <si>
    <t>10:47:37</t>
  </si>
  <si>
    <t>10:47:45</t>
  </si>
  <si>
    <t>7878266367283841</t>
  </si>
  <si>
    <t>sumair.araujo@gmail.com</t>
  </si>
  <si>
    <t>- Comissão Nacional de Energia Nuclear: (Servidor público - Outro (Tecnologista Senior))
- INSTITUTO DE PESQUISAS ENERGETICAS E NUCLEARES: (Servidor público - Pesquisador)</t>
  </si>
  <si>
    <t>401535/2026-6</t>
  </si>
  <si>
    <t>07716459457</t>
  </si>
  <si>
    <t>Thaíses Brunelle Santana de Lima</t>
  </si>
  <si>
    <t>http://lattes.cnpq.br/6856084872897596</t>
  </si>
  <si>
    <t>Thaíses Brunelle Santana de Lima, Renata Francisca da Silva Santos</t>
  </si>
  <si>
    <t>Compósitos Poliméricos à Base de Água com Nanoaditivos Híbridos de Óxido de Grafeno e Sílica como Materiais de Alto Desempenho para Indústria de Revestimentos</t>
  </si>
  <si>
    <t>Universidade Federal de Pernambuco</t>
  </si>
  <si>
    <t>UFPE</t>
  </si>
  <si>
    <t>14:43:54</t>
  </si>
  <si>
    <t>14:44:02</t>
  </si>
  <si>
    <t>6856084872897596</t>
  </si>
  <si>
    <t>lthaises@gmail.com</t>
  </si>
  <si>
    <t>Faixa 4 (2 propostas)</t>
  </si>
  <si>
    <t>- Universidade Federal de Pernambuco: (Servidor público - Físico)</t>
  </si>
  <si>
    <t>401016/2026-9</t>
  </si>
  <si>
    <t>07638730470</t>
  </si>
  <si>
    <t>Romênia Gurgel Vieira</t>
  </si>
  <si>
    <t>http://lattes.cnpq.br/0910758067547904</t>
  </si>
  <si>
    <t xml:space="preserve">Romênia Gurgel Vieira, Maria Izabel da Silva Guerra, Idalmir de Souza Queiroz Júnior, Magno Medeiros de Araújo, Juan Teruyuki Couto Tatsukawa Junior, Elias Samuel Soares Cezário, Dulciel Marcos Abel da Silva, José Genilson da </t>
  </si>
  <si>
    <t>Pesquisa, Desenvolvimento Tecnológico e Capacitação Institucional em Identificação Inteligente de Faltas em Sistemas Fotovoltaicos e Análise de Fluxo Reverso em Redes Elétricas com Alta Penetração de Geração Distribuída</t>
  </si>
  <si>
    <t>Sistemas Elétricos de Potência</t>
  </si>
  <si>
    <t>Universidade Federal Rural do Semi-Árido</t>
  </si>
  <si>
    <t>UFERSA</t>
  </si>
  <si>
    <t>17:44:59</t>
  </si>
  <si>
    <t>21/05/2026</t>
  </si>
  <si>
    <t>08:47:58</t>
  </si>
  <si>
    <t>0910758067547904</t>
  </si>
  <si>
    <t>romeniavieira@hotmail.com</t>
  </si>
  <si>
    <t>- Universidade Federal Rural do Semi-Árido: (Servidor público - Professor Adjunto)</t>
  </si>
  <si>
    <t>402014/2026-0</t>
  </si>
  <si>
    <t>25705954204</t>
  </si>
  <si>
    <t>Rommel Mario Rodríguez Burbano</t>
  </si>
  <si>
    <t>http://lattes.cnpq.br/4362051219348099</t>
  </si>
  <si>
    <t>Rommel Mario Rodríguez Burbano, Francisco Cezar Aquino de Moraes, Hellen Thais Fuzii, Elizabeth Suchi Chen, Bárbara do Nascimento Borges</t>
  </si>
  <si>
    <t>Eficácia, segurança e monitoramento molecular por biópsia líquida do tratamento com menadiona em pacientes com câncer gástrico avançado submetidos à quimioterapia: ensaio clínico randomizado, duplo-cego, de fase III</t>
  </si>
  <si>
    <t>PROGRAMA BASICO DE GENETICA</t>
  </si>
  <si>
    <t>GE</t>
  </si>
  <si>
    <t>Genética Humana e Médica</t>
  </si>
  <si>
    <t>01:53:34</t>
  </si>
  <si>
    <t>01:53:44</t>
  </si>
  <si>
    <t>4362051219348099</t>
  </si>
  <si>
    <t>rommel_burbano@hotmail.com</t>
  </si>
  <si>
    <t>- Universidade Federal do Pará: (SERVIDOR_PUBLICO - PROFESSOR_TITULAR)
- Conselho Nacional de Desenvolvimento Científico e Tecnológico: (Membro de comitê assessor)
- FUNDACAO AMAZONIA DE AMPARO A ESTUDOS E PESQUISAS - FAPESPA: (Membro de comitê assessor)
- Hospital Ophir Loyola: (SERVIDOR_PUBLICO - Coordenador Laboratório de Biologia Molecular)
- Hospital Ophir Loyola: (SERVIDOR_PUBLICO - Chefe do Departamento de Ensino e Pesquisa)
- Programa de Apoio ao Desenvolvimento Institucional do SUS: (Membro de comitê assessor)</t>
  </si>
  <si>
    <t>401981/2026-6</t>
  </si>
  <si>
    <t>67486185253</t>
  </si>
  <si>
    <t>Ronaldo Magno Rocha</t>
  </si>
  <si>
    <t>http://lattes.cnpq.br/5458887479371828</t>
  </si>
  <si>
    <t xml:space="preserve">Ronaldo Magno Rocha, José Antonio Picanço Diniz Junior, Leonardo Carreira Trevelin, João Pedro Miranda Pina Assis, Gabriel Negreiros Salomão, Flávia Domingues Maciel, Davidson Clayton Azevedo Sodré, Daniel Guerreiro Diniz, </t>
  </si>
  <si>
    <t>Plataforma Integrada de Vigilância Socioambiental: Inovação em Ciência de Dados e Logística Sustentável com Canoas Havaianas no Monitoramento do Estuário Amazônico</t>
  </si>
  <si>
    <t>16:04:56</t>
  </si>
  <si>
    <t>16:17:44</t>
  </si>
  <si>
    <t>5458887479371828</t>
  </si>
  <si>
    <t>ronaldorocha@museu-goeldi.br</t>
  </si>
  <si>
    <t>- FACULDADE ESTÁCIO DE BELÉM - ESTÁCIO BELÉM: (CELETISTA - PROFESSOR)
- Centro Universitário do Estado do Pará: (CELETISTA - PROFESSOR)
- Museu Paraense Emílio Goeldi: (Servidor público - TECNOLOGISTA - ANALISTA QUÍMICO)</t>
  </si>
  <si>
    <t>402265/2026-2</t>
  </si>
  <si>
    <t>02116242843</t>
  </si>
  <si>
    <t>Rubens Nunes de Faria Junior</t>
  </si>
  <si>
    <t>http://lattes.cnpq.br/8776524631256060</t>
  </si>
  <si>
    <t>Rubens Nunes de Faria Junior, Dolores Ribeiro Ricci Lazar, Cecília Chaves Guedes e Silva, Flavio Machado de Souza Carvalho</t>
  </si>
  <si>
    <t>Processamento sustentável de argila iônica portadora de terras raras para extração seletiva desses elementos</t>
  </si>
  <si>
    <t>Hidrometalurgia</t>
  </si>
  <si>
    <t>10:14:34</t>
  </si>
  <si>
    <t>10:02:40</t>
  </si>
  <si>
    <t>8776524631256060</t>
  </si>
  <si>
    <t>rfaria@ipen.br</t>
  </si>
  <si>
    <t>- Universidade de São Paulo: (OUTRO - Orientador Credenciado)</t>
  </si>
  <si>
    <t>402204/2026-3</t>
  </si>
  <si>
    <t>05385867705</t>
  </si>
  <si>
    <t>Larriza Thurler</t>
  </si>
  <si>
    <t>http://lattes.cnpq.br/5973449119553656</t>
  </si>
  <si>
    <t>Larriza Thurler, Matheus Rolim Barros, Glauber Dias Gonçalves, Leandro Neumann Ciuffo, Luana Teixeira de Souza Cruz, Reinaldo Cézar de Morais Gomes</t>
  </si>
  <si>
    <t>Observatório Nacional de Blockchain: Inteligência Científica, Disseminação e Formação em Tecnologias Blockchain</t>
  </si>
  <si>
    <t>PROGRAMA BASICO DE CIENCIA DA INFORMACAO</t>
  </si>
  <si>
    <t>Processos de Disseminação da Informação</t>
  </si>
  <si>
    <t>Rede Nacional de Ensino e Pesquisa</t>
  </si>
  <si>
    <t>RNP</t>
  </si>
  <si>
    <t>16:53:21</t>
  </si>
  <si>
    <t>09:58:56</t>
  </si>
  <si>
    <t>5973449119553656</t>
  </si>
  <si>
    <t xml:space="preserve">Chamada: Chamada CNPq/MCTI/FNDCT Nº 12/2026 - Faixa 4: Projetos de Pesquisa vinculados a </t>
  </si>
  <si>
    <t>Chamada CNPq/MCTI/FNDCT Nº 12/2026 - Faixa 4: Projetos de Pesquisa vinculados a Organizações Sociais (OS) e Empresas Públicas</t>
  </si>
  <si>
    <t>larriza.thurler@crie.coppe.ufrj.br</t>
  </si>
  <si>
    <t>Faixa 4</t>
  </si>
  <si>
    <t>Faixa 4 (4 propostas)</t>
  </si>
  <si>
    <t>- Universidade Federal do Rio de Janeiro: (COLABORADOR - Pesquisadora independente)
- Centro de Referência em Inteligência Empresarial: (COLABORADOR - Coordenadora Acadêmica do MBA em GG (MBKM))
- Rede Nacional de Ensino e Pesquisa: (CELETISTA - Coordenadora de Disseminação Científica)</t>
  </si>
  <si>
    <t>402104/2026-9</t>
  </si>
  <si>
    <t>03569431436</t>
  </si>
  <si>
    <t>Louise Maranhão de Melo</t>
  </si>
  <si>
    <t>http://lattes.cnpq.br/6676235079943715</t>
  </si>
  <si>
    <t xml:space="preserve">Louise Maranhão de Melo, Patricia Carvalho Rosa, Maria Cecilia Rosinski Lima Gomes, Joao Paulo Borges Pedro, David Marcial Fernandez Conga, Roberta Vieira de Morais Bronzoni, Ivan Junqueira Lima, Arlei Marcili, Gisele </t>
  </si>
  <si>
    <t>Avaliação integrada da saúde ambiental e seus impactos na saúde dos povos tradicionais, das populações de animais domésticos e silvestres da Amazônia: uma abordagem em Saúde Única.</t>
  </si>
  <si>
    <t>PROGRAMA BASICO DE MEDICINA VETERINARIA</t>
  </si>
  <si>
    <t>VT</t>
  </si>
  <si>
    <t>Medicina Veterinária Preventiva</t>
  </si>
  <si>
    <t>Instituto de Desenvolvimento Sustentável Mamirauá</t>
  </si>
  <si>
    <t>IDSM-OS</t>
  </si>
  <si>
    <t>20:31:10</t>
  </si>
  <si>
    <t>09:52:55</t>
  </si>
  <si>
    <t>6676235079943715</t>
  </si>
  <si>
    <t>louise@mamiraua.org.br</t>
  </si>
  <si>
    <t>Faixa 4 (7 propostas)</t>
  </si>
  <si>
    <t>- Instituto de Desenvolvimento Sustentável Mamirauá: (COLABORADOR - Membro Titular)
- Instituto de Desenvolvimento Sustentável Mamirauá: (CELETISTA - Pesquisadora Titular)
- Fundação de Amparo a Pesquisa do Estado do Amazonas: (Membro de comitê assessor)</t>
  </si>
  <si>
    <t>401185/2026-5</t>
  </si>
  <si>
    <t>33017654753</t>
  </si>
  <si>
    <t>Luiz Carlos Pacheco Rodrigues Velho</t>
  </si>
  <si>
    <t>http://lattes.cnpq.br/9500245604678806</t>
  </si>
  <si>
    <t xml:space="preserve">Luiz Carlos Pacheco Rodrigues Velho, Rafael Oliveira Romeiro, Tiago Novello de Brito, Enylton Machado Coelho, Luiz Henrique de Figueiredo, Ricardo Jansson Motta, Matteo Moriconi, Pablo Gonzalo Cardenas Barriga, Johannes </t>
  </si>
  <si>
    <t>Computação Visual: IA para Realidade Expandida em Novas Mídias</t>
  </si>
  <si>
    <t>PROGRAMA BASICO DE MATEMATICA</t>
  </si>
  <si>
    <t>MA</t>
  </si>
  <si>
    <t>Matemática Aplicada</t>
  </si>
  <si>
    <t>Instituto Nacional de Matemática Pura e Aplicada</t>
  </si>
  <si>
    <t>IMPA</t>
  </si>
  <si>
    <t>05/06/2026</t>
  </si>
  <si>
    <t>16:14:43</t>
  </si>
  <si>
    <t>16:14:59</t>
  </si>
  <si>
    <t>9500245604678806</t>
  </si>
  <si>
    <t>lvelho@impa.br</t>
  </si>
  <si>
    <t>Faixa 4 (5 propostas)</t>
  </si>
  <si>
    <t>- Instituto Nacional de Matemática Pura e Aplicada: (Servidor público - PROFESSOR_TITULAR)
- Centre National de la Recherche Scientifique: (Servidor público - Pesquisador)
- Universidade Federal do Rio Grande do Norte: (Colaborator - Professor Pleno)
- Graphical Models (Print): (Member of Editorial Board)
- Associação Brasileira de Cinematografia: (PROFESSOR_VISITANTE - Professor)</t>
  </si>
  <si>
    <t>402291/2026-3</t>
  </si>
  <si>
    <t>62145738487</t>
  </si>
  <si>
    <t>Pierre Lucena Raboni</t>
  </si>
  <si>
    <t>http://lattes.cnpq.br/2594832387202924</t>
  </si>
  <si>
    <t>Pierre Lucena Raboni, Barbara Nascimento Rodrigues, Andresa Bezerra de Santana, Carlos Filipe de Albuquerque Braga, Silvio André Vital Junior</t>
  </si>
  <si>
    <t xml:space="preserve">Ciência, Inovação e Território: Fatores Determinantes para o Desenvolvimento Sustentável do Ecossistema TIC em Pernambuco </t>
  </si>
  <si>
    <t>Porto Digital</t>
  </si>
  <si>
    <t>PORTO DIGITAL</t>
  </si>
  <si>
    <t>11:12:01</t>
  </si>
  <si>
    <t>10:04:09</t>
  </si>
  <si>
    <t>2594832387202924</t>
  </si>
  <si>
    <t>pierre.lucena@ufpe.br</t>
  </si>
  <si>
    <t>Faixa 4 (1 propostas)</t>
  </si>
  <si>
    <t>- Universidade Federal de Pernambuco: (Professor Adjunto)
- Porto Digital: (CELETISTA - Presidente)
- Centro de Estudos e Sistemas Avançados do Recife: (Conselheiro - Membro do Conselho de Administração)</t>
  </si>
  <si>
    <t>402250/2026-5</t>
  </si>
  <si>
    <t>83328386068</t>
  </si>
  <si>
    <t>Rafael Magalhães Rabelo</t>
  </si>
  <si>
    <t>http://lattes.cnpq.br/5351330534364245</t>
  </si>
  <si>
    <t xml:space="preserve">Rafael Magalhães Rabelo, Darlene Gris, Diego Matheus de Mello Mendes, Alexandre Pucci Hercos, Miriam Marmontel, Ayan Santos Fleischmann, Bianca Darski Silva, Carlos Alberto de Sousa Rodrigues Filho, Taís Helena de </t>
  </si>
  <si>
    <t>Capacitação Institucional para Monitoramento Ambiental e da Biodiversidade em Ecossistemas de Várzea Amazônica</t>
  </si>
  <si>
    <t>13:07:04</t>
  </si>
  <si>
    <t>10:01:53</t>
  </si>
  <si>
    <t>5351330534364245</t>
  </si>
  <si>
    <t>rmrabelo@gmail.com</t>
  </si>
  <si>
    <t>- Instituto de Desenvolvimento Sustentável Mamirauá: (CELETISTA - Pesquisador Titular)
- Instituto Nacional de Pesquisas da Amazônia: (COLABORADOR - Docente Permanente)
- Secretário de Estado de Desenvolvimento Econômico, Ciência, Tecnologia e In: (Membro de Conselho de CTI - Representante do IDSM)
- Fundação de Amparo a Pesquisa do Estado do Amazonas: (Membro de comitê assessor)
- Universidade Federal de Mato Grosso: (COLABORADOR - Pesquisador colaborador)
- Karlsruher Institut für Technologie: (em branco)</t>
  </si>
  <si>
    <t>402233/2026-3</t>
  </si>
  <si>
    <t>04348951489</t>
  </si>
  <si>
    <t>Reinaldo Cézar de Morais Gomes</t>
  </si>
  <si>
    <t>http://lattes.cnpq.br/8132074356628564</t>
  </si>
  <si>
    <t>Reinaldo Cézar de Morais Gomes, Estefânia Angelico Pianoski Arata, Emerson Ribeiro de Mello, Fiterlinge Martins de Sousa, Michelle Silva Wangham</t>
  </si>
  <si>
    <t>TRUST-ID: Modelos de Identidade, Confiança e Delegação de Autoridade para Humanos e Agentes Inteligentes</t>
  </si>
  <si>
    <t>Teleinformática</t>
  </si>
  <si>
    <t>17:46:01</t>
  </si>
  <si>
    <t>10:00:45</t>
  </si>
  <si>
    <t>8132074356628564</t>
  </si>
  <si>
    <t>reinaldo.mgomes@gmail.com</t>
  </si>
  <si>
    <t>- Universidade Federal de Campina Grande: (SERVIDOR_PUBLICO - Professor)
- Rede Nacional de Ensino e Pesquisa: (CELETISTA - Coordenador de Pesquisa e Desenvolvimento)</t>
  </si>
  <si>
    <t>402176/2026-0</t>
  </si>
  <si>
    <t>07796971702</t>
  </si>
  <si>
    <t>Roberto Imbuzeiro Moraes Felinto de Oliveira</t>
  </si>
  <si>
    <t>http://lattes.cnpq.br/8861097282658615</t>
  </si>
  <si>
    <t>Roberto Imbuzeiro Moraes Felinto de Oliveira, Lucas Nissenbaum, Francisco Itamarati Secolo Ganacim, Daniel Silveira Yukimura López, Nara Bobko</t>
  </si>
  <si>
    <t>Desenvolvimento de Inteligência Artificial e suas Aplicações</t>
  </si>
  <si>
    <t>00:34:30</t>
  </si>
  <si>
    <t>09:57:15</t>
  </si>
  <si>
    <t>8861097282658615</t>
  </si>
  <si>
    <t>rimfo@impa.br</t>
  </si>
  <si>
    <t>- Instituto Nacional de Matemática Pura e Aplicada: (CELETISTA - Pesquisador titular)
- Instituto Nacional de Matemática Pura e Aplicada: (CELETISTA - Gerente de Ensino (Coordenador de PG))</t>
  </si>
  <si>
    <t>401160/2026-2</t>
  </si>
  <si>
    <t>07833611735</t>
  </si>
  <si>
    <t>Robson Xavier Faria</t>
  </si>
  <si>
    <t>http://lattes.cnpq.br/6124019896265890</t>
  </si>
  <si>
    <t>Robson Xavier Faria, Guilherme Pegas Teixeira, Isabelle Soares Menezes, Andre Luis Almeida Souza</t>
  </si>
  <si>
    <t>Aperfeiçoamento e Implantação de Plataforma de Triagem em Microescala (3Rs) para Avaliação Toxicológica e Fisiológica de Compostos  Moluscicidas no Controle de Vetores de Relevância Sanitária.</t>
  </si>
  <si>
    <t>PROGRAMA BASICO DE FARMACOLOGIA</t>
  </si>
  <si>
    <t>Toxicologia</t>
  </si>
  <si>
    <t>02/06/2026</t>
  </si>
  <si>
    <t>17:07:16</t>
  </si>
  <si>
    <t>17:07:27</t>
  </si>
  <si>
    <t>6124019896265890</t>
  </si>
  <si>
    <t>robson.xavier@gmail.com</t>
  </si>
  <si>
    <t>- Fundação Oswaldo Cruz: (SERVIDOR_PUBLICO - PROFESSOR_TITULAR)
- Instituto Oswaldo Cruz: (Docente Permanente - Pós-Grad em Biologia Celular e Molecular IOC)
- Instituto Oswaldo Cruz: (Membro de comitê assessor)
- Universidade Federal Fluminense: (Docente em Pós-Graduação - Docente permanente em Pós-Graduação (PPBI))
- Universidad Tecnologica del Choco: (COLABORADOR - Pesquisador colaborador)
- Conselho Nacional de Desenvolvimento Científico e Tecnológico: (Membro de comitê assessor)
- Universidade Federal do Rio de Janeiro: (em branco)
- Pontificia Universidad Javeriana - Bogotá: (em branco)
- Centro Nacional de Investigacao Cientifica: (em branco)
- Escola Superior de Tecnologia da Saúde de Lisboa: (em branco)
- Instituto Oswaldo Cruz: (em branco)
- Universidade Federal do Vale do São Francisco: (em branco)
- Fundação Carlos Chagas Filho de Amparo à Pesquisa do Estado do RJ: (Membro de comitê assessor)</t>
  </si>
  <si>
    <t>402189/2026-4</t>
  </si>
  <si>
    <t>00364747706</t>
  </si>
  <si>
    <t>Rodrigo Barbosa Capaz</t>
  </si>
  <si>
    <t>http://lattes.cnpq.br/2713375538068664</t>
  </si>
  <si>
    <t>Rodrigo Barbosa Capaz, Nick Schilder, Everton Arrighi, Ingrid David Barcelos, Bruna Fernanda Baggio, Alisson Ronieri Cadore</t>
  </si>
  <si>
    <t>Dispositivos Quânticos em Plataformas de Estado Sólido</t>
  </si>
  <si>
    <t>Centro Nacional de Pesquisa em Energia e Materiais</t>
  </si>
  <si>
    <t>CNPEM</t>
  </si>
  <si>
    <t>09:58:04</t>
  </si>
  <si>
    <t>2713375538068664</t>
  </si>
  <si>
    <t>rodrigo.b.capaz@gmail.com</t>
  </si>
  <si>
    <t>- Universidade Federal do Rio de Janeiro: (Servidor público - PROFESSOR_TITULAR)
- Centro Nacional de Pesquisa em Energia e Materiais: (CELETISTA - Diretor, Lab. Nacional de Nanotecnologia)</t>
  </si>
  <si>
    <t>401950/2026-3</t>
  </si>
  <si>
    <t>13578685615</t>
  </si>
  <si>
    <t>Segen Farid Estefen</t>
  </si>
  <si>
    <t>http://lattes.cnpq.br/7932825341116352</t>
  </si>
  <si>
    <t xml:space="preserve">Segen Farid Estefen, Andrei de Abreu Sodré Polejack, Janice Romaguera Trotte-Duhá, Rodolfo Luiz Doering de Magalhães Fraenkel, Priscila Kienteca Lange, Fernando José Moraes Monteiro, Flavia Cardoso de Almeida Cruz </t>
  </si>
  <si>
    <t xml:space="preserve">Ecossistema Digital Integrado para Pesquisa, Inovação e Infraestrutura em Ciências Oceânicas no Brasil </t>
  </si>
  <si>
    <t xml:space="preserve">PROGRAMA BASICO DE OCEANOGRAFIA, RECURSOS PESQUEIROS MARINHOS E </t>
  </si>
  <si>
    <t>OC</t>
  </si>
  <si>
    <t>Oceanografia Física</t>
  </si>
  <si>
    <t>Instituto Nacional de Pesquisas Oceânicas</t>
  </si>
  <si>
    <t>INPO</t>
  </si>
  <si>
    <t>12:57:29</t>
  </si>
  <si>
    <t>12:57:44</t>
  </si>
  <si>
    <t>7932825341116352</t>
  </si>
  <si>
    <t>segen.estefen@inpo.org.br</t>
  </si>
  <si>
    <t>- Ocean Offshore And Arctic Engineering Division: (COLABORADOR - Member Advisory Committee OOAE Division- ASME)
- Society For Underwater Technology: (Chairman of the Brazilian Bran - Colaboração Técnico-Científica)
- Conselho Nacional de Desenvolvimento Científico e Tecnológico: (Pesquisador - Pesquisador Produtividade em Pesquisa)
- Elsevier: (Membro do Comitê Editorial - Comitê Editorial Marine Structures (Journal))
- Agência Nacional de Petroleo: (Membro de Comissão Gestora - Representante do PRH-03)
- Agência Nacional de Petroleo: (Comissão Gestora PRH-18 - Representante do PRH-18)
- Agência Nacional de Petroleo: (Membro de comitê assessor)
- Universidade Federal do Rio de Janeiro - COPPE: (Servidor público - PROFESSOR_TITULAR)
- Universidade Federal do Rio de Janeiro - COPPE: (Servidor público - Coordenador Lab Tecnologia Submarina)
- Universidade Federal do Rio de Janeiro - COPPE: (COLABORADOR - Professor Emérito)
- Instituto Superior Técnico - Universidade de Lisboa: (Bolsista - Estágio Senior CAPES em Programa Estratégico)
- China University of Petroleum - Beijing: (PROFESSOR_VISITANTE - Colaboração Acadêmica)
- Springer-Verlag: (Comitê Editorial MSOT Journal - Comitê Editorial MSOT (Journal))
- Universidade de Lisboa: (COLABORADOR - Professor Colaborador - IST - CENTEC)
- Instituto Nacional de Pesquisas Oceânicas: (CELETISTA - Diretor-Geral)</t>
  </si>
  <si>
    <t>402071/2026-3</t>
  </si>
  <si>
    <t>04975339447</t>
  </si>
  <si>
    <t>Shirley da Silva Jacinto de Oliveira Cruz</t>
  </si>
  <si>
    <t>http://lattes.cnpq.br/7769707216368256</t>
  </si>
  <si>
    <t>Shirley da Silva Jacinto de Oliveira Cruz, Wesllen Sousa Lima, Marília de Assis Alcoforado Costa, Thalita de Sousa Lucena</t>
  </si>
  <si>
    <t>Plataforma de Inteligência Clínica: Transformando Dados em Conhecimento para Qualificação da Assistência, da Pesquisa, da Gestão Hospitalar e da Inovação em Saúde</t>
  </si>
  <si>
    <t>09:50:56</t>
  </si>
  <si>
    <t>7769707216368256</t>
  </si>
  <si>
    <t>shirleyoliveiracruz@gmail.com</t>
  </si>
  <si>
    <t>- Universidade Federal de Pernambuco: (Servidor público - Analista de Tecnologia da Informação)
- Hospital das Clínicas da UFPE/Ebserh: (Servidor público - Chefe do Setor de TI e Saúde Digital)</t>
  </si>
  <si>
    <t>401362/2026-4</t>
  </si>
  <si>
    <t>37981010861</t>
  </si>
  <si>
    <t>Thayna Mendonça Avelino</t>
  </si>
  <si>
    <t>http://lattes.cnpq.br/3682223081169650</t>
  </si>
  <si>
    <t>Thayna Mendonça Avelino, Rodrigo Villares Portugal, João Marcos de Lima Faria, Humberto Cavalcante Joca, Mateus Borba Cardoso</t>
  </si>
  <si>
    <t xml:space="preserve">Abordagem de Imagem Multi-Escala para Descoberta Biomédica: de Órgãos Inteiros a Organelas </t>
  </si>
  <si>
    <t>10:48:34</t>
  </si>
  <si>
    <t>10:48:40</t>
  </si>
  <si>
    <t>3682223081169650</t>
  </si>
  <si>
    <t>thayna.avelino@lnbio.cnpem.br</t>
  </si>
  <si>
    <t>- Centro Nacional de Pesquisa em Energia e Materiais: (CELETISTA - Pesquisadora)</t>
  </si>
  <si>
    <t>401956/2026-1</t>
  </si>
  <si>
    <t>42338662091</t>
  </si>
  <si>
    <t>Valter Roesler</t>
  </si>
  <si>
    <t>http://lattes.cnpq.br/1237732688247222</t>
  </si>
  <si>
    <t>EDUNET Sistema de gestão da qualidade para a rede EDUROAM</t>
  </si>
  <si>
    <t>Sistemas de Computação</t>
  </si>
  <si>
    <t>Universidade Federal do Rio Grande do Sul</t>
  </si>
  <si>
    <t>UFRGS</t>
  </si>
  <si>
    <t>14:09:01</t>
  </si>
  <si>
    <t>14:25:42</t>
  </si>
  <si>
    <t>1237732688247222</t>
  </si>
  <si>
    <t>valter.roesler@gmail.com</t>
  </si>
  <si>
    <t>- Universidade Federal do Rio Grande do Sul: (SERVIDOR_PUBLICO - PROFESSOR_TITULAR)</t>
  </si>
  <si>
    <t>402308/2026-3</t>
  </si>
  <si>
    <t>77649788768</t>
  </si>
  <si>
    <t>Antonio Carlos de Souza Martins</t>
  </si>
  <si>
    <t>http://lattes.cnpq.br/6257407095226861</t>
  </si>
  <si>
    <t>Antonio Carlos de Souza Martins, Heloisa Meireles Gesteira, João Henrique Ribeiro Barbosa, Catherine Jacqueline Suzanne Gallois, Bruno Sarmento dos Santos, Ivo Antonio Almico</t>
  </si>
  <si>
    <t>Preservação e Valorização do Patimônio Cultural Edificado de Ciência e Tecnologia do MAST</t>
  </si>
  <si>
    <t>PROGRAMA BASICO DE ARQUITETURA E URBANISMO</t>
  </si>
  <si>
    <t>Tecnologia de Arquitetura e Urbanismo</t>
  </si>
  <si>
    <t>Museu de Astronomia e Ciências Afins</t>
  </si>
  <si>
    <t>MAST</t>
  </si>
  <si>
    <t>11:10:40</t>
  </si>
  <si>
    <t>11:10:49</t>
  </si>
  <si>
    <t>6257407095226861</t>
  </si>
  <si>
    <t xml:space="preserve">Chamada: Chamada CNPq/MCTI/FNDCT Nº 12/2026 - Faixa 1: Projetos de Pesquisa vinculados a </t>
  </si>
  <si>
    <t>Chamada CNPq/MCTI/FNDCT Nº 12/2026 - Faixa 1: Projetos de Pesquisa vinculados a UPs Pequenas (até 80 servidores)</t>
  </si>
  <si>
    <t>antonio@mast.br</t>
  </si>
  <si>
    <t>Faixa 1</t>
  </si>
  <si>
    <t>Faixa 1 (26 propostas)</t>
  </si>
  <si>
    <t>- Museu de Astronomia e Ciências Afins: (SERVIDOR_PUBLICO - Tecnologista Pleno 3)
- Museu de Astronomia e Ciências Afins: (SERVIDOR_PUBLICO - FCPE - Chefe de Serviço de Produção Técnica)
- Universidade Federal do Rio de Janeiro: (em branco)</t>
  </si>
  <si>
    <t>401058/2026-3</t>
  </si>
  <si>
    <t>21689148268</t>
  </si>
  <si>
    <t>Antônio Gilson Gomes Mesquita</t>
  </si>
  <si>
    <t>http://lattes.cnpq.br/4629575839285869</t>
  </si>
  <si>
    <t>Antônio Gilson Gomes Mesquita, Gracielle Teodora da Costa Pinto Coelho, Evânia Galvão Mendonça</t>
  </si>
  <si>
    <t>AgriForest Innovation: biofábrica para a produção de mudas clonais de espécies florestais e ornamentais via cultura de tecidos.</t>
  </si>
  <si>
    <t>Tecnologia de Processos e Produtos</t>
  </si>
  <si>
    <t>Universidade Federal de São João Del-Rei</t>
  </si>
  <si>
    <t>UFSJ</t>
  </si>
  <si>
    <t>11:49:57</t>
  </si>
  <si>
    <t>11:50:18</t>
  </si>
  <si>
    <t>Universidade Federal do Acre</t>
  </si>
  <si>
    <t>UFAC</t>
  </si>
  <si>
    <t>4629575839285869</t>
  </si>
  <si>
    <t>mesquitaagg@gmail.com</t>
  </si>
  <si>
    <t>Faixa 1 (1 propostas)</t>
  </si>
  <si>
    <t>- Universidade Federal do Acre: (Servidor público - PROFESSOR_TITULAR)
- Universidade Federal do Acre: (Servidor público - Diretor da Editora da UFAC)
- Universidade Federal do Acre: (Servidor público - Diretor da Unidade de tecnologia de Alimentos)
- Universidade Federal de Viçosa: (Servidor público - PROFESSOR_TITULAR)</t>
  </si>
  <si>
    <t>401979/2026-1</t>
  </si>
  <si>
    <t>00197460240</t>
  </si>
  <si>
    <t>Antonio Marques Pereira Junior</t>
  </si>
  <si>
    <t>http://lattes.cnpq.br/1276172117264854</t>
  </si>
  <si>
    <t xml:space="preserve">Antonio Marques Pereira Junior, Simone Patrícia Carneiro de Freitas, Jacenir Reis dos Santos Mallet, Glaucilene da Silva Costa, Kaio Alexandre da Silva, Débora Ribeiro de Mesquita, Raimundo Leoberto Torres de Sousa, Bruno Leite </t>
  </si>
  <si>
    <t>Fortalecimento do Laboratório de Vigilância Entomológica da Fiocruz Piauí por meio da Implantação do Núcleo Integrado de Vigilância Entomológica, Doenças Negligenciadas e Inovação em Saúde (NIVEDIS)</t>
  </si>
  <si>
    <t>Entomologia e Malacologia de Parasitos e Vetores</t>
  </si>
  <si>
    <t>Fundação Oswaldo Cruz Piauí</t>
  </si>
  <si>
    <t>FIOCRUZ piauí</t>
  </si>
  <si>
    <t>PI</t>
  </si>
  <si>
    <t>16:11:47</t>
  </si>
  <si>
    <t>16:11:55</t>
  </si>
  <si>
    <t>1276172117264854</t>
  </si>
  <si>
    <t>junior.ampj01@hotmail.com</t>
  </si>
  <si>
    <t>- Fiocruz Rondônia: (COLABORADOR - Pesquisador Colaborador)
- Fundação Oswaldo Cruz Piauí: (Servidor público - Pesquisador em Saúde Pública)</t>
  </si>
  <si>
    <t>402271/2026-2</t>
  </si>
  <si>
    <t>96513330734</t>
  </si>
  <si>
    <t>Bruno Vaz Castilho de Souza</t>
  </si>
  <si>
    <t>http://lattes.cnpq.br/2224889367076871</t>
  </si>
  <si>
    <t xml:space="preserve">Bruno Vaz Castilho de Souza, Felipe Donizeti Teston Navarete, Irapuan Rodrigues de Oliveira Filho, Clemens Darvin Gneiding, Vanessa Bawden de Paula Macanhan de Arruda, Antonio Cesar de Oliveira, Jesulino Bispo dos Santos, </t>
  </si>
  <si>
    <t>Desenvolvimento de tecnologias em áreas estratégicas e instrumentação astronômica para os Observatórios Multiusuários do LNA</t>
  </si>
  <si>
    <t>Instrumentação Astronômica</t>
  </si>
  <si>
    <t>Laboratório Nacional de Astrofísica</t>
  </si>
  <si>
    <t>LNA</t>
  </si>
  <si>
    <t>15:36:00</t>
  </si>
  <si>
    <t>10:03:02</t>
  </si>
  <si>
    <t>2224889367076871</t>
  </si>
  <si>
    <t>bruno@lna.br</t>
  </si>
  <si>
    <t>Faixa 1 (3 propostas)</t>
  </si>
  <si>
    <t>- Laboratório Nacional de Astrofísica: (SERVIDOR_PUBLICO - Pesquisador Titular II)
- Museu de Astronomia e Ciências Afins: (Membro do Conselho - Membro do Conselho Técnico e Científico)</t>
  </si>
  <si>
    <t>401940/2026-8</t>
  </si>
  <si>
    <t>38626237855</t>
  </si>
  <si>
    <t>Caroline Malagutti Fassina</t>
  </si>
  <si>
    <t>http://lattes.cnpq.br/7261813811995438</t>
  </si>
  <si>
    <t xml:space="preserve">Caroline Malagutti Fassina, André Luiz Pardal Souza, André Jost Mafra, Deborah Santos Prado, Denis Moledo de Souza Abessa, Diego da Silva Lara, Fernanda Terra Stori, Gabriel Hidd Vasconcellos, Giovanna Pereira Rosseto, </t>
  </si>
  <si>
    <t>C0STA 0.1: Inovação e Futuros Tecnopolíticos na Zona Costeira</t>
  </si>
  <si>
    <t>FUNDACAO PARQUE TECNOLOGICO DE SANTOS</t>
  </si>
  <si>
    <t>FPTS</t>
  </si>
  <si>
    <t>10:54:24</t>
  </si>
  <si>
    <t>10:54:34</t>
  </si>
  <si>
    <t>7261813811995438</t>
  </si>
  <si>
    <t>carolinefassina@fpts.org.br</t>
  </si>
  <si>
    <t>- FUNDACAO PARQUE TECNOLOGICO DE SANTOS: (Cessão - Gerente de Projetos Azuis)
- Universidade Federal da Bahia: (em branco)</t>
  </si>
  <si>
    <t>402116/2026-7</t>
  </si>
  <si>
    <t>57048797991</t>
  </si>
  <si>
    <t>Charles Narloch</t>
  </si>
  <si>
    <t>http://lattes.cnpq.br/2010495712225789</t>
  </si>
  <si>
    <t>Charles Narloch, Aline Rocha de Souza Ferreira de Castro, Helena Cunha de Uzeda, Ludmila Leite Madeira da Costa</t>
  </si>
  <si>
    <t>Linguagens de exposição e processos enunciativos em Museologia e Patrimônio - LEPEM / MAST</t>
  </si>
  <si>
    <t>16:27:02</t>
  </si>
  <si>
    <t>09:53:40</t>
  </si>
  <si>
    <t>2010495712225789</t>
  </si>
  <si>
    <t>charlesnarloch@mast.br</t>
  </si>
  <si>
    <t>- Universidade Federal do Estado do Rio de Janeiro: (Servidor público - Docente permanente do PPG-PMUS (Unirio/Mast))
- Museu de Astronomia e Ciências Afins: (Servidor público - Tecnologista Sênior)</t>
  </si>
  <si>
    <t>401970/2026-4</t>
  </si>
  <si>
    <t>04024386123</t>
  </si>
  <si>
    <t>Daniel Pereira Miranda</t>
  </si>
  <si>
    <t>http://lattes.cnpq.br/0511403245273924</t>
  </si>
  <si>
    <t xml:space="preserve">Daniel Pereira Miranda, Renato Lima Dantas, Leonardo Pessoa Felix, Mailson Monteiro do Rêgo, Ricardo Gallo, Gilvano Ebling Brondani, Raquel Assunção Oliveira, Marília Abigail Meneses de Carvalho, Ana Paula Pereira </t>
  </si>
  <si>
    <t>BANCO DE GERMOPLASMA (BAG) IN VITRO: BIOTECNOLOGIA PARA CONSERVAÇÃO, MULTIPLICAÇÃO E VALORIZAÇÃO ECONÔMICA DE CACTÁCEAS DO SEMIÁRIDO BRASILEIRO (SAB)</t>
  </si>
  <si>
    <t>Conservação e Multiplicação de Germoplasma</t>
  </si>
  <si>
    <t>Instituto Nacional do Semiárido</t>
  </si>
  <si>
    <t>INSA/MCT</t>
  </si>
  <si>
    <t>15:26:46</t>
  </si>
  <si>
    <t>15:26:55</t>
  </si>
  <si>
    <t>0511403245273924</t>
  </si>
  <si>
    <t>daniel.p.miranda08@gmail.com</t>
  </si>
  <si>
    <t>Faixa 1 (24 propostas)</t>
  </si>
  <si>
    <t>- Instituto Nacional do Semiárido: (Servidor público - Pesquisador Adjunto I)
- Universidade Federal de Viçosa: (em branco)</t>
  </si>
  <si>
    <t>402261/2026-7</t>
  </si>
  <si>
    <t>88856321734</t>
  </si>
  <si>
    <t>Douglas Falcão Silva</t>
  </si>
  <si>
    <t>http://lattes.cnpq.br/0532549077612265</t>
  </si>
  <si>
    <t xml:space="preserve">Douglas Falcão Silva, Paulo Henrique Colonese, Andrea Fernandes Costa, Eugênio Reis Neto, Patricia Figueiró Spinelli, Fabíola Simões Rodrigues da Fonseca, Marcela Vitor Alvaro, Omar Martins da Fonseca, Joubert Poça da </t>
  </si>
  <si>
    <t>Instrumentos Científicos Históricos e Ações de Popularização de Ciência no Fortalecimento das Relações entre o Museu e o seu Território</t>
  </si>
  <si>
    <t>20:48:16</t>
  </si>
  <si>
    <t>10:02:27</t>
  </si>
  <si>
    <t>0532549077612265</t>
  </si>
  <si>
    <t>dsfalcao@hotmail.com</t>
  </si>
  <si>
    <t>- Museu de Astronomia e Ciências Afins: (Servidor público - Tecnologista Sênior)
- Fundação Oswaldo Cruz: (COLABORADOR - Professor / Orientador)
- Fundação Oswaldo Cruz: (Servidor público - Professor / Orientador)
- Fundação Oswaldo Cruz: (COLABORADOR - Professor / Orientador)
- Fundação Oswaldo Cruz: (COLABORADOR - Membro de Conselho Consultivo)</t>
  </si>
  <si>
    <t>402281/2026-8</t>
  </si>
  <si>
    <t>28673403812</t>
  </si>
  <si>
    <t>Eder Martioli</t>
  </si>
  <si>
    <t>http://lattes.cnpq.br/2728001193575385</t>
  </si>
  <si>
    <t>Eder Martioli, Murilo Marinello Assis de Oliveira, Isabel Regina Guerra Aleman, Diego Lorenzo de Oliveira</t>
  </si>
  <si>
    <t>Fronteiras Científicas em Astrofísica com os Observatórios Multiusuários do LNA</t>
  </si>
  <si>
    <t>Astrofísica Estelar</t>
  </si>
  <si>
    <t>11:00:38</t>
  </si>
  <si>
    <t>10:03:39</t>
  </si>
  <si>
    <t>2728001193575385</t>
  </si>
  <si>
    <t>emartioli@lna.br</t>
  </si>
  <si>
    <t>- Laboratório Nacional de Astrofísica: (Servidor público - Pesquisador Titular)
- Institut d'Astrophysique de Paris: (COLABORADOR - Chercheur associé)</t>
  </si>
  <si>
    <t>402193/2026-1</t>
  </si>
  <si>
    <t>82974802753</t>
  </si>
  <si>
    <t>Eugênio Reis Neto</t>
  </si>
  <si>
    <t>http://lattes.cnpq.br/1828624023785147</t>
  </si>
  <si>
    <t>Eugênio Reis Neto, Douglas Falcão Silva, Patricia Figueiró Spinelli, Frieda Maria Marti, Marcela Vitor Alvaro, Josina Oliveira do Nascimento</t>
  </si>
  <si>
    <t>Olhai pro Céu Carioca: Formação Docente, Cultura Científica e Pesquisa em Educação em Astronomia</t>
  </si>
  <si>
    <t>11:43:19</t>
  </si>
  <si>
    <t>09:58:17</t>
  </si>
  <si>
    <t>1828624023785147</t>
  </si>
  <si>
    <t>eug.reis@gmail.com</t>
  </si>
  <si>
    <t>- Museu de Astronomia e Ciências Afins: (Servidor público - Tecnologista B IV)</t>
  </si>
  <si>
    <t>401997/2026-0</t>
  </si>
  <si>
    <t>86118188734</t>
  </si>
  <si>
    <t>Everaldo Pereira Frade</t>
  </si>
  <si>
    <t>http://lattes.cnpq.br/6944181289636986</t>
  </si>
  <si>
    <t>Everaldo Pereira Frade, Heloisa Meireles Gesteira, Maria Celina Soares de Mello e Silva, Alyne dos Santos Gonçalves, Renata Silva Borges, Jose Benito Yárritu Abellás, Assis da Silva Gonçalves, Marcio Ferreira Rangel</t>
  </si>
  <si>
    <t>INSTITUCIONALIZAÇÃO DE ARQUIVOS PESSOAIS: IDENTIFICAÇÃO, TRATAMENTO DOCUMENTAL, ORGANIZAÇÃO E ACESSO A NOVAS FONTES  PARA A HISTÓRIA DA CIÊNCIA</t>
  </si>
  <si>
    <t>Arquivologia</t>
  </si>
  <si>
    <t>17:53:01</t>
  </si>
  <si>
    <t>17:53:13</t>
  </si>
  <si>
    <t>6944181289636986</t>
  </si>
  <si>
    <t>pci@mast.br</t>
  </si>
  <si>
    <t>- Museu de Astronomia e Ciências Afins: (SERVIDOR - TECNOLOGISTA)
- Academia Brasileira de Ciências: (em branco)</t>
  </si>
  <si>
    <t>402290/2026-7</t>
  </si>
  <si>
    <t>71265155100</t>
  </si>
  <si>
    <t>Fabíola Simões Rodrigues da Fonseca</t>
  </si>
  <si>
    <t>http://lattes.cnpq.br/5874060645133862</t>
  </si>
  <si>
    <t>Fabíola Simões Rodrigues da Fonseca, Marcela Vitor Alvaro, Ricardo Cabral de Freitas, Priscila Faulhaber Barbosa, Douglas Falcão Silva</t>
  </si>
  <si>
    <t>O que pode o Museu de Astronomia e ciências afins (Mast) diante das mudanças climáticas?</t>
  </si>
  <si>
    <t>08:21:17</t>
  </si>
  <si>
    <t>10:04:06</t>
  </si>
  <si>
    <t>5874060645133862</t>
  </si>
  <si>
    <t>fabiolafonseca@me.com</t>
  </si>
  <si>
    <t>- Museu de Astronomia e Ciências Afins: (Servidor público - pesquisadora)</t>
  </si>
  <si>
    <t>402031/2026-1</t>
  </si>
  <si>
    <t>08:47:38</t>
  </si>
  <si>
    <t>08:47:43</t>
  </si>
  <si>
    <t>402413/2026-1</t>
  </si>
  <si>
    <t>03174073413</t>
  </si>
  <si>
    <t>James Correia de Melo</t>
  </si>
  <si>
    <t>http://lattes.cnpq.br/8161570393643833</t>
  </si>
  <si>
    <t xml:space="preserve">James Correia de Melo, Yolice Patricia Moreno Ruiz, Adriana Soares de Carvalho, Olavo Dhyan de Farias Cardozo, Naiana Santos da Cruz Santana Neves, José Marcos dos Santos Oliveira, Wolfgang Harand, Bianca Galúcio Pereira </t>
  </si>
  <si>
    <t>Desenvolvimento de Soluções Tecnológicas para a Produção de Produtos de Baixo Carbono e Biocombustíveis Sustentáveis a Partir de Resíduos e Matrizes Vegetais do Nordeste</t>
  </si>
  <si>
    <t>Engenharia de Reações Químicas e Catálise</t>
  </si>
  <si>
    <t>Centro de Tecnologias Estratégicas do Nordeste</t>
  </si>
  <si>
    <t>CETENE</t>
  </si>
  <si>
    <t>23:57:22</t>
  </si>
  <si>
    <t>23:57:28</t>
  </si>
  <si>
    <t>8161570393643833</t>
  </si>
  <si>
    <t>jamescmelo@yahoo.com.br</t>
  </si>
  <si>
    <t>Faixa 1 (19 propostas)</t>
  </si>
  <si>
    <t>- CENTRO DE TECNOLOGIAS ESTRATÉGICAS DO NORDESTE: (Servidor público - Tecnologista)</t>
  </si>
  <si>
    <t>402070/2026-7</t>
  </si>
  <si>
    <t>09278003492</t>
  </si>
  <si>
    <t>Johnata Cavalcanti Fonseca</t>
  </si>
  <si>
    <t>http://lattes.cnpq.br/6264918771767948</t>
  </si>
  <si>
    <t xml:space="preserve">Johnata Cavalcanti Fonseca, Antonio Nunes Barbosa Filho, James Correia de Melo, Wolfgang Harand, José Marcos dos Santos Oliveira, Antonia Carla de Jesus Oliveira, Julia Morais Fernandes, Filipe Marques Chaves de Arruda, </t>
  </si>
  <si>
    <t>Implantação da Gerência de Saúde e Segurança Ambiental no CETENE: Projeto Piloto e Padronização.</t>
  </si>
  <si>
    <t>Segurança Contra Incêndio</t>
  </si>
  <si>
    <t>16:47:35</t>
  </si>
  <si>
    <t>09:50:53</t>
  </si>
  <si>
    <t>6264918771767948</t>
  </si>
  <si>
    <t>johnata.fonseca@hotmail.com</t>
  </si>
  <si>
    <t>- Centro de Tecnologias Estratégicas do Nordeste: (Servidor público - Analista em Ciência e Tecnologia)</t>
  </si>
  <si>
    <t>402260/2026-0</t>
  </si>
  <si>
    <t>07974113480</t>
  </si>
  <si>
    <t>José Marcos dos Santos Oliveira</t>
  </si>
  <si>
    <t>http://lattes.cnpq.br/4600432834252836</t>
  </si>
  <si>
    <t xml:space="preserve">José Marcos dos Santos Oliveira, Wolfgang Harand, Julia Morais Fernandes, Ignacio Sánchez Gendriz, Mércia Liane de Oliveira, James Correia de Melo, Ana Carla da Silva Santos, Bianca Galúcio Pereira Araújo, Jocélio de Oliveira, </t>
  </si>
  <si>
    <t>Plataforma de inovação translacional em saúde para o desenvolvimento de curativos biotecnológicos funcionalizados com extratos bioativos padronizados do Nordeste aplicados a feridas complexas de impacto para o SUS</t>
  </si>
  <si>
    <t>Garantia e controle de qualidade farmacêuticos</t>
  </si>
  <si>
    <t>09:59:00</t>
  </si>
  <si>
    <t>10:02:24</t>
  </si>
  <si>
    <t>4600432834252836</t>
  </si>
  <si>
    <t>oliveira.jms91@gmail.com</t>
  </si>
  <si>
    <t>- Centro de Tecnologias Estratégicas do Nordeste: (Servidor público - Tecnologista)</t>
  </si>
  <si>
    <t>402278/2026-7</t>
  </si>
  <si>
    <t>03844701494</t>
  </si>
  <si>
    <t>Josefa Morgana Viturino de Almeida</t>
  </si>
  <si>
    <t>http://lattes.cnpq.br/9158221546122615</t>
  </si>
  <si>
    <t xml:space="preserve">Josefa Morgana Viturino de Almeida, John Elton de Brito Leite Cunha, Thiago Emmanuel Pereira da Cunha Silva, Aldrin Martin Pérez Marin, Rennan Cabral Nascimento, Rodolfo Luiz Bezerra Nóbrega, Géssika Maria Gama </t>
  </si>
  <si>
    <t xml:space="preserve"> INTELIGÊNCIA CLIMÁTICA MUNICIPAL PARA O SEMIÁRIDO BRASILEIRO: estruturação de uma camada integrada ao Sistema de Alerta Precoce de Seca e Desertificação (SAP) </t>
  </si>
  <si>
    <t>23:25:49</t>
  </si>
  <si>
    <t>10:03:29</t>
  </si>
  <si>
    <t>9158221546122615</t>
  </si>
  <si>
    <t>morganavalmeida@gmail.com</t>
  </si>
  <si>
    <t>- Instituto Nacional de Meteorologia: (Meteorologista)</t>
  </si>
  <si>
    <t>402247/2026-4</t>
  </si>
  <si>
    <t>02385854414</t>
  </si>
  <si>
    <t>Jucilene Silva Araújo</t>
  </si>
  <si>
    <t>http://lattes.cnpq.br/5545896953221851</t>
  </si>
  <si>
    <t xml:space="preserve">Jucilene Silva Araújo, Amanda Tavares de Melo Diniz, Artur Mendes Medeiros, Carlos Alberto Lins Cassimiro, Carlos Ticiano Coutinho Ramos, Caique Silveira Martins da Fonseca, Daniela Batista da Costa, Daniel Pereira Miranda, </t>
  </si>
  <si>
    <t>Fortalecimento da cultura da palma forrageira (Opuntia) no Semiárido Brasileiro: avaliação e seleção de novos clones promissores para alimentação humana e animal  Fase II</t>
  </si>
  <si>
    <t>10:37:22</t>
  </si>
  <si>
    <t>10:01:42</t>
  </si>
  <si>
    <t>5545896953221851</t>
  </si>
  <si>
    <t>jucilene.araujo@insa.gov.br</t>
  </si>
  <si>
    <t>- Instituto Nacional do Semi-Árido: (Servidor público - Gestão de Treinamento e Capacitação)
- Universidade Estadual do Sudoeste da Bahia: (Consultor ad hoc - Consultoria)</t>
  </si>
  <si>
    <t>402083/2026-1</t>
  </si>
  <si>
    <t>55663087400</t>
  </si>
  <si>
    <t>Laureen Michelle Houllou</t>
  </si>
  <si>
    <t>http://lattes.cnpq.br/2256880850002864</t>
  </si>
  <si>
    <t>Laureen Michelle Houllou, Julia Morais Fernandes, José Marcos dos Santos Oliveira, Luciana Elizabeth da Mota Távora, Geraldo Jorge Barbosa de Moura, Emmanuel Damilano Dutra</t>
  </si>
  <si>
    <t>Consolidação e Expansão das Ações de Pesquisa, Desenvolvimento e Inovação do Programa Mata Atlântica do CETENE para Conservação da Biodiversidade, Bioeconomia e Monitoramento Ambiental</t>
  </si>
  <si>
    <t>15:52:43</t>
  </si>
  <si>
    <t>09:51:33</t>
  </si>
  <si>
    <t>2256880850002864</t>
  </si>
  <si>
    <t>cetene.houllou@gmail.com</t>
  </si>
  <si>
    <t>- Centro de Tecnologias Estratégicas do Nordeste: (Servidor público - Pesquisadora Titular)</t>
  </si>
  <si>
    <t>402245/2026-1</t>
  </si>
  <si>
    <t>11080820760</t>
  </si>
  <si>
    <t>Leonardo Augusto Silva Fontes</t>
  </si>
  <si>
    <t>http://lattes.cnpq.br/9114804434571267</t>
  </si>
  <si>
    <t xml:space="preserve">Leonardo Augusto Silva Fontes, Alícia Duhá Lose, Taiguara Villela Aldabalde, Diego Barbosa da Silva, Luciana Vieira Souza da Silva, Victor Rafael Limeira da Silva, Maria Raquel Lisboa Costa Marques, Camila Mattos da Costa, </t>
  </si>
  <si>
    <t>Diversidades em arquivos científicos: representatividades e reparações em acervos de ciência e tecnologia.</t>
  </si>
  <si>
    <t>08:44:36</t>
  </si>
  <si>
    <t>10:01:33</t>
  </si>
  <si>
    <t>9114804434571267</t>
  </si>
  <si>
    <t>leonardofontes@mast.br</t>
  </si>
  <si>
    <t>- Universidade Federal Fluminense: (COLABORADOR - Pesquisador do Scriptorium)
- Ministério da Cultura: (COLABORADOR - Representante da sociedade civil)
- Associação dos Arquivistas Brasileiros: (Sócio - Sócio profissional)
- Conselho Nacional de Desenvolvimento Científico e Tecnológico: (Bolsista - Bolsista de Doutorado)
- Arquivo Nacional: (Servidor público - Coordenador de Pesquisa, Educação e Difusão)
- Arquivo Público do Estado de São Paulo: (em branco)
- Museu de Astronomia e Ciências Afins: (Servidor público - Tecnologista (Arquivista))
- Universidade Federal do Rio Grande do Sul: (em branco)</t>
  </si>
  <si>
    <t>401903/2026-5</t>
  </si>
  <si>
    <t>95150269034</t>
  </si>
  <si>
    <t>Leonardo Felipe Bairos Moreira</t>
  </si>
  <si>
    <t>http://lattes.cnpq.br/5504050490149853</t>
  </si>
  <si>
    <t>Leonardo Felipe Bairos Moreira, Rogério Conceição Lima dos Santos, Thaís Xavier de Melo, Leonardo Maltchik Garcia, Thais Figueiredo Conceição, Natália Paludo Smaniotto, Vanda Lúcia Ferreira</t>
  </si>
  <si>
    <t>Fauna em paisagens úmidas do Brasil Central: integração de dados, análise de resiliência a múltiplos estressores e tradução para políticas públicas</t>
  </si>
  <si>
    <t>Instituto Nacional de Pesquisa do Pantanal</t>
  </si>
  <si>
    <t>INPP</t>
  </si>
  <si>
    <t>MT</t>
  </si>
  <si>
    <t>12:25:03</t>
  </si>
  <si>
    <t>12:25:16</t>
  </si>
  <si>
    <t>5504050490149853</t>
  </si>
  <si>
    <t>leonardo.moreira@inpp.gov.br</t>
  </si>
  <si>
    <t>Faixa 1 (7 propostas)</t>
  </si>
  <si>
    <t>- Instituto Nacional de Pesquisa do Pantanal: (Servidor público - Pesquisador)
- Universidade Federal de Mato Grosso do Sul: (COLABORADOR - Pesquisador)</t>
  </si>
  <si>
    <t>402217/2026-8</t>
  </si>
  <si>
    <t>02812728914</t>
  </si>
  <si>
    <t>Lourenca Santiago Ribeiro</t>
  </si>
  <si>
    <t>http://lattes.cnpq.br/4428619604317270</t>
  </si>
  <si>
    <t xml:space="preserve">Lourenca Santiago Ribeiro, Raquel Assunção Oliveira, Ricardo da Cunha Correia Lima, Carlos Alberto Lins Cassimiro, Mariana Medeiros Batista, Marília Abigail Meneses de Carvalho, Semirames do Nascimento Silva, Mateus </t>
  </si>
  <si>
    <t>Observatório de Tecnologias Sociais do Semiárido</t>
  </si>
  <si>
    <t>17:11:49</t>
  </si>
  <si>
    <t>09:59:37</t>
  </si>
  <si>
    <t>4428619604317270</t>
  </si>
  <si>
    <t>lourenca.ribeiro@insa.gov.br</t>
  </si>
  <si>
    <t>- Instituto Nacional do Semiárido: (Servidor público - Tecnologista)
- Instituto Nacional do Semiárido: (Servidor público - Tecnologista)</t>
  </si>
  <si>
    <t>402254/2026-0</t>
  </si>
  <si>
    <t>83951660104</t>
  </si>
  <si>
    <t>Luciana Elizabeth da Mota Távora</t>
  </si>
  <si>
    <t>http://lattes.cnpq.br/2487238880227616</t>
  </si>
  <si>
    <t>Luciana Elizabeth da Mota Távora, Marcelo Brito Carneiro Leão, Frederico Toscano Barreto Nogueira</t>
  </si>
  <si>
    <t>Fortalecimento da Governança do Cetene:integração do Núcleo de Inovação Tecnológica e do Núcleo de Gestão da Qualidade</t>
  </si>
  <si>
    <t>PROGRAMA BASICO DE ECONOMIA</t>
  </si>
  <si>
    <t>Mudança Tecnológica</t>
  </si>
  <si>
    <t>17:10:57</t>
  </si>
  <si>
    <t>10:02:05</t>
  </si>
  <si>
    <t>2487238880227616</t>
  </si>
  <si>
    <t>lu.mtavora@gmail.com</t>
  </si>
  <si>
    <t>- Financiadora de Estudos e Projetos: (Membro de comitê assessor)
- Centro de Tecnologias Estratégicas do Nordeste: (Servidor público - Assessora Técnica)</t>
  </si>
  <si>
    <t>402082/2026-5</t>
  </si>
  <si>
    <t>36909948882</t>
  </si>
  <si>
    <t>Luciana Vieira Souza da Silva</t>
  </si>
  <si>
    <t>http://lattes.cnpq.br/0940679584530402</t>
  </si>
  <si>
    <t>Luciana Vieira Souza da Silva, Alfredo Tiomno Tolmasquim, Victor Rafael Limeira da Silva</t>
  </si>
  <si>
    <t>Ciências, diplomacias e domesticidades: as Casas do Brasil na Europa (1959-2000)</t>
  </si>
  <si>
    <t>História das Ciências</t>
  </si>
  <si>
    <t>15:24:28</t>
  </si>
  <si>
    <t>09:51:31</t>
  </si>
  <si>
    <t>0940679584530402</t>
  </si>
  <si>
    <t>lucianavieira@mast.br</t>
  </si>
  <si>
    <t>- Museu de Astronomia e Ciências Afins: (Servidor público - Pesquisadora)
- Universidade Federal da Bahia: (em branco)</t>
  </si>
  <si>
    <t>402267/2026-5</t>
  </si>
  <si>
    <t>12443276708</t>
  </si>
  <si>
    <t>Monique Barreto Santos</t>
  </si>
  <si>
    <t>http://lattes.cnpq.br/1122184213413791</t>
  </si>
  <si>
    <t xml:space="preserve">Monique Barreto Santos, Juliana de Oliveira Carneiro, Lourenca Santiago Ribeiro, Raquel Assunção Oliveira, Marília Abigail Meneses de Carvalho, Carlos Alberto Lins Cassimiro, Jucilene Silva Araújo, Renato Pereira Lima, Renato </t>
  </si>
  <si>
    <t xml:space="preserve">Soberania Alimentar e Conservação da Caatinga: valorizando a meliponicultura como vetor de desenvolvimento sustentável e resiliência climática </t>
  </si>
  <si>
    <t>Tecnologia de Produtos de Origem Animal</t>
  </si>
  <si>
    <t>14:54:49</t>
  </si>
  <si>
    <t>10:02:48</t>
  </si>
  <si>
    <t>1122184213413791</t>
  </si>
  <si>
    <t>moniquebarretodrvr@gmail.com</t>
  </si>
  <si>
    <t>- Instituto Nacional do Semiárido: (Servidor público - Pesquisador Adjunto I)</t>
  </si>
  <si>
    <t>402089/2026-0</t>
  </si>
  <si>
    <t>04465537514</t>
  </si>
  <si>
    <t>Naiana Santos da Cruz Santana Neves</t>
  </si>
  <si>
    <t>http://lattes.cnpq.br/8419466384639432</t>
  </si>
  <si>
    <t xml:space="preserve">Naiana Santos da Cruz Santana Neves, Hilário Jorge Bezerra de Lima Filho, Ivan Xavier Lins, Olga de Castro Vilela, Janis Joplim Bezerra Galdino, Joan Manuel Rodriguez Diaz, Welenilton José Do Nascimento Júnior, Valentin Paschoal </t>
  </si>
  <si>
    <t>Sistema Fotoeletrocatalítico Modular Integrado à Energia Solar e Monitoramento Inteligente para Tratamento de Efluentes no Nordeste</t>
  </si>
  <si>
    <t>15:14:08</t>
  </si>
  <si>
    <t>09:51:57</t>
  </si>
  <si>
    <t>8419466384639432</t>
  </si>
  <si>
    <t>naiana.santana@ufpe.br</t>
  </si>
  <si>
    <t>- Centro de Tecnologias Estratégicas do Nordeste: (Servidor público - Pesquisadora)</t>
  </si>
  <si>
    <t>401190/2026-9</t>
  </si>
  <si>
    <t>63807599304</t>
  </si>
  <si>
    <t>Natanael Santiago Pereira</t>
  </si>
  <si>
    <t>http://lattes.cnpq.br/5681405058457532</t>
  </si>
  <si>
    <t xml:space="preserve">Natanael Santiago Pereira, Thiago Leite de Alencar, Alexandre Reuber Almeida da Silva, Ana Clara Rodrigues Cavalcante, Arilene Franklin Chaves, Rodrigo Santana Macedo, Alexandre Pereira de Bakker, Luís Clenio Jário </t>
  </si>
  <si>
    <t>Desenvolvimento de protocolos para o monitoramento e avaliação da recuperação da fertilidade em solos com pastagens no semiárido: integração de ferramentas digitais e indicadores de produção</t>
  </si>
  <si>
    <t>Ciência do Solo</t>
  </si>
  <si>
    <t>06/06/2026</t>
  </si>
  <si>
    <t>19:02:03</t>
  </si>
  <si>
    <t>10:38:22</t>
  </si>
  <si>
    <t>5681405058457532</t>
  </si>
  <si>
    <t>natanaelsan@hotmail.com</t>
  </si>
  <si>
    <t>- Instituto Nacional do Semiárido: (Servidor público - Pesquisador)</t>
  </si>
  <si>
    <t>402200/2026-8</t>
  </si>
  <si>
    <t>09492473402</t>
  </si>
  <si>
    <t>Olavo Dhyan de Farias Cardozo</t>
  </si>
  <si>
    <t>http://lattes.cnpq.br/0138107410648104</t>
  </si>
  <si>
    <t xml:space="preserve">Olavo Dhyan de Farias Cardozo, Severino Alves Junior, Naum Fraidenraich, Hortencia Maria Barboza de Assis, Mihai Irimia-Vladu, James Correia de Melo, Ignacio Sánchez Gendriz, Wolfgang Harand, Filipe Marques Chaves de Arruda, </t>
  </si>
  <si>
    <t>Materiais, Dispositivos e Sistemas Estratégicos para a Transição Energética e o Desenvolvimento Sustentável no Nordeste Brasileiro</t>
  </si>
  <si>
    <t>Fontes Renováveis de Energia</t>
  </si>
  <si>
    <t>18:15:40</t>
  </si>
  <si>
    <t>09:58:40</t>
  </si>
  <si>
    <t>0138107410648104</t>
  </si>
  <si>
    <t>olavo.cardozo@cetene.gov.br</t>
  </si>
  <si>
    <t>- Centro de Tecnologias Estratégicas do Nordeste: (Servidor público - Pesquisador Adjunto)
- Ministério da Ciência, Tecnologia e Inovações: (em branco)</t>
  </si>
  <si>
    <t>402262/2026-3</t>
  </si>
  <si>
    <t>81124503072</t>
  </si>
  <si>
    <t>Patricia Figueiró Spinelli</t>
  </si>
  <si>
    <t>http://lattes.cnpq.br/3854737089313557</t>
  </si>
  <si>
    <t xml:space="preserve">Patricia Figueiró Spinelli, Frieda Maria Marti, Eugênio Reis Neto, Eduardo Monfardini Penteado, Martha Marandino, Shirliane de Araújo Sousa, Alan Alves Brito, Monica Santos Dahmouche, Gabriela Reznik, Leticia Guimarães Rangel, </t>
  </si>
  <si>
    <t>Divulgação em Astronomia e Astrofísica  análise das relações entre ciência e sociedade nas ações promovidas por museus, centros de ciências, planetários e observatórios</t>
  </si>
  <si>
    <t>11:46:40</t>
  </si>
  <si>
    <t>10:02:31</t>
  </si>
  <si>
    <t>3854737089313557</t>
  </si>
  <si>
    <t>patriciaspinelli@mast.br</t>
  </si>
  <si>
    <t>- Museu de Astronomia e Ciências Afins: (Pesquisadora Associada em C&amp;T)
- Fundação Oswaldo Cruz: (COLABORADOR - Docente da ESDPC-FIOCRUZ/MAST/JB/CECIERJ)
- Fundação Oswaldo Cruz: (COLABORADOR - Docente do Mestrado em Divulgação da Ciência)</t>
  </si>
  <si>
    <t>402220/2026-9</t>
  </si>
  <si>
    <t>28478592415</t>
  </si>
  <si>
    <t>Ricardo da Cunha Correia Lima</t>
  </si>
  <si>
    <t>http://lattes.cnpq.br/1991607303660971</t>
  </si>
  <si>
    <t xml:space="preserve">Ricardo da Cunha Correia Lima, Aldrin Martin Pérez Marin, Carlos Alberto Lins Cassimiro, Gabriela de Azevedo Reis, Josefa Morgana Viturino de Almeida, Lourenca Santiago Ribeiro, Mariana Medeiros Batista, Marília Abigail Meneses </t>
  </si>
  <si>
    <t>INSAmóvel - Popularização da Ciência e Tecnologia para o Semiárido brasileiro</t>
  </si>
  <si>
    <t>16:47:55</t>
  </si>
  <si>
    <t>09:59:50</t>
  </si>
  <si>
    <t>1991607303660971</t>
  </si>
  <si>
    <t>rdcclima@gmail.com</t>
  </si>
  <si>
    <t>- Instituto Nacional do Semi-Árido: (Servidor público - Tecnologista)
- Ministério da Ciência, Tecnologia e Inovações: (em branco)</t>
  </si>
  <si>
    <t>402216/2026-1</t>
  </si>
  <si>
    <t>04275512340</t>
  </si>
  <si>
    <t>Semirames do Nascimento Silva</t>
  </si>
  <si>
    <t>http://lattes.cnpq.br/7040371743984962</t>
  </si>
  <si>
    <t xml:space="preserve">Semirames do Nascimento Silva, Eulampio Dantas Segundo, Josefa Morgana Viturino de Almeida, Marco Antonio Vidal dos Santos Pinto, Helimarcos Nunes Pereira, Raquel Assunção Oliveira, Renato Lima Dantas, Carlos Alberto </t>
  </si>
  <si>
    <t>Plataforma Biotecnológica da Caatinga: Desenvolvimento de Hidrogel Cicatrizante Bioativo, Inovação Tecnológica e Geração de Renda a partir de Espécies Medicinais do Semiárido</t>
  </si>
  <si>
    <t>00:09:51</t>
  </si>
  <si>
    <t>09:59:34</t>
  </si>
  <si>
    <t>7040371743984962</t>
  </si>
  <si>
    <t>semirames.silva@insa.gov.br</t>
  </si>
  <si>
    <t>- Instituto Nacional do Semiárido: (Servidor público - Pesquisadora Adjunta)</t>
  </si>
  <si>
    <t>402301/2026-9</t>
  </si>
  <si>
    <t>13026564737</t>
  </si>
  <si>
    <t>Taís Rizzo Moreira</t>
  </si>
  <si>
    <t>http://lattes.cnpq.br/6717864186103246</t>
  </si>
  <si>
    <t xml:space="preserve">Taís Rizzo Moreira, Pedro Lage Viana, Paulo Sergio Minatel Gonella Silva, Gustavo Heringer, Leopoldo Cavaleri Gerhardinger, Juliana Lazzarotto Freitas, Marinez Ferreira de Siqueira, Catherine Torres de Almeida, Nívea Maria </t>
  </si>
  <si>
    <t>Do dossel à diversidade: mapeamento multissensor da diversidade florística arbórea na bacia hidrográfica do rio Doce</t>
  </si>
  <si>
    <t>Sensoriamento Remoto</t>
  </si>
  <si>
    <t>Instituto Nacional da Mata Atlântica</t>
  </si>
  <si>
    <t>INMA</t>
  </si>
  <si>
    <t>ES</t>
  </si>
  <si>
    <t>10:34:16</t>
  </si>
  <si>
    <t>10:34:29</t>
  </si>
  <si>
    <t>6717864186103246</t>
  </si>
  <si>
    <t>tais.moreira@inma.gov.br</t>
  </si>
  <si>
    <t>Faixa 1 (6 propostas)</t>
  </si>
  <si>
    <t>- Fundação de Amparo à Pesquisa do Espírito Santo: (Bolsista - Pos-doutoranda)
- Instituto Nacional da Mata Atlântica: (Servidor público - Pesquisadora)</t>
  </si>
  <si>
    <t>402173/2026-0</t>
  </si>
  <si>
    <t>90300424787</t>
  </si>
  <si>
    <t>Thais Helena de Almeida Slaibi</t>
  </si>
  <si>
    <t>http://lattes.cnpq.br/3985471514294149</t>
  </si>
  <si>
    <t>Thais Helena de Almeida Slaibi, Ozana Hannesch, Alessandro Wagner Alves Silva, Bianca Scofano Barbosa</t>
  </si>
  <si>
    <t>Estudos e Análises em Conservação-Restauração de Documentos Históricos em Ciência e Tecnologia</t>
  </si>
  <si>
    <t>14:29:49</t>
  </si>
  <si>
    <t>09:57:03</t>
  </si>
  <si>
    <t>3985471514294149</t>
  </si>
  <si>
    <t>thaisalmeida@mast.br</t>
  </si>
  <si>
    <t>- Universidade Federla da Bahia: (OUTRO - outro)
- Museu de Astronomia e Ciências Afins: (Servidor público - Tecnologista)</t>
  </si>
  <si>
    <t>402066/2026-0</t>
  </si>
  <si>
    <t>01461901308</t>
  </si>
  <si>
    <t>Thiago Luis Alves Campos de Araújo</t>
  </si>
  <si>
    <t>http://lattes.cnpq.br/4392563013124607</t>
  </si>
  <si>
    <t xml:space="preserve">Thiago Luis Alves Campos de Araújo, Dorgival Morais de Lima Júnior, Rodrigo da Costa Gomes, Iara Tamires Rodrigues Cavalcante, Geovergue Rodrigues de Medeiros, Jucilene Silva Araújo, Tatiane Fernandes, Caique Silveira </t>
  </si>
  <si>
    <t>Suplemento em bloco multinutricional à base de Palma Forrageira para bovinos em pastejo</t>
  </si>
  <si>
    <t>Nutrição e Alimentação Animal</t>
  </si>
  <si>
    <t>20:08:53</t>
  </si>
  <si>
    <t>09:50:37</t>
  </si>
  <si>
    <t>4392563013124607</t>
  </si>
  <si>
    <t>thiagotor4@hotmail.com</t>
  </si>
  <si>
    <t>- Universidade Federal Rural do Semi-Árido: (Bolsista - Docente externo voluntário)
- Instituto Nacional do Semiárido: (Servidor público - Tecnologista)</t>
  </si>
  <si>
    <t>402297/2026-1</t>
  </si>
  <si>
    <t>00649205774</t>
  </si>
  <si>
    <t>Adriane Monteiro Cavalieri Barbosa</t>
  </si>
  <si>
    <t>http://lattes.cnpq.br/0736407506472634</t>
  </si>
  <si>
    <t xml:space="preserve">Adriane Monteiro Cavalieri Barbosa, Francesco Facchini, Carla Alexandra Monteiro da Silva, Manoel Carlos Pego Saisse, Saul Eliahú Mizrahi, Maria Carolina Santos, Joaquim Augusto Pinto Rodrigues, Clarisse Budakian Aramian, </t>
  </si>
  <si>
    <t>Sistema de informação baseado em gêmeo digital para monitoramento e otimização do escoamento de materiais recicláveis na interface cooperativa de catadores-reciclador: piloto na cadeia do plástico</t>
  </si>
  <si>
    <t>Gerência de Produção</t>
  </si>
  <si>
    <t>Instituto Nacional de Tecnologia</t>
  </si>
  <si>
    <t>INT</t>
  </si>
  <si>
    <t>06:00:58</t>
  </si>
  <si>
    <t>10:04:44</t>
  </si>
  <si>
    <t>0736407506472634</t>
  </si>
  <si>
    <t xml:space="preserve">Chamada: Chamada CNPq/MCTI/FNDCT Nº 12/2026 - Faixa 2: Projetos de Pesquisa vinculados a </t>
  </si>
  <si>
    <t>Chamada CNPq/MCTI/FNDCT Nº 12/2026 - Faixa 2: Projetos de Pesquisa vinculados a UPs Médias (81 a 200 servidores)</t>
  </si>
  <si>
    <t>adriane.cavalieri@int.gov.br</t>
  </si>
  <si>
    <t>Faixa 2</t>
  </si>
  <si>
    <t>Faixa 2 (20 propostas)</t>
  </si>
  <si>
    <t>- Instituto Nacional de Tecnologia: (Servidor público - Pesquisadora - tecnologista)</t>
  </si>
  <si>
    <t>402184/2026-2</t>
  </si>
  <si>
    <t>78530547004</t>
  </si>
  <si>
    <t>Alberto Rodriguez Ardila</t>
  </si>
  <si>
    <t>http://lattes.cnpq.br/7982796939759440</t>
  </si>
  <si>
    <t xml:space="preserve">Alberto Rodriguez Ardila, Jose Eduardo Telles, Rogério Monteiro-Oliveira, Lilianne Mariko Izuti Nakazono, Leandro Carlos Gazoni, Kiana Coimbra Buin Lins, Mariana Rubet da Costa, Vinícius Sanches Moreira Lima, Raquel Silva </t>
  </si>
  <si>
    <t>Inteligência Artificial na Vanguarda dos Grandes Levantamentos Astrofísicos: Consolidação do CIAC-ON, Capacitação e Liderança na Era do Big Data.</t>
  </si>
  <si>
    <t>Astrofísica Extragalactica</t>
  </si>
  <si>
    <t>Observatório Nacional</t>
  </si>
  <si>
    <t>ON</t>
  </si>
  <si>
    <t>14:34:53</t>
  </si>
  <si>
    <t>09:57:45</t>
  </si>
  <si>
    <t>7982796939759440</t>
  </si>
  <si>
    <t>aardila@on.br</t>
  </si>
  <si>
    <t>Faixa 2 (11 propostas)</t>
  </si>
  <si>
    <t>- Observatório Nacional: (Servidor público - Docente Permanente)
- Observatório Nacional: (Servidor público - Pesquisador Titular)
- Observatório Nacional: (Servidor público - Coordenador Substituto da COAST)
- Instituto Nacional de Pesquisas Espaciais: (Professor - Docente Permanente)</t>
  </si>
  <si>
    <t>401965/2026-0</t>
  </si>
  <si>
    <t>00024601659</t>
  </si>
  <si>
    <t>Alexandre Antunes Ribeiro</t>
  </si>
  <si>
    <t>http://lattes.cnpq.br/1106609472179988</t>
  </si>
  <si>
    <t xml:space="preserve">Alexandre Antunes Ribeiro, Antonio Jose do Nascimento Dias, Amanda Maria Paes Trindade, Kelly Cristine da Silveira, Lidia Maria da Silva Schrago Mendes, Leticia Suely da Silva Vieira, Henrique da Conceição Siqueira, Magna </t>
  </si>
  <si>
    <t>Desenvolvimento de arcabouços de hidroxiapatita contendo grafeno para regeneração óssea via manufatura aditiva: modelagem matemática e computacional.</t>
  </si>
  <si>
    <t>15:05:52</t>
  </si>
  <si>
    <t>15:12:31</t>
  </si>
  <si>
    <t>1106609472179988</t>
  </si>
  <si>
    <t>aantunesr@yahoo.com.br</t>
  </si>
  <si>
    <t>- Instituto Nacional de Tecnologia: (Tecnologista)
- Instituto Nacional de Tecnologia: (Servidor público - Chefe do Laboratório de Tecnologia de Pós)
- Instituto Nacional de Tecnologia: (Servidor público - Chefe da Divisão de Materiais)
- Universidad Nacional de Asunción: (COLABORADOR - Pesquisador)
- Universidade do Grande Rio: (Pesquisador - Colaborador)</t>
  </si>
  <si>
    <t>401922/2026-0</t>
  </si>
  <si>
    <t>01444272730</t>
  </si>
  <si>
    <t>Alexandre Barros Gaspar</t>
  </si>
  <si>
    <t>http://lattes.cnpq.br/1049735133222758</t>
  </si>
  <si>
    <t xml:space="preserve">Alexandre Barros Gaspar, Alexandre Antunes Ribeiro, Clarissa Perdomo Rodrigues, Laís Ferreira de Castro, Fabiana Magalhães Teixeira Mendes, Paulo Gustavo Pries de Oliveira, Arthur Henrique Azevedo Gonçalves, Marcos Henrique </t>
  </si>
  <si>
    <t>DESENVOLVIMENTO DE CATALISADORES E PROCESSOS PARA REAÇÕES DE CO2 E H2</t>
  </si>
  <si>
    <t>17:14:08</t>
  </si>
  <si>
    <t>17:14:14</t>
  </si>
  <si>
    <t>1049735133222758</t>
  </si>
  <si>
    <t>alexandre.gaspar@int.gov.br</t>
  </si>
  <si>
    <t>- Instituto Nacional de Tecnologia: (Servidor público - Tecnologista Pleno)</t>
  </si>
  <si>
    <t>401914/2026-7</t>
  </si>
  <si>
    <t>60128038772</t>
  </si>
  <si>
    <t>Alexandre Mello de Paula Silva</t>
  </si>
  <si>
    <t>http://lattes.cnpq.br/8183271955953866</t>
  </si>
  <si>
    <t xml:space="preserve">Alexandre Mello de Paula Silva, Fernando Loureiro Stavale Junior, Flávio Garcia, Rubem Luis Sommer, André Linhares Rossi, Evelyn Christyan da Silva Santos, Patricia Lustoza de Souza, Elvis Oswaldo López Meza, Fabrício </t>
  </si>
  <si>
    <t>Transição energética com nanotecnologia e física aplicada: células solares, dispositivos termoelétricos, hidrogênio verde, captura e conversão de carbono, e inovação pelo CBPF</t>
  </si>
  <si>
    <t>Superfícies e Interfaces; Películas e Filamentos</t>
  </si>
  <si>
    <t>14:57:36</t>
  </si>
  <si>
    <t>14:57:44</t>
  </si>
  <si>
    <t>8183271955953866</t>
  </si>
  <si>
    <t>mello@cbpf.br</t>
  </si>
  <si>
    <t>- Centro Brasileiro de Pesquisas Físicas: (SERVIDOR_PUBLICO - Pesquisador Tecnologista Sênior)
- cENTRO bRASILEIRO DE pESQUISAS fÍSICA: (Membro de comitê assessor)
- cENTRO bRASILEIRO DE pESQUISAS fÍSICA: (Membro de comitê assessor)
- cENTRO bRASILEIRO DE pESQUISAS fÍSICA: (Membro de comitê assessor)
- cENTRO bRASILEIRO DE pESQUISAS fÍSICA: (Membro de comitê assessor)
- cENTRO bRASILEIRO DE pESQUISAS fÍSICA: (Membro de comitê assessor)
- cENTRO bRASILEIRO DE pESQUISAS fÍSICA: (Membro de comitê assessor)</t>
  </si>
  <si>
    <t>402310/2026-8</t>
  </si>
  <si>
    <t>04964303608</t>
  </si>
  <si>
    <t>Alexandre Silva Guimarães</t>
  </si>
  <si>
    <t>http://lattes.cnpq.br/3542281658792161</t>
  </si>
  <si>
    <t>Alexandre Silva Guimarães, Marisa Nascimento, Marcelo Borges Mansur</t>
  </si>
  <si>
    <t>Recuperação hidrometalúrgica de metais críticos Ni, Co e Mn a partir de baterias de dispositivos móveis almejando-se sua reutilização na produção de catodo NCM</t>
  </si>
  <si>
    <t>Centro de Tecnologia Mineral</t>
  </si>
  <si>
    <t>CETEM</t>
  </si>
  <si>
    <t>11:12:06</t>
  </si>
  <si>
    <t>11:12:24</t>
  </si>
  <si>
    <t>3542281658792161</t>
  </si>
  <si>
    <t>alexandre.guimaraes6@gmail.com</t>
  </si>
  <si>
    <t>Faixa 2 (25 propostas)</t>
  </si>
  <si>
    <t>- Centro de Tecnologia Mineral: (Servidor público - Pesquisador)</t>
  </si>
  <si>
    <t>402061/2026-8</t>
  </si>
  <si>
    <t>03131606193</t>
  </si>
  <si>
    <t>Alisson Lopes Oliveira</t>
  </si>
  <si>
    <t>http://lattes.cnpq.br/5033505522959339</t>
  </si>
  <si>
    <t xml:space="preserve">Alisson Lopes Oliveira, Vanessa Maria de Vargas Ferreira, Erica da Cruz Novaes Gonçalves Dias, Augusto da Cunha Raupp, Juliana Kelmy Macário Barboza Daguano, Pedro Pinheiro Neves, Jaime Khater, Emilio Sérgio Marins Vieira </t>
  </si>
  <si>
    <t>Inovação em Rede: Consolidação do NIT Mantiqueira no Brasil.</t>
  </si>
  <si>
    <t>Centro de Tecnologia da Informação Renato Archer</t>
  </si>
  <si>
    <t>CTI</t>
  </si>
  <si>
    <t>21:42:48</t>
  </si>
  <si>
    <t>09:50:22</t>
  </si>
  <si>
    <t>5033505522959339</t>
  </si>
  <si>
    <t>alisson_oliveira@hotmail.com</t>
  </si>
  <si>
    <t>- Centro de Tecnologia da Informação Renato Archer: (Servidor público - Tecnologista)</t>
  </si>
  <si>
    <t>402232/2026-7</t>
  </si>
  <si>
    <t>28816823836</t>
  </si>
  <si>
    <t>Allan Yu Iwama de Mello</t>
  </si>
  <si>
    <t>http://lattes.cnpq.br/9927877895574494</t>
  </si>
  <si>
    <t xml:space="preserve">Allan Yu Iwama de Mello, Débora Olivato, Rachel Trajber, Rejane Lucena, Viviana Aguilar Muñoz, Marcio Roberto Magalhães de Andrade, Graziela Balda Scofield, Paula Costa Campos, Carla Corrêa Prieto, Ana Paula Martins do </t>
  </si>
  <si>
    <t>CuIDAR  Ciência Cidadã, Inovação, Dados, Aprendizagem e Resiliência  educação ambiental climática para fortalecer uma cultura de prevenção de riscos de desastres</t>
  </si>
  <si>
    <t>Centro Nacional de Monitoramento e Alertas de Desastres Naturais</t>
  </si>
  <si>
    <t>CEMADEN</t>
  </si>
  <si>
    <t>05:47:07</t>
  </si>
  <si>
    <t>10:00:36</t>
  </si>
  <si>
    <t>9927877895574494</t>
  </si>
  <si>
    <t>allan.iwama@gmail.com</t>
  </si>
  <si>
    <t>Faixa 2 (7 propostas)</t>
  </si>
  <si>
    <t>- Centro Nacional de Monitoramento e Alertas de Desastres Naturais: (SERVIDOR_PUBLICO - Pesquisador)</t>
  </si>
  <si>
    <t>402409/2026-4</t>
  </si>
  <si>
    <t>10208406760</t>
  </si>
  <si>
    <t>Americo Barbosa da Cunha Junior</t>
  </si>
  <si>
    <t>http://lattes.cnpq.br/5659403706694491</t>
  </si>
  <si>
    <t>Americo Barbosa da Cunha Junior, Rafael Otávio Alves Abreu, José Hugo Capella Gaspar Elsas, Fábio Pereira dos Santos</t>
  </si>
  <si>
    <t>Mecânica Computacional Intensiva em Dados: Gêmeos Digitais, Problemas Inversos e Modelos Reduzidos</t>
  </si>
  <si>
    <t>Dinâmica dos Corpos Rígidos, Elásticos e Plásticos</t>
  </si>
  <si>
    <t>Laboratório Nacional de Computação Científica</t>
  </si>
  <si>
    <t>LNCC</t>
  </si>
  <si>
    <t>23:36:00</t>
  </si>
  <si>
    <t>23:36:04</t>
  </si>
  <si>
    <t>5659403706694491</t>
  </si>
  <si>
    <t>americo.cunhajr@gmail.com</t>
  </si>
  <si>
    <t>Faixa 2 (23 propostas)</t>
  </si>
  <si>
    <t>- Universidade do Estado do Rio de Janeiro: (Servidor público - Professor Associado)
- Universidade do Estado do Rio de Janeiro: (Membro de comitê assessor)
- Associação Brasileira de Engenharia e Ciências Mecânicas: (Associado - Membro Sênior)
- Associação Brasileira de Engenharia e Ciências Mecânicas: (Membro de comitê assessor)
- Sociedade Brasileira de Matemática Aplicada e Computacional: (Associado - Membro Efetivo)
- International Society of Nonlinear Dynamics: (Associado - Membro Efetivo)
- Instituto Militar de Engenharia: (Membro de comitê assessor)
- Laboratório Nacional de Computação Científica: (Servidor público - Pesquisador Adjunto 1)
- Associação Brasileira de Métodos Computacionais em Engenharia: (Associado - Membro Efetivo)
- Society for Industrial and Applied Mathematics: (Associado - Membro Efetivo)
- Journal of Vibration Engineering &amp; Technologies: (Membro de comitê assessor)
- Journal of Vibration and Acoustics (ASME): (Membro de comitê assessor)</t>
  </si>
  <si>
    <t>401285/2026-0</t>
  </si>
  <si>
    <t>81737963787</t>
  </si>
  <si>
    <t>Ana Tereza Ribeiro de Vasconcelos</t>
  </si>
  <si>
    <t>http://lattes.cnpq.br/8989199088323836</t>
  </si>
  <si>
    <t>Ana Tereza Ribeiro de Vasconcelos, Ana Cristina Gales, Paulo Eduardo Artaxo Netto, Luiz Gonzaga Paula de Almeida, Luciane Prioli Ciapina, Melise Chaves Silveira, Rômulo Gonçalves Agostinho Galvani, Cíntia Barros Santos-</t>
  </si>
  <si>
    <t>BIOSOBERANO: Plataformas de IA e Dados Ômicos para Vigilância Genômica, Saúde Pública, Biodiversidade e Sustentabilidade Ambiental no Brasil</t>
  </si>
  <si>
    <t>Genética Molecular e de Microorganismos</t>
  </si>
  <si>
    <t>11:10:05</t>
  </si>
  <si>
    <t>11:10:14</t>
  </si>
  <si>
    <t>8989199088323836</t>
  </si>
  <si>
    <t>atrv@lncc.br</t>
  </si>
  <si>
    <t>- Laboratório Nacional de Computação Científica: (Servidor público - Tecnologista)
- Universidade Federal do Rio de Janeiro: (COLABORADOR - Orientador em Pós Graduação - sem vinculo emp)
- Fundação Carlos Chagas Filho de Amparo à Pesquisa do Estado do RJ: (COLABORADOR - Consultor Ad Hoc - sem vinculo empregatício)
- Fundação de Amparo à Pesquisa do Estado de São Paulo: (COLABORADOR - Consultor Ad Hoc - sem vinculo empregatício)
- Instituto de Engenharia de Sistemas e Computadores: ID em Lisboa: (COLABORADOR - Colaborador sem vinculo empregatício)
- Instituto Todos Pela Saúde: (COLABORADOR - Comitê Técnico Consultivo)
- Ministério da Ciência, Tecnologia e Inovações: (Representante - Representante da SBPC no CG  FVA e BIOTEC)
- China National Center for Bioinformation: (COLABORADOR - Colaborador sem vinculo empregatício)
- Macau University of Science and Technology: (COLABORADOR - Colaborador sem vinculo empregatício)
- Sociedade Iberoamericana de Bioinformática: (COLABORADOR - Colaborador sem vinculo empregatício)
- European Molecular Biology network: (COLABORADOR - Colaborador sem vinculo empregatício)
- Pontifícia Universidade Católica do Rio Grande do Sul: (em branco)
- Centro de Investigacion y de Estudios Avanzados del IPN: (em branco)</t>
  </si>
  <si>
    <t>401943/2026-7</t>
  </si>
  <si>
    <t>09921611771</t>
  </si>
  <si>
    <t>André Linhares Rossi</t>
  </si>
  <si>
    <t>http://lattes.cnpq.br/0700787558627219</t>
  </si>
  <si>
    <t xml:space="preserve">André Linhares Rossi, Andreij de Carvalho Gadelha, Diego Saldanha da Rosa, Davi Araujo Dalbuquerque Chaves, Gisele Maria Leite Dalmônico, Obed Alves Santos, Juciane Maria Alves da Silva, Camila Hübner Costabile Wendt, </t>
  </si>
  <si>
    <t>Nanociência e Nanotecnologia: Nanomateriais Avançados e Fabricação de Nanodispositivos</t>
  </si>
  <si>
    <t>Física Geral</t>
  </si>
  <si>
    <t>11:03:09</t>
  </si>
  <si>
    <t>11:03:21</t>
  </si>
  <si>
    <t>0700787558627219</t>
  </si>
  <si>
    <t>andrelinharesrossi@gmail.com</t>
  </si>
  <si>
    <t>- Centro Brasileiro de Pesquisas Físicas: (Servidor público - Pesquisador Adjunto)
- Centro de Tecnologia da Informação Renato Archer: (em branco)
- Inmetro - Instituto Nacional de Metrologia, Qualidade e Tecnologia: (em branco)</t>
  </si>
  <si>
    <t>402107/2026-8</t>
  </si>
  <si>
    <t>09530912609</t>
  </si>
  <si>
    <t>André Luiz Alvarenga Santos</t>
  </si>
  <si>
    <t>http://lattes.cnpq.br/2030746413373403</t>
  </si>
  <si>
    <t>André Luiz Alvarenga Santos, Ruan Roberto Henriques, Adriana dos Anjos Silva, Daniele Leonel da Rocha, Júlia Guimarães Sanches, Mauricio Guimaraes Bergerman, Julio Cesar Guedes Correia, Marisa Bezerra de Mello Monte</t>
  </si>
  <si>
    <t>Desenvolvimento de rotas de concentração de minérios portadores de elementos terras raras com aplicação de coletores alternativos e biocoletores</t>
  </si>
  <si>
    <t>PROGRAMA BASICO DE ENGENHARIA DE MINAS</t>
  </si>
  <si>
    <t>Tratamento de Minérios</t>
  </si>
  <si>
    <t>10:18:15</t>
  </si>
  <si>
    <t>09:53:07</t>
  </si>
  <si>
    <t>Universidade Federal de Minas Gerais</t>
  </si>
  <si>
    <t>UFMG</t>
  </si>
  <si>
    <t>2030746413373403</t>
  </si>
  <si>
    <t>alassantos@ymail.com</t>
  </si>
  <si>
    <t>- Universidade Federal de Minas Gerais: (Servidor público - Técnico em Mineração)
- Faculdade ISEIB de Betim: (CELETISTA - Professor)</t>
  </si>
  <si>
    <t>401969/2026-6</t>
  </si>
  <si>
    <t>01305079701</t>
  </si>
  <si>
    <t>André Massafferri Rodrigues</t>
  </si>
  <si>
    <t>http://lattes.cnpq.br/2139844843936516</t>
  </si>
  <si>
    <t xml:space="preserve">André Massafferri Rodrigues, Rodrigo Felix de Araujo Cardoso, Heitor Evangelista da Silva, Marco Aurélio de Menezes Franco, Talita Gama de Sousa, Roberto Affonso Pimentel Junior, Antonio Vilela Pereira, Rafael Silva </t>
  </si>
  <si>
    <t>Pesquisa Científica e Desenvolvimento Tecnológico para Estudos de Mudanças Climáticas: Programa Cosmic Ray Experiment For Atmosphere</t>
  </si>
  <si>
    <t xml:space="preserve">Teorias Específicas e Modelos de Interação; Sistemática de </t>
  </si>
  <si>
    <t>15:18:01</t>
  </si>
  <si>
    <t>15:18:06</t>
  </si>
  <si>
    <t>2139844843936516</t>
  </si>
  <si>
    <t>andremassafferri@gmail.com</t>
  </si>
  <si>
    <t>- Centro Brasileiro de Pesquisas Físicas: (SERVIDOR_PUBLICO - pesquisador associado)</t>
  </si>
  <si>
    <t>401904/2026-1</t>
  </si>
  <si>
    <t>01836680732</t>
  </si>
  <si>
    <t>Andréa Camardella de Lima Rizzo</t>
  </si>
  <si>
    <t>http://lattes.cnpq.br/7986090118599527</t>
  </si>
  <si>
    <t>Andréa Camardella de Lima Rizzo, Thatyana Pimentel Rodrigo de Freitas, Rosana Silva de Oliveira, Marcello Varella Biagi, Diego Rufino Nascimento</t>
  </si>
  <si>
    <t>LabComin PCI: Estratégias de Comunicação Pública da Ciência e Gestão do Conhecimento para Ampliação do Impacto Social do CETEM</t>
  </si>
  <si>
    <t>PROGRAMA BASICO DE COMUNICACAO</t>
  </si>
  <si>
    <t xml:space="preserve">Jornalismo Especializado (Comunitário, Rural, </t>
  </si>
  <si>
    <t>12:40:25</t>
  </si>
  <si>
    <t>12:40:35</t>
  </si>
  <si>
    <t>7986090118599527</t>
  </si>
  <si>
    <t>arizzo@cetem.gov.br</t>
  </si>
  <si>
    <t>- Centro de Tecnologia Mineral: (Tecnologista Senior)</t>
  </si>
  <si>
    <t>402329/2026-0</t>
  </si>
  <si>
    <t>01166376761</t>
  </si>
  <si>
    <t>Andrea Regina Nunes de Carvalho</t>
  </si>
  <si>
    <t>http://lattes.cnpq.br/4632671506483447</t>
  </si>
  <si>
    <t>Andrea Regina Nunes de Carvalho, Manoel Carlos Pego Saisse, Flávia Cristine Hofstetter Pastura, Joaquim Augusto Pinto Rodrigues, Igor Leão dos Santos Montes, Karla Tereza Figueiredo Leite, Laura Silvia Bahiense da Silva Leite</t>
  </si>
  <si>
    <t>Plataforma Integrada Inteligente de Apoio à Decisão em Gestão de Operações: Aplicações em Indústria, Serviços e Educação com uso de Simulação, IA e Otimização</t>
  </si>
  <si>
    <t>Pesquisa Operacional</t>
  </si>
  <si>
    <t>12:04:18</t>
  </si>
  <si>
    <t>12:04:27</t>
  </si>
  <si>
    <t>4632671506483447</t>
  </si>
  <si>
    <t>andrea.carvalho@int.gov.br</t>
  </si>
  <si>
    <t>- Instituto Nacional de Tecnologia: (SERVIDOR_PUBLICO - Pesquisadora)
- Fundação Getúlio Vargas: (COLABORADOR - Professora convidada)
- Sociedade Educacional de Santa Catarina: (PROFESSOR_VISITANTE - Professora convidada)</t>
  </si>
  <si>
    <t>402153/2026-0</t>
  </si>
  <si>
    <t>13464492796</t>
  </si>
  <si>
    <t>Andrey Linhares Bezerra de Oliveira</t>
  </si>
  <si>
    <t>http://lattes.cnpq.br/4464929440012874</t>
  </si>
  <si>
    <t>Andrey Linhares Bezerra de Oliveira, Arnaldo Alcover Neto, Manuel Castro Carneiro, Lívia Gonçalves Leida Soares, Paula Fernandes de Aguiar, Elcio Cruz de Oliveira, Carina Ulsen, Gislayne Aparecida Rodrigues Kelmer</t>
  </si>
  <si>
    <t>Implantação e consolidação da capacidade institucional do CETEM para determinação de elementos terras raras em nível traço em amostras minerais complexas por espectrometria de fluorescência de raios-X.</t>
  </si>
  <si>
    <t>10:29:50</t>
  </si>
  <si>
    <t>09:55:54</t>
  </si>
  <si>
    <t>4464929440012874</t>
  </si>
  <si>
    <t>aloliveira@cetem.gov.br</t>
  </si>
  <si>
    <t>- Centro de Tecnologia Mineral: (Servidor público - Tecnologista)</t>
  </si>
  <si>
    <t>402074/2026-2</t>
  </si>
  <si>
    <t>00283616873</t>
  </si>
  <si>
    <t>Angela Maria Alves</t>
  </si>
  <si>
    <t>http://lattes.cnpq.br/2583134243307649</t>
  </si>
  <si>
    <t>Angela Maria Alves, Edgleide de Oliveira Clemente da Silva, Mana Marques Rosa, Gabriel Gomes de Oliveira</t>
  </si>
  <si>
    <t>Memória Institucional como Infraestrutura Digital Inteligente: Modelagem, Análise e Prospecção Tecnológica no Centro de Tecnologia da Informação Renato Archer (CTI)</t>
  </si>
  <si>
    <t>22:52:36</t>
  </si>
  <si>
    <t>09:51:05</t>
  </si>
  <si>
    <t>2583134243307649</t>
  </si>
  <si>
    <t>alvesam@gmail.com</t>
  </si>
  <si>
    <t>- Centro de Tecnologia da Informação Renato Archer: (Servidor público - Pesquisador)</t>
  </si>
  <si>
    <t>401214/2026-5</t>
  </si>
  <si>
    <t>84167530910</t>
  </si>
  <si>
    <t>Antonio André Novotny</t>
  </si>
  <si>
    <t>http://lattes.cnpq.br/8102993969523532</t>
  </si>
  <si>
    <t xml:space="preserve">Antonio André Novotny, Sebastián Miguel Giusti, Eduardo Alberto de Souza Neto, Antoine Laurain, Ravi Prakash, Marcel Duarte da Silva Xavier, Jorge Morvan Marotte Luz Filho, Welerson Fernandes Kneipp, Ricardo dos Santos </t>
  </si>
  <si>
    <t>Sobre o Método da Derivada Topológica e suas Aplicações na  Mecânica Computacional</t>
  </si>
  <si>
    <t>Mecânica dos Corpos Sólidos, Elásticos e Plásticos</t>
  </si>
  <si>
    <t>14:56:47</t>
  </si>
  <si>
    <t>14:57:00</t>
  </si>
  <si>
    <t>8102993969523532</t>
  </si>
  <si>
    <t>novotny@lncc.br</t>
  </si>
  <si>
    <t>- Laboratório Nacional de Computação Científica: (Servidor público - Pesquisador Titular)
- Laboratório Nacional de Computação Científica: (Servidor público - Coordenador Programa de Pós-Graduação do LNCC)</t>
  </si>
  <si>
    <t>402132/2026-2</t>
  </si>
  <si>
    <t>10260368873</t>
  </si>
  <si>
    <t>Antonio Carlos da Costa Telles</t>
  </si>
  <si>
    <t>http://lattes.cnpq.br/5238617779036336</t>
  </si>
  <si>
    <t>Antonio Carlos da Costa Telles, Alexander Flacker, Giuliano Maiolini, José Maria Clemente da Silva Filho, Wesley Brito Jalil da Fonseca, Nailson Carvalho</t>
  </si>
  <si>
    <t>Desenvolvimento de Sistemas de Colheita de Energia, Analógicos e de Sinal Misto</t>
  </si>
  <si>
    <t>16:12:05</t>
  </si>
  <si>
    <t>09:54:36</t>
  </si>
  <si>
    <t>5238617779036336</t>
  </si>
  <si>
    <t>antonio.telles@cti.gov.br</t>
  </si>
  <si>
    <t>- Centro de Tecnologia da Informação Renato Archer: (Servidor público - Tecnologista)
- Escola Politécnica da Universidade de São Paulo: (em branco)</t>
  </si>
  <si>
    <t>402054/2026-1</t>
  </si>
  <si>
    <t>06010752779</t>
  </si>
  <si>
    <t>Antonio Gutiérrez Merma</t>
  </si>
  <si>
    <t>http://lattes.cnpq.br/5787457902522074</t>
  </si>
  <si>
    <t>Antonio Gutiérrez Merma, Sílvia Cristina Alves França, Mônica Tejo Cavalcanti, Marouen JOUINI, Ryan Alec Silva Batista</t>
  </si>
  <si>
    <t>Biopolímeros Aplicados à mineração sustentável: Obtenção, caracterização e aplicação em processos de separação sólido/líquido</t>
  </si>
  <si>
    <t>11:34:40</t>
  </si>
  <si>
    <t>09:49:46</t>
  </si>
  <si>
    <t>5787457902522074</t>
  </si>
  <si>
    <t>anguz21@gmail.com</t>
  </si>
  <si>
    <t>402300/2026-2</t>
  </si>
  <si>
    <t>09381039704</t>
  </si>
  <si>
    <t>Antonio Vilela Pereira</t>
  </si>
  <si>
    <t>http://lattes.cnpq.br/4067245164399178</t>
  </si>
  <si>
    <t>Antonio Vilela Pereira, Fabio Marujo da Silva, Luis Miguel Domingues Mendes</t>
  </si>
  <si>
    <t>Instrumentação Científica Avançada com Inteligência Artificial Embarcada para Fontes Inteligentes, Aquisição e Processamento de Sinais</t>
  </si>
  <si>
    <t>Inteligência artificial/computacional</t>
  </si>
  <si>
    <t>10:14:01</t>
  </si>
  <si>
    <t>10:14:09</t>
  </si>
  <si>
    <t>4067245164399178</t>
  </si>
  <si>
    <t>antonio.vilela.pereira@gmail.com</t>
  </si>
  <si>
    <t>- Centro Brasileiro de Pesquisas Físicas: (Servidor público - Pesquisador Associado)
- European Organization for Nuclear Research: (COLABORADOR - USER)</t>
  </si>
  <si>
    <t>402295/2026-9</t>
  </si>
  <si>
    <t>15498149743</t>
  </si>
  <si>
    <t>Arthur Ferreira Campos</t>
  </si>
  <si>
    <t>http://lattes.cnpq.br/2631917363783106</t>
  </si>
  <si>
    <t xml:space="preserve">Arthur Ferreira Campos, Clara Duarte Coelho, Leonardo Hermes Lemos, Everson Andrade dos Reis, Otávio Borges Maia, Isabela Gomes Parucker, Silvana Aparecida Borsetti Gregorio Vidotti, Thiago Oliveira Rodrigues, Luane Souza </t>
  </si>
  <si>
    <t>Plataforma Digital de Informação para a Sustentabilidade para o público juvenil</t>
  </si>
  <si>
    <t>Instituto Brasileiro de Informação em Ciência e Tecnologia</t>
  </si>
  <si>
    <t>IBICT</t>
  </si>
  <si>
    <t>19:08:15</t>
  </si>
  <si>
    <t>10:04:33</t>
  </si>
  <si>
    <t>2631917363783106</t>
  </si>
  <si>
    <t>arthurfcampos@hotmail.com</t>
  </si>
  <si>
    <t>Faixa 2 (33 propostas)</t>
  </si>
  <si>
    <t>- Instituto Brasileiro de Informação em Ciência e Tecnologia: (Servidor público - Tecnologista)
- Instituto Brasileiro de Informação em Ciência e Tecnologia: (Pesquisador - Pesquisador)
- Instituto Brasileiro de Informação em Ciência e Tecnologia: (Pesquisador - Pesquisador)</t>
  </si>
  <si>
    <t>402393/2026-0</t>
  </si>
  <si>
    <t>05548399705</t>
  </si>
  <si>
    <t>Bernardo Nunes Gonçalves</t>
  </si>
  <si>
    <t>http://lattes.cnpq.br/3537386106760841</t>
  </si>
  <si>
    <t xml:space="preserve">Bernardo Nunes Gonçalves, Fabio Andre Machado Porto, Fabio Gagliardi Cozman, Sarajane Marques Peres, Moshe Y Vardi, Jose Hernandez-Orallo, Andressa Alves Machado da Silva, Hiago Mayk Gomes de Araújo Rocha, Hugo Saraiva </t>
  </si>
  <si>
    <t>Metodologia e Infraestrutura para Avaliação de Sistemas de IA Centrada em Dados e Computação de Alto Desempenho</t>
  </si>
  <si>
    <t>21:00:55</t>
  </si>
  <si>
    <t>21:01:04</t>
  </si>
  <si>
    <t>3537386106760841</t>
  </si>
  <si>
    <t>bgoncalves1@gmail.com</t>
  </si>
  <si>
    <t>- Laboratório Nacional de Computação Científica: (Servidor público - Tecnologista Pleno e Professor Permanente)</t>
  </si>
  <si>
    <t>402253/2026-4</t>
  </si>
  <si>
    <t>41782449817</t>
  </si>
  <si>
    <t>Caique Serati de Brito</t>
  </si>
  <si>
    <t>http://lattes.cnpq.br/7229755502198114</t>
  </si>
  <si>
    <t xml:space="preserve">Caique Serati de Brito, Cauê Moreno Kersul de Castro Carvalho, Leandro Andrade Couto Fonseca, Eduardo Sell Gonçalves, Wesley Brito Jalil da Fonseca, Ednan Joanni, Antonio Carlos da Costa Telles, Vinicius Vono Peruzzi, </t>
  </si>
  <si>
    <t>Plataformas de Micro e Nanofabricação para Tecnologias Quânticas</t>
  </si>
  <si>
    <t>Dispositivos</t>
  </si>
  <si>
    <t>13:54:20</t>
  </si>
  <si>
    <t>10:02:03</t>
  </si>
  <si>
    <t>7229755502198114</t>
  </si>
  <si>
    <t>caique.serati@gmail.com</t>
  </si>
  <si>
    <t>402150/2026-0</t>
  </si>
  <si>
    <t>85986160797</t>
  </si>
  <si>
    <t>Carla Osthoff Ferreira de Barros</t>
  </si>
  <si>
    <t>http://lattes.cnpq.br/7170508510503648</t>
  </si>
  <si>
    <t>Carla Osthoff Ferreira de Barros, Hiago Mayk Gomes de Araújo Rocha, Kary Ann del Carmen Ocaña Gautherot, Antônio Tadeu Azevedo Gomes, Márcio Rentes Borges, André Ramos Carneiro, Rafael Ferreira Soares</t>
  </si>
  <si>
    <t>Camadas Estruturais da Pilha Brasileira de Software Soberano</t>
  </si>
  <si>
    <t>Software Básico</t>
  </si>
  <si>
    <t>11:17:19</t>
  </si>
  <si>
    <t>09:55:44</t>
  </si>
  <si>
    <t>7170508510503648</t>
  </si>
  <si>
    <t>carla.osthoff@gmail.com</t>
  </si>
  <si>
    <t>- Laboratório Nacional de Computação Científica: (Servidor público - Pesquisador)
- Instituto Nacional de Estudos e Pesquisas Educacionais Anísio Teixeira: (Servidor público - Avaliadora do Basis)
- Coordenação de Aperfeiçoamento de Pessoal de Nível Superior: (Membro de comitê assessor)
- Laboratório Nacional de Conputação Científica: (Membro de comitê assessor)
- Centre de Recherche INRIA Bordeaux Sud-Ouest (FRA): (PROFESSOR_VISITANTE - Pesquisador colaborador)</t>
  </si>
  <si>
    <t>402321/2026-0</t>
  </si>
  <si>
    <t>49434144787</t>
  </si>
  <si>
    <t>Carla Patricia Guimarães</t>
  </si>
  <si>
    <t>http://lattes.cnpq.br/0505874479604126</t>
  </si>
  <si>
    <t xml:space="preserve">Carla Patricia Guimarães, Flávia Cristine Hofstetter Pastura, Marcos Henrique Garamvolgyi e Silva, Moacyr de Freitas Martins, Saul Eliahú Mizrahi, Márcio Ribeiro Rodrigues de Oliveira, Gil Fernandes da Cunha Brito, Fabio </t>
  </si>
  <si>
    <t>CAMINHAR DE NOVO - Tecnologia Assistiva Nacional para Reabilitação Física e Contribuição ao SUS</t>
  </si>
  <si>
    <t>PROGRAMA BASICO DE DESIGN</t>
  </si>
  <si>
    <t>DI</t>
  </si>
  <si>
    <t>Desenho de Produto</t>
  </si>
  <si>
    <t>11:35:18</t>
  </si>
  <si>
    <t>11:35:24</t>
  </si>
  <si>
    <t>0505874479604126</t>
  </si>
  <si>
    <t>carla.guimaraes@int.gov.br</t>
  </si>
  <si>
    <t>INT - 2013 - Atual Vínculo: , Enquadramento Funcional: Tecnologista Senior World Engineering Anthropometric Research: (COLABORADOR - Colaborador Internacional)
- Instituto Nacional de Tecnologia: (Bolsista - Pesquisador)
- Instituto Nacional de Tecnologia: (Tecnologista Senior)
- Conselho Nacional de Desenvolvimento Científico e Tecnológico: (Bolsista - Bolsista Produtividade DT)
- Instituto Federal de Educação, Ciência e Tecnologia do Rio de Janeiro: (em branco)
- Instituto de Pesquisas Tecnológicas do Estado de São Paulo: (em branco)
- Universidade Federal Rural do Rio de Janeiro: (em branco)</t>
  </si>
  <si>
    <t>402041/2026-7</t>
  </si>
  <si>
    <t>18543210801</t>
  </si>
  <si>
    <t>Carlos Alberto da Silva</t>
  </si>
  <si>
    <t>http://lattes.cnpq.br/5177138365616713</t>
  </si>
  <si>
    <t xml:space="preserve">Carlos Alberto da Silva, Camila Calicchio Lopes, Kelly Cristine da Silveira, Vânia Mori, Eduardo Homem de Siqueira Cavalcanti, Valéria Said de Barros Pimentel, Javier Alejandro Carreno Velasco, Bhaskar Singh, Vera Lúcia Dionizio </t>
  </si>
  <si>
    <t>Bases Tecnológicas para Implementação Segura do E30+: Corrosividade, Compatibilidade de Materiais, Emissões e Desenvolvimento Automotivo</t>
  </si>
  <si>
    <t>Físico-Química</t>
  </si>
  <si>
    <t>19:54:29</t>
  </si>
  <si>
    <t>09:49:01</t>
  </si>
  <si>
    <t>5177138365616713</t>
  </si>
  <si>
    <t>callbertt@gmail.com</t>
  </si>
  <si>
    <t>401886/2026-3</t>
  </si>
  <si>
    <t>00930427289</t>
  </si>
  <si>
    <t>Caroline Rodrigues dos Santos Brígido</t>
  </si>
  <si>
    <t>http://lattes.cnpq.br/7235133419715845</t>
  </si>
  <si>
    <t>Caroline Rodrigues dos Santos Brígido, Paulo Fernando Almeida Braga</t>
  </si>
  <si>
    <t>Desenvolvimento de Rotas Tecnológicas para a Cadeia Produtiva do Lítio de Alta Pureza.</t>
  </si>
  <si>
    <t>19:47:09</t>
  </si>
  <si>
    <t>19:47:20</t>
  </si>
  <si>
    <t>7235133419715845</t>
  </si>
  <si>
    <t>cbrigido@cetem.gov.br</t>
  </si>
  <si>
    <t>- Centro de Tecnologia Mineral: (SERVIDOR_PUBLICO - Pesquisadora)</t>
  </si>
  <si>
    <t>402186/2026-5</t>
  </si>
  <si>
    <t>01254264701</t>
  </si>
  <si>
    <t>Cláudia Duarte da Cunha</t>
  </si>
  <si>
    <t>http://lattes.cnpq.br/7358557068732556</t>
  </si>
  <si>
    <t>Cláudia Duarte da Cunha, Daniele Leonel da Rocha, Flávio Luiz Martins, Kátia de Cassia Barbosa Alexandre, Rodrigo Gouvêa Taketani, Luciano Borges de Souza, Luiz Eduardo Souza da Silva Irineu</t>
  </si>
  <si>
    <t>Biotecnologia Aplicada ao Aproveitamento de Agrominerais e à Recuperação de Minerais Estratégicos</t>
  </si>
  <si>
    <t>10:56:30</t>
  </si>
  <si>
    <t>09:57:53</t>
  </si>
  <si>
    <t>7358557068732556</t>
  </si>
  <si>
    <t>ccunha@cetem.gov.br</t>
  </si>
  <si>
    <t>- Centro de Tecnologia Mineral: (SERVIDOR_PUBLICO - Tecnologista Sênior)
- Fundação de Amparo à Pesquisa do Estado de São Paulo: (Membro de comitê assessor)</t>
  </si>
  <si>
    <t>402362/2026-8</t>
  </si>
  <si>
    <t>77228880706</t>
  </si>
  <si>
    <t>Cláudia Maria Luz Lapa Teixeira</t>
  </si>
  <si>
    <t>http://lattes.cnpq.br/2167818328073525</t>
  </si>
  <si>
    <t xml:space="preserve">Cláudia Maria Luz Lapa Teixeira, Camila Calicchio Lopes, Natália Guimarães de Figueiredo, Eliane Przytyk Jung, Leilson de Oliveira Ribeiro, André Luis Souza dos Santos, Lucielen Oliveira dos Santos, Luiz Anastacio Alves, </t>
  </si>
  <si>
    <t>Microalgas como Plataforma de Biomassa Renovável para a Produção Sustentável de Bioprodutos por Processos Verdes no Contexto de Biorrefinarias</t>
  </si>
  <si>
    <t>Biotecnologia Industrial</t>
  </si>
  <si>
    <t>17:12:08</t>
  </si>
  <si>
    <t>17:12:16</t>
  </si>
  <si>
    <t>2167818328073525</t>
  </si>
  <si>
    <t>claudia.teixeira@int.gov.br</t>
  </si>
  <si>
    <t>- Instituto Nacional de Tecnologia: (Tecnologista Sênior)
- Universidade do Estado do Rio de Janeiro: (em branco)
- Universidade Federal da Paraíba: (em branco)
- Universidade Federal do Rio Grande: (em branco)
- Universidade Federal da Bahia: (em branco)</t>
  </si>
  <si>
    <t>402120/2026-4</t>
  </si>
  <si>
    <t>26479110889</t>
  </si>
  <si>
    <t>Cláudio Teodoro dos Santos</t>
  </si>
  <si>
    <t>http://lattes.cnpq.br/9109325060795479</t>
  </si>
  <si>
    <t>Cláudio Teodoro dos Santos, Mauricio de Jesus Monteiro, Javier Alejandro Carreno Velasco, Walter Barreiro Cravo Junior, Jose Procopio Moreno Senna, Lilian Ferreira de Senna</t>
  </si>
  <si>
    <t>Desenvolvimento de biossensores eletroquímicos para o diagnóstico rápido de infecções bacterianas em seres humanos</t>
  </si>
  <si>
    <t>Biossensores e transdutores para aplicação biomédica</t>
  </si>
  <si>
    <t>10:23:43</t>
  </si>
  <si>
    <t>09:53:53</t>
  </si>
  <si>
    <t>9109325060795479</t>
  </si>
  <si>
    <t>claudio.santos@int.gov.br</t>
  </si>
  <si>
    <t>- Instituto Nacional de Tecnologia: (Servidor público - Tecnologista)
- Universidade de São Paulo: (COLABORADOR - Colaborador)
- Universidade Federal de Santa Catarina: (COLABORADOR - Colaborador)
- Instituto Nacional de Metrologia, Qualidade e Tecnologia: (em branco)</t>
  </si>
  <si>
    <t>402081/2026-9</t>
  </si>
  <si>
    <t>24731179858</t>
  </si>
  <si>
    <t>Daniel Ribeiro Franco</t>
  </si>
  <si>
    <t>http://lattes.cnpq.br/9874436698730620</t>
  </si>
  <si>
    <t>Daniel Ribeiro Franco, José Alejandro Moreno Alfonzo, Luiz Carlos de Carvalho Benyosef, André Wiermann, Gabriel Brando Soares, Plinio Francisco Jaqueto</t>
  </si>
  <si>
    <t>Sistema Integrado de Sensoriamento Magnético: da Implementação de Novas Estações Geomagnéticas Automatizadas à Aplicação em Geomagnetismo, Paleomagnetismo e Magnetismo Ambiental</t>
  </si>
  <si>
    <t>Geomagnetismo</t>
  </si>
  <si>
    <t>12:38:43</t>
  </si>
  <si>
    <t>09:51:26</t>
  </si>
  <si>
    <t>9874436698730620</t>
  </si>
  <si>
    <t>drfranco@on.br</t>
  </si>
  <si>
    <t>- Observatório Nacional: (Servidor público - Tecnologista Sênior III)
- IGCP UNESCO: (em branco)
- Tongji University: (em branco)
- Universidade Federal do Rio Grande do Sul: (em branco)
- Universidade Estadual de Campinas: (em branco)</t>
  </si>
  <si>
    <t>402096/2026-6</t>
  </si>
  <si>
    <t>10846748746</t>
  </si>
  <si>
    <t>Daniele Leonel da Rocha</t>
  </si>
  <si>
    <t>http://lattes.cnpq.br/0017657009368381</t>
  </si>
  <si>
    <t>Daniele Leonel da Rocha, Marisa Nascimento, Cláudia Duarte da Cunha, Diego Valentim Crescente Cara, Flávio Luiz Martins, Luciano Borges de Souza, Débora Nascimento Sousa</t>
  </si>
  <si>
    <t>Rotas Biohidrometalúrgicas para a Extração de Elementos Terras Raras: O Uso de Microrganismos e seus Metabólitos em Minérios e/ou Argilas Iônicas.</t>
  </si>
  <si>
    <t>Metalurgia Extrativa</t>
  </si>
  <si>
    <t>12:06:53</t>
  </si>
  <si>
    <t>09:52:21</t>
  </si>
  <si>
    <t>0017657009368381</t>
  </si>
  <si>
    <t>dleonel@cetem.gov.br</t>
  </si>
  <si>
    <t>402224/2026-4</t>
  </si>
  <si>
    <t>07667232750</t>
  </si>
  <si>
    <t>Danieli Aparecida Pereira Reis</t>
  </si>
  <si>
    <t>http://lattes.cnpq.br/7058867464306125</t>
  </si>
  <si>
    <t xml:space="preserve">Danieli Aparecida Pereira Reis, Renata Jesuina Takahashi, Leonardo Contri Campanelli, Ana Flávia Bezerra, Lucas Caetano da Silva, Gustavo Bavaresco Sucharski, Cauã Willian de Souza Barbosa, Bianca Costa Rodrigues, Luiz </t>
  </si>
  <si>
    <t>Desenvolvimento nacional e avaliação do comportamento termomecânico de revestimentos avançados de barreira térmica (TBCs) aplicados às ligas metálicas por aspersão térmica para aplicações aeroespaciais e de defesa.</t>
  </si>
  <si>
    <t>03:21:21</t>
  </si>
  <si>
    <t>10:00:03</t>
  </si>
  <si>
    <t>7058867464306125</t>
  </si>
  <si>
    <t>danieli.reis@unifesp.br</t>
  </si>
  <si>
    <t>- Instituto Tecnológico de Aeronáutica: (Voluntário - Voluntário)
- Instituto Nacional de Estudos e Pesquisas Educacionais Anísio Teixeira: (Consultor Ad Hoc - Avaliador de Curso (Avaliador Ad hoc))
- Instituto de Pesquisas Energéticas Nucleares: (COLABORADOR - Colaboradora)
- Universidade Politécnica de Madri: (COLABORADOR - Pesquisador colaborador em projetos de pesqui)
- Associação Brasileira de Metalurgia e Materiais: (Sócio Titular ABM - Sócio Titular)
- Conselho Nacional de Desenvolvimento Científico e Tecnológico: (Consultor do programa CYTED - consultor)
- Conselho Nacional de Desenvolvimento Científico e Tecnológico: (Bolsista Produtividade PQ-2 - Pesquisador)
- Fundação de Amparo à Pesquisa do Estado de São Paulo: (COLABORADOR - Assessor)
- Coordenação de Aperfeiçoamento de Pessoal de Nível Superior: (Bolsista - Pesquisador)
- Universidade Federal de São Paulo: (Servidor público - Professor Associado)
- (FAPESP) Fundação de Amparo à Pesquisa do Estado de São Paulo: (Membro de comitê assessor)
- (CNPq) Conselho Nacional de Desenvolvimento Científico e Tecnológico: (Membro de comitê assessor)
- (CAPES) Coordenação de Aperfeiçoamento de Pessoal de Nível Superior: (Membro de comitê assessor)
- SOCIEDADE BRASILEIRA DE PESQUISA EM MATERIAIS SBPMAT: (Sócio Titular - Sócio Titular)
- American Society for Metals: (Sócio - Sócio)
- Fundação de Amparo à Pesquisa do Estado de Minas Gerais: (Assessoria - Assessor)
- Fundação Carolina: (Membro de comitê assessor)
- Universidade Presbiteriana Mackenzie: (COLABORADOR - Pesquisador colaborador em projetos)
- Instituto Nacional de Estudos e Pesquisas Educacionais Anísio Teixeira INEP: (Membro de comitê assessor)
- Fundação Carolina: (Assessoria - Colaborador)
- Instituto de Aeronáutica e Espaço: (assessor ad hoc - Assessor)</t>
  </si>
  <si>
    <t>402380/2026-6</t>
  </si>
  <si>
    <t>11874438757</t>
  </si>
  <si>
    <t>Dayanne da Silva Prudencio</t>
  </si>
  <si>
    <t>http://lattes.cnpq.br/8121967168913864</t>
  </si>
  <si>
    <t>Dayanne da Silva Prudencio, Fabio Castro Gouveia, Priscila Machado Borges Sena, Washington Luís Ribeiro de Carvalho Segundo, Kleber de Souza Pinto</t>
  </si>
  <si>
    <t>Observatório nacional de vulnerabilidade informacional e desinformação no tráfico de pessoas: desenvolvimento de inteligência informacional, tecnologias sociais e capacidades científicas para prevenção e políticas públicas</t>
  </si>
  <si>
    <t>19:20:42</t>
  </si>
  <si>
    <t>19:20:48</t>
  </si>
  <si>
    <t>Universidade Federal do Estado do Rio de Janeiro</t>
  </si>
  <si>
    <t>UNIRIO</t>
  </si>
  <si>
    <t>8121967168913864</t>
  </si>
  <si>
    <t>dayanneprudencio@gmail.com</t>
  </si>
  <si>
    <t>- Universidade Federal do Estado do Rio de Janeiro: (Servidor público - Professor Adjunto)
- Universidade Federal do Estado do Rio de Janeiro: (Servidor público - Professora Permanente PPGB UNIRIO)
- Universidade Federal Fluminense: (OUTRO - Pós-doutorado)
- Instituto Brasileiro de Informação em Ciência e Tecnologia: (Servidor público - Pesquisadora Adjunta)
- Associação Brasileira de Educação em Ciência da Informação: (COLABORADOR - Coordenadora da Regional Sudeste)</t>
  </si>
  <si>
    <t>402044/2026-6</t>
  </si>
  <si>
    <t>91933510706</t>
  </si>
  <si>
    <t>Denise Souza de Freitas</t>
  </si>
  <si>
    <t>http://lattes.cnpq.br/8876141509346907</t>
  </si>
  <si>
    <t>Denise Souza de Freitas, Walter Barreiro Cravo Junior, Jose Victor de Oliveira Goudar, Janaina Cardozo da Rocha, Ricardo Coutinho, Lisiane Gonçalves Lima, Israel Lima Monte Gonçalves</t>
  </si>
  <si>
    <t>Metodologia Experimental Integrada para Avaliação de Biocorrosão e Proteção Catódica Intermitente em Ligas CRA aplicadas à Zona de Variação de Maré (ZVM)</t>
  </si>
  <si>
    <t>17:07:02</t>
  </si>
  <si>
    <t>09:49:13</t>
  </si>
  <si>
    <t>8876141509346907</t>
  </si>
  <si>
    <t>denise_de_freitas@yahoo.com.br</t>
  </si>
  <si>
    <t>- Pontifícia Universidade Católica do Rio de Janeiro: (COLABORADOR - Professora convidada)
- Centro de Tecnologia em Dutos: (COLABORADOR - Pesquisador Associado)
- Centro de Tecnologia em Dutos: (COLABORADOR - Conselheira)
- Instituto Nacional deTecnologia: (Servidor público - Tecnologista Senior)</t>
  </si>
  <si>
    <t>402403/2026-6</t>
  </si>
  <si>
    <t>08792128610</t>
  </si>
  <si>
    <t>Emanuelle Arantes Paixão</t>
  </si>
  <si>
    <t>http://lattes.cnpq.br/7127543079591956</t>
  </si>
  <si>
    <t>Emanuelle Arantes Paixão, Alexandre Ferreira Ramos, Leonardo Chicaybam Peixoto, Álvaro Martín, Gabriela Corrêa Gonçalves</t>
  </si>
  <si>
    <t>Modelagem matemática e computacional da resistência à terapia CAR-T e identificação de biomarcadores associados</t>
  </si>
  <si>
    <t>22:41:59</t>
  </si>
  <si>
    <t>22:42:04</t>
  </si>
  <si>
    <t>7127543079591956</t>
  </si>
  <si>
    <t>crismanuelle@gmail.com</t>
  </si>
  <si>
    <t>- Sociedade Brasileira de Matemática Aplicada e Computacional: (Comissão de Comunicação SBMAC - Integrante)
- Sociedade Brasileira de Matemática Aplicada e Computacional: (Associado - Membro efetivo)
- Laboratório Nacional de Computação Científica: (Servidor público - Tecnologista)
- Universidade Federal de Juiz de Fora: (Coorientação - Coorientação de Mestrado)</t>
  </si>
  <si>
    <t>402404/2026-2</t>
  </si>
  <si>
    <t>02631787900</t>
  </si>
  <si>
    <t>Emanuelle Torino</t>
  </si>
  <si>
    <t>http://lattes.cnpq.br/5042296869081637</t>
  </si>
  <si>
    <t xml:space="preserve">Emanuelle Torino, Letícia Guarany Bonetti, Luana Farias Sales Marques, Silvana Aparecida Borsetti Gregorio Vidotti, Walter Eler do Couto, Washington Luís Ribeiro de Carvalho Segundo, Caio Saraiva Coneglian, Fernanda </t>
  </si>
  <si>
    <t>Uso de Inteligência Artificial para a recuperação semântica da informação.</t>
  </si>
  <si>
    <t>Técnicas de Recuperação de Informação</t>
  </si>
  <si>
    <t>22:56:12</t>
  </si>
  <si>
    <t>22:56:21</t>
  </si>
  <si>
    <t>Universidade Tecnológica Federal do Paraná</t>
  </si>
  <si>
    <t>UTFPR</t>
  </si>
  <si>
    <t>5042296869081637</t>
  </si>
  <si>
    <t>emanuelle@utfpr.edu.br</t>
  </si>
  <si>
    <t>- Universidade Tecnológica Federal do Paraná: (Servidor público - Bibliotecária/Documentalista)
- Universidade Estadual Paulista Júlio de Mesquita Filho: (COLABORADOR - Docente Colaborador)
- Instituto Brasileiro de Informação em Ciência e Tecnologia: (Servidor público - Coordenadora de Serviços Bibliográficos)
- Instituto Brasileiro de Informação em Ciência e Tecnologia: (COLABORADOR - Docente titular)
- Coordenação de Aperfeiçoamento de Pessoal de Nível Superior: (Bolsista - Membro do Projeto)
- Associação Nacional de Pesquisa e Pós-Graduação em Ciência da Informação: (Coordenadora-adjunta do GT8 - Coordenadora-adjunta do GT8/ANCIB)</t>
  </si>
  <si>
    <t>402374/2026-6</t>
  </si>
  <si>
    <t>22671157860</t>
  </si>
  <si>
    <t>Erica da Cruz Novaes Gonçalves Dias</t>
  </si>
  <si>
    <t>http://lattes.cnpq.br/8885538459560305</t>
  </si>
  <si>
    <t xml:space="preserve">Erica da Cruz Novaes Gonçalves Dias, Márcio Elias de Castro Sant ana, Valéria Sousa Santos da Costa, Cicero Evaldo Alves de Sales, Rebeca Buzzo Feltrin, Pedro Yoshito Noritomi, Rodrigo Bonacin, Alisson Lopes Oliveira, </t>
  </si>
  <si>
    <t>Inteligência Estratégica de Cooperações e Parcerias no CTI Renato Archer: da Análise de Dados à Excelência Institucional (IEC-CTI)</t>
  </si>
  <si>
    <t>Administração Pública</t>
  </si>
  <si>
    <t>18:14:08</t>
  </si>
  <si>
    <t>18:14:17</t>
  </si>
  <si>
    <t>8885538459560305</t>
  </si>
  <si>
    <t>ericadias.unespar@gmail.com</t>
  </si>
  <si>
    <t>402042/2026-3</t>
  </si>
  <si>
    <t>11623756120</t>
  </si>
  <si>
    <t>Evaldo Mendonca Fleury Curado</t>
  </si>
  <si>
    <t>http://lattes.cnpq.br/9030349458063767</t>
  </si>
  <si>
    <t xml:space="preserve">Evaldo Mendonca Fleury Curado, Marcelo Amanajas Pires, Sílvio Manuel Duarte Queirós, Daniel Mendonça Valente, Geraldo Roberto Carvalho Cernicchiaro, Jean Pierre Marie Eugene Gazeau, Giuseppe DI MOLFETTA, Frederico </t>
  </si>
  <si>
    <t>Física para computação de baixo custo energético</t>
  </si>
  <si>
    <t>Física Estatística e Termodinâmica</t>
  </si>
  <si>
    <t>12:36:50</t>
  </si>
  <si>
    <t>09:49:05</t>
  </si>
  <si>
    <t xml:space="preserve">INSTITUTO NACIONAL DE CIENCIA, TECNOLOGIA E INOVACAO CO2 ZERO </t>
  </si>
  <si>
    <t xml:space="preserve">INCT CO2 ZERO </t>
  </si>
  <si>
    <t>9030349458063767</t>
  </si>
  <si>
    <t>evaldo@cbpf.br</t>
  </si>
  <si>
    <t>- Centro Brasileiro de Pesquisas Físicas: (Servidor público ou celetista - PESQUISADOR TITULAR II)
- INSTITUTO NACIONAL DE CIENCIA, TECNOLOGIA E INOVACAO CO2 ZERO: (Servidor público - Coordenador)</t>
  </si>
  <si>
    <t>402381/2026-2</t>
  </si>
  <si>
    <t>51262975034</t>
  </si>
  <si>
    <t>Everson Andrade dos Reis</t>
  </si>
  <si>
    <t>http://lattes.cnpq.br/3501039874775221</t>
  </si>
  <si>
    <t xml:space="preserve">Everson Andrade dos Reis, Silvana Aparecida Borsetti Gregorio Vidotti, Thiago Oliveira Rodrigues, Arthur Ferreira Campos, Leonardo Hermes Lemos, Wagner Augusto Fischer, Clara Duarte Coelho, Luane Souza de Araújo, Carolina </t>
  </si>
  <si>
    <t xml:space="preserve">Fortalecimento SICV Brasil </t>
  </si>
  <si>
    <t>19:25:52</t>
  </si>
  <si>
    <t>19:26:02</t>
  </si>
  <si>
    <t>3501039874775221</t>
  </si>
  <si>
    <t>eversonreis@ibict.br</t>
  </si>
  <si>
    <t>- Instituto Brasileiro de Informação em Ciência e Tecnologia: (Servidor público - Tecnologista)
- Centro Universitário de Brasília: (CELETISTA - Professor)</t>
  </si>
  <si>
    <t>401951/2026-0</t>
  </si>
  <si>
    <t>88404595704</t>
  </si>
  <si>
    <t>Fabio Andre Machado Porto</t>
  </si>
  <si>
    <t>http://lattes.cnpq.br/6418711808050575</t>
  </si>
  <si>
    <t xml:space="preserve">Fabio Andre Machado Porto, Patrick Valduriez, Bernardo Nunes Gonçalves, Mario Antonio do Nascimento, Eduardo Henrique Monteiro Pena, Rocío Milagros Zorrilla Coz, Gabriela Moraes Botaro, Júlia Neumann Bastos, Gerardo </t>
  </si>
  <si>
    <t>CiencIA - IA aplicada à ciência no Brasil</t>
  </si>
  <si>
    <t>13:19:10</t>
  </si>
  <si>
    <t>13:19:21</t>
  </si>
  <si>
    <t>6418711808050575</t>
  </si>
  <si>
    <t>fporto@acm.org</t>
  </si>
  <si>
    <t>- Laboratório Nacional de Computação Científica: (Servidor público - Tecnologista Senior)
- Coordenação de Aperfeiçoamento de Pessoal de Nível Superior: (Membro de comitê assessor)
- Centre de Recherche Inria Sophia Antipolis - Méditerranée: (International Chair - Senior Researcher)
- Global Partnership on AI: (Especialista - Especialista)</t>
  </si>
  <si>
    <t>401905/2026-8</t>
  </si>
  <si>
    <t>92714102700</t>
  </si>
  <si>
    <t>Fabio Bellot Noronha</t>
  </si>
  <si>
    <t>http://lattes.cnpq.br/4325989861878031</t>
  </si>
  <si>
    <t>Fabio Bellot Noronha, Clarissa Perdomo Rodrigues, Débora Gomes Baptista Dionizio, Leticia Forrer Sosa</t>
  </si>
  <si>
    <t>Desenvolvimento integrado de processos de conversão de biomassa em biocombustívies e de produção de hidrogênio renovável</t>
  </si>
  <si>
    <t>12:56:22</t>
  </si>
  <si>
    <t>4325989861878031</t>
  </si>
  <si>
    <t>fabio.bellot@int.gov.br</t>
  </si>
  <si>
    <t>- Instituto Nacional de Tecnologia: (Servidor público ou celetista - Tecnologista Pleno)
- Instituto Militar de Engenharia: (COLABORADOR - Professor)
- (CNPq) Conselho Nacional de Desenvolvimento Científico e Tecnológico: (Membro de comitê assessor)
- Universidade Federal Fluminense: (Servidor público - Professor)
- Universidade Federal de Uberlândia: (PROFESSOR_VISITANTE - Docente Permanente do PPG EQ)</t>
  </si>
  <si>
    <t>402371/2026-7</t>
  </si>
  <si>
    <t>92746578700</t>
  </si>
  <si>
    <t>Fabio Castro Gouveia</t>
  </si>
  <si>
    <t>http://lattes.cnpq.br/0733908324235348</t>
  </si>
  <si>
    <t>Fabio Castro Gouveia, Henrique Denes Hilgenberg Fernandes, Gustavo Silva Saldanha, Dayanne da Silva Prudencio, Giulia Tucci, Jacqueline Leta, Marcia Triunfol, Kizi Mendonça de Araújo</t>
  </si>
  <si>
    <t>Indicadores para a Gestão e Pesquisa</t>
  </si>
  <si>
    <t>Métodos Quantitativos. Bibliometria</t>
  </si>
  <si>
    <t>17:58:50</t>
  </si>
  <si>
    <t>17:58:57</t>
  </si>
  <si>
    <t>0733908324235348</t>
  </si>
  <si>
    <t>fabiogouveia@ibict.br</t>
  </si>
  <si>
    <t>- Instituto Brasileiro de Informação em Ciência e Tecnologia: (Servidor público - Servidor Cedido)</t>
  </si>
  <si>
    <t>401871/2026-6</t>
  </si>
  <si>
    <t>09234805798</t>
  </si>
  <si>
    <t>Fabio Giusti Azevedo de Britto</t>
  </si>
  <si>
    <t>http://lattes.cnpq.br/9788036777085333</t>
  </si>
  <si>
    <t>Fabio Giusti Azevedo de Britto, Luciana Marelli Mofati, Maria Pereira Lima Green, Victor Roca Londres, Murilo dos Santos da Silva e Silva, Evandro da Silva Guimarães Rodrigues, Carlos Cesar Peiter, Kevin Delinsk Bomfim Stadler</t>
  </si>
  <si>
    <t>GOVERNANÇA E CAPACITAÇÃO INSTITUCIONAL EM CADEIAS PRODUTIVAS MINERAIS: Minerais críticos como Instrumento de Soberania Tecnológica, Transição Energética e Desenvolvimento Territorial</t>
  </si>
  <si>
    <t>Economia dos Recursos Naturais</t>
  </si>
  <si>
    <t>14:35:26</t>
  </si>
  <si>
    <t>14:35:47</t>
  </si>
  <si>
    <t>9788036777085333</t>
  </si>
  <si>
    <t>fgbritto@cetem.gov.br</t>
  </si>
  <si>
    <t>- Instituto Virtual Internacional de Mudanças Globais - Coppe/UFRJ: (COLABORADOR - Coordenador Técnico)
- Escola Nacional de Ciências Estatísticas: (Servidor público - Professor/Pesquisador)
- Fundação Instituto Brasileiro de Geografia e Estatística: (em branco)
- Centro de Tecnologia Mineral: (Servidor público - Pesquisador)</t>
  </si>
  <si>
    <t>402064/2026-7</t>
  </si>
  <si>
    <t>05426512701</t>
  </si>
  <si>
    <t>Fabio Marujo da Silva</t>
  </si>
  <si>
    <t>http://lattes.cnpq.br/3574453900770220</t>
  </si>
  <si>
    <t>Fabio Marujo da Silva, Sebastião Alves Dias, Eduardo Sergio Santini, Mariana Giffoni da Silva Pinheiro, Cleonice Maria Silveira Martins Tavares</t>
  </si>
  <si>
    <t>Banco de irradiação gama de baixa atividade para qualificação, dosimetria e predição de envelhecimento de detectores nucleares assistida por aprendizado de máquina (machine learning): capacitação institucional do CBPF em instrumentação nuclear, radioprote</t>
  </si>
  <si>
    <t>21:20:32</t>
  </si>
  <si>
    <t>09:50:31</t>
  </si>
  <si>
    <t>3574453900770220</t>
  </si>
  <si>
    <t>fmarujo@cbpf.br</t>
  </si>
  <si>
    <t>- Centro Brasileiro de Pesquisas Físicas: (Servidor público - Tecnologista - Classe: Pleno 2 - Padrão I)
- European Organization for Nuclear Research: (COLABORADOR - Engenheiro P&amp;D)
- European Organization for Nuclear Research: (COLABORADOR - Coordinator Level 2 RPC Muon System)
- Universidade Federal do Rio de Janeiro: (Servidor público - Professor Magistério Superior-Substituto)</t>
  </si>
  <si>
    <t>402241/2026-6</t>
  </si>
  <si>
    <t>52389030149</t>
  </si>
  <si>
    <t>Fabio Moyses Lins Dantas</t>
  </si>
  <si>
    <t>http://lattes.cnpq.br/6788281395075788</t>
  </si>
  <si>
    <t xml:space="preserve">Fabio Moyses Lins Dantas, Cláudia Maria Luz Lapa Teixeira, Saul Eliahú Mizrahi, Ana Paula Campanelli, Fabrício Souza Silva, Alessandra Lifsitch Vicosa, Laís Bastos da Fonseca, Jose Mauro Granjeiro, Anna Paula Azevedo de </t>
  </si>
  <si>
    <t>Desenvolvimento de ativos nanoestruturados para tratamento avançado de infecções e/ou controle de contaminação microbiana</t>
  </si>
  <si>
    <t>09:21:44</t>
  </si>
  <si>
    <t>10:01:20</t>
  </si>
  <si>
    <t>6788281395075788</t>
  </si>
  <si>
    <t>fabio.dantas@int.gov.br</t>
  </si>
  <si>
    <t>- Instituto Nacional de Tecnologia: (Servidor público - Tecnologista)
- Universidade do Estado do Rio de Janeiro: (em branco)
- Universidade Federal do Vale do São Francisco: (em branco)</t>
  </si>
  <si>
    <t>401944/2026-3</t>
  </si>
  <si>
    <t>07180425656</t>
  </si>
  <si>
    <t>Fabrício Bagli Siqueira</t>
  </si>
  <si>
    <t>http://lattes.cnpq.br/3910781959564933</t>
  </si>
  <si>
    <t xml:space="preserve">Fabrício Bagli Siqueira, Nuria Fernández Castro, Leonardo Luiz Lyrio da Silveira, Mariane Costalonga de Aguiar, Kayrone Marvila de Almeida, Michel Picanço Oliveira, Elaine Cristina Pereira, Mateus Carvalho Amaral, Maurício </t>
  </si>
  <si>
    <t>Materiais Sustentáveis e Proteção Anticorrosiva: Aproveitamento de Resíduos de Rochas Ornamentais em Concreto Celular e Revestimentos de Poliuretano Vegetal</t>
  </si>
  <si>
    <t>11:12:13</t>
  </si>
  <si>
    <t>3910781959564933</t>
  </si>
  <si>
    <t>fabricio.siqueira@ucam-campos.br</t>
  </si>
  <si>
    <t>- S B I: (CELETISTA - Professor Assistente)
- Universidade Federal do Espírito Santo: (em branco)
- Centro de Tecnologia Mineral: (Servidor público - Pesquisador)</t>
  </si>
  <si>
    <t>402053/2026-5</t>
  </si>
  <si>
    <t>13150830788</t>
  </si>
  <si>
    <t>Felipe Emerson André Alves</t>
  </si>
  <si>
    <t>http://lattes.cnpq.br/4554030397354954</t>
  </si>
  <si>
    <t xml:space="preserve">Felipe Emerson André Alves, Arnaldo Alcover Neto, Cassiano Costa e Castro, Ciro Alexandre Ávila, Danyel Pereira Avellar da Cunha, Flávia Gomes de Souza, Gabriela Pereira Silva Alves, Gabriella Fazio, Lívia Gonçalves Leida </t>
  </si>
  <si>
    <t>Distribuição de Elementos Críticos em Minerais de Minérios Pegmatíticos e Manganesíferos: Desenvolvimento de Estratégias de Caracterização por Técnicas Avançadas de Microanálise Química</t>
  </si>
  <si>
    <t>Caracterização do Minério</t>
  </si>
  <si>
    <t>15:26:37</t>
  </si>
  <si>
    <t>09:49:43</t>
  </si>
  <si>
    <t>4554030397354954</t>
  </si>
  <si>
    <t>felipe__e@hotmail.com</t>
  </si>
  <si>
    <t>- Centro de Tecnologia Mineral: (Servidor público - Pesquisador)
- Universidade Federal do Rio de Janeiro: (PROFESSOR_VISITANTE - Professor/orientador de Pós-graduação)</t>
  </si>
  <si>
    <t>402324/2026-9</t>
  </si>
  <si>
    <t>58017933053</t>
  </si>
  <si>
    <t>Fernando Ely</t>
  </si>
  <si>
    <t>http://lattes.cnpq.br/4220588050780054</t>
  </si>
  <si>
    <t xml:space="preserve">Fernando Ely, Rosalva dos Santos Marques, Fernando Graniero Echeverrigaray, Ana Kely Rufino Souza, Antonio Carlos Camargo do Amaral, Rodrigo Bonacin, Wellington Romeiro de Melo, Allan Mariano Campos da Silveira, </t>
  </si>
  <si>
    <t>Convergência Tecnológica para Desenvolvimento Acelerado de Novos Materiais para Energia Solar Fotovoltaica</t>
  </si>
  <si>
    <t>Energia Solar Fotovoltáica</t>
  </si>
  <si>
    <t>11:50:24</t>
  </si>
  <si>
    <t>11:50:30</t>
  </si>
  <si>
    <t>4220588050780054</t>
  </si>
  <si>
    <t>nandoely@hotmail.com</t>
  </si>
  <si>
    <t>- Centro de Tecnologia da Informação Renato Archer: (Servidor público - Tecnologista Sênior)
- Centro de Tecnologia da Informação Renato Archer: (Servidor público - Coordenador Parque Tecnológico e Lab. Abertos)
- Centro de Tecnologia da Informação Renato Archer: (Servidor público - Lider grupo de pesquisa CTI-Nano)
- Prefeitura Municipal de Campinas: (Membro CMCT - Membro do conselho de ciência e tecnologia)</t>
  </si>
  <si>
    <t>401883/2026-4</t>
  </si>
  <si>
    <t>21313254878</t>
  </si>
  <si>
    <t>Fernando Virgilio Roig</t>
  </si>
  <si>
    <t>http://lattes.cnpq.br/5822763057370791</t>
  </si>
  <si>
    <t xml:space="preserve">Fernando Virgilio Roig, Daniela Lazzaro, Jorge Marcio Ferreira Carvano, Filipe Vieira de Melo Monteiro, Mario Nascimento De Pra, Gustavo Oliveira Madeira, Júlio Ignácio Bueno de Camargo, Teresinha de Jesus Alvarenga </t>
  </si>
  <si>
    <t>Propriedades Físicas e Dinâmicas de Pequenos Corpos do Sistema Solar na Era dos Grandes Levantamentos Astronômicos</t>
  </si>
  <si>
    <t>Astrofísica do Sistema Solar</t>
  </si>
  <si>
    <t>18:26:24</t>
  </si>
  <si>
    <t>18:26:34</t>
  </si>
  <si>
    <t>5822763057370791</t>
  </si>
  <si>
    <t>froig@on.br</t>
  </si>
  <si>
    <t>- Observatório Nacional: (SERVIDOR_PUBLICO - Pesquisador Titular)
- Sociedade Astronômica Brasileira: (OUTRO - Membro)
- Division For Planetary Sciences Of The American Astronomical Society: (OUTRO - Affiliate Member)
- International Astronomical Union: (OUTRO - Membro da Comissão A4)
- International Astronomical Union: (OUTRO - Membro da Comissão F2)
- International Astronomical Union: (OUTRO - Membro da Comissão F4)
- Sociedade Brasileira de Física: (OUTRO - Membro)
- Javalambre Physics of the Accelerating Universe Astrophysical Survey: (COLABORADOR - Membro da colaboração)</t>
  </si>
  <si>
    <t>402347/2026-9</t>
  </si>
  <si>
    <t>00609513702</t>
  </si>
  <si>
    <t>Flávio Garcia</t>
  </si>
  <si>
    <t>http://lattes.cnpq.br/3814399624794416</t>
  </si>
  <si>
    <t xml:space="preserve">Flávio Garcia, Estefani Marchiori Dos Santos, Carmem Maia Gilardoni, Andreij de Carvalho Gadelha, Ramon Cardias Alves de Almeida, Magda Bittencourt Fontes, Obed Alves Santos, Nicholas Figueiredo Prestes, Luiz Carlos Sampaio </t>
  </si>
  <si>
    <t>PLATAFORMA INSTITUCIONAL EM MATERIAIS QUÂNTICOS, SPINTRÔNICA E ESTRUTURAS TOPOLÓGICAS PARA TECNOLOGIAS EMERGENTES</t>
  </si>
  <si>
    <t>13:44:39</t>
  </si>
  <si>
    <t>13:44:45</t>
  </si>
  <si>
    <t>3814399624794416</t>
  </si>
  <si>
    <t>fgarcia@cbpf.br</t>
  </si>
  <si>
    <t>- Centro Brasileiro de Pesquisas Físicas: (Servidor público - Pesquisador Titular II)</t>
  </si>
  <si>
    <t>402168/2026-7</t>
  </si>
  <si>
    <t>10025241648</t>
  </si>
  <si>
    <t>Flávio Luiz Martins</t>
  </si>
  <si>
    <t>http://lattes.cnpq.br/6823152912012987</t>
  </si>
  <si>
    <t>Flávio Luiz Martins, Daniele Leonel da Rocha, Cláudia Duarte da Cunha, Marisa Nascimento, Raulim de Oliveira Galvao</t>
  </si>
  <si>
    <t xml:space="preserve">Biolixiviação de minério de cobre de baixo teor </t>
  </si>
  <si>
    <t>10:38:25</t>
  </si>
  <si>
    <t>09:56:47</t>
  </si>
  <si>
    <t>6823152912012987</t>
  </si>
  <si>
    <t>flaviol_martins@hotmail.com</t>
  </si>
  <si>
    <t>402188/2026-8</t>
  </si>
  <si>
    <t>31444200852</t>
  </si>
  <si>
    <t>Flávio Makoto Shimizu</t>
  </si>
  <si>
    <t>http://lattes.cnpq.br/6373169065369486</t>
  </si>
  <si>
    <t xml:space="preserve">Flávio Makoto Shimizu, Juliana Kelmy Macário Barboza Daguano, Luciana Daniele Trino Albano, Caio Cesar de Lima Silva, Bruno Felipe Silva Orta, Gabriel Caio Kokkonias e Castro, Larissa Mayra Silva Ribeiro, Serguei Balachov, Fabio </t>
  </si>
  <si>
    <t>Desenvolvimento de sistemas sensoriais para aplicação em amostras de relevância clínica e ambiental</t>
  </si>
  <si>
    <t>Materiais Dielétricos e Propriedades Dielétricas</t>
  </si>
  <si>
    <t>16:12:09</t>
  </si>
  <si>
    <t>09:58:00</t>
  </si>
  <si>
    <t>6373169065369486</t>
  </si>
  <si>
    <t>fmshimizu@yahoo.com.br</t>
  </si>
  <si>
    <t>- Universidade Estadual de Campinas: (COLABORADOR - Pesquisador)
- Centro de Tecnologia da Informação Renato Archer: (Servidor público - Pesquisador)
- Fundação Oswaldo Cruz: (em branco)</t>
  </si>
  <si>
    <t>402105/2026-5</t>
  </si>
  <si>
    <t>01511596708</t>
  </si>
  <si>
    <t>Frederic Gerard Christian Valentin</t>
  </si>
  <si>
    <t>http://lattes.cnpq.br/1428271995660671</t>
  </si>
  <si>
    <t xml:space="preserve">Frederic Gerard Christian Valentin, Weslley da Silva Pereira, Juan Felipe Pacazuca Santiago, Leonardo Fagundes de Mello, Antônio Tadeu Azevedo Gomes, Guilherme Ozanski Fauraux de Moraes, Gabriel Raúl Barrenechea Gutiérrez, </t>
  </si>
  <si>
    <t>Métodos numéricos multiescalas para modelos hidro-geomecânicos lineares e não-lineares: desenvolvimento e interface com IA</t>
  </si>
  <si>
    <t>23:16:06</t>
  </si>
  <si>
    <t>09:52:59</t>
  </si>
  <si>
    <t>1428271995660671</t>
  </si>
  <si>
    <t>fgcval@gmail.com</t>
  </si>
  <si>
    <t>- Laboratório Nacional de Computação Científica: (Servidor público - Pesquisadr Titular nivel II)
- Laboratório Nacional de Computação Científica: (Chefia da Coord. de Metod. Matem. e Comp.)
- Coordenação de Aperfeiçoamento de Pessoal de Nível Superior: (Membro de comitê assessor)
- Universidade Federal do Rio de Janeiro: (em branco)</t>
  </si>
  <si>
    <t>402211/2026-0</t>
  </si>
  <si>
    <t>99439220104</t>
  </si>
  <si>
    <t>Frederico Fernandes de Ávila</t>
  </si>
  <si>
    <t>http://lattes.cnpq.br/3780135653682423</t>
  </si>
  <si>
    <t xml:space="preserve">Frederico Fernandes de Ávila, André Aparecido de Souza Ivo, Carla Corrêa Prieto, Cristiano Wickboldt Eichholz, Débora Olivato, Eduardo Fávero Pacheco da Luz, Giovanni Dolif Neto, Harideva Marturano Egas, João Paulo de </t>
  </si>
  <si>
    <t>Modelagem de Desastres Geohidrológicos e Climáticos Extremos - MODEX</t>
  </si>
  <si>
    <t>PROGRAMA BASICO DE ENGENHARIA CIVIL</t>
  </si>
  <si>
    <t>EC</t>
  </si>
  <si>
    <t>Geotécnica</t>
  </si>
  <si>
    <t>16:30:29</t>
  </si>
  <si>
    <t>09:59:17</t>
  </si>
  <si>
    <t>3780135653682423</t>
  </si>
  <si>
    <t>frederico.avila@cemaden.gov.br</t>
  </si>
  <si>
    <t>- Centro Nacional de Monitoramento e Alertas de Desastres Naturais: (Servidor público - Pesquisador)</t>
  </si>
  <si>
    <t>402264/2026-6</t>
  </si>
  <si>
    <t>03704986151</t>
  </si>
  <si>
    <t>Frederico Ramos Oliveira</t>
  </si>
  <si>
    <t>http://lattes.cnpq.br/2791932279957633</t>
  </si>
  <si>
    <t xml:space="preserve">Frederico Ramos Oliveira, Raíssa da Veiga de Menêses, Tiago Emmanuel Nunes Braga, Tainá Batista de Assis, Larissa de Araújo Alves, Leonardo Hermes Lemos, Janinne Barcelos de Morais Silva, Ana Cristina Gonçalves dos </t>
  </si>
  <si>
    <t>Falei sobre Ciência: percepção pública sobre a Ciência em redes sociais online</t>
  </si>
  <si>
    <t>17:23:19</t>
  </si>
  <si>
    <t>10:02:37</t>
  </si>
  <si>
    <t>2791932279957633</t>
  </si>
  <si>
    <t>freddroliveira@gmail.com</t>
  </si>
  <si>
    <t>- Universidade Federal de Goiás: (Voluntário - Pesquisador)
- Instituto Brasileiro de Informação em Ciência e Tecnologia: (Servidor público - Tecnologista)
- Universidade Federal da Bahia: (Voluntário - Pesquisador)</t>
  </si>
  <si>
    <t>402161/2026-2</t>
  </si>
  <si>
    <t>03425387138</t>
  </si>
  <si>
    <t>Gabriella Fazio</t>
  </si>
  <si>
    <t>http://lattes.cnpq.br/0927056015240502</t>
  </si>
  <si>
    <t>Gabriella Fazio, Otávio da Fonseca Martins Gomes, Felipe Emerson André Alves, Reiner Neumann, Luiz Carlos Bertolino, Elder Yokoyama, Plinio Francisco Jaqueto, Gabriela Pereira Silva Alves</t>
  </si>
  <si>
    <t>FERRO.BR: Coleção Mineralógica do Ferro Brasileiro</t>
  </si>
  <si>
    <t>14:57:13</t>
  </si>
  <si>
    <t>09:56:21</t>
  </si>
  <si>
    <t>0927056015240502</t>
  </si>
  <si>
    <t>faziogabriella@gmail.com</t>
  </si>
  <si>
    <t>- Centro de Tecnologia Mineral: (Servidor público - Pesquisadora)</t>
  </si>
  <si>
    <t>401039/2026-9</t>
  </si>
  <si>
    <t>09006413801</t>
  </si>
  <si>
    <t>Gilson Antonio Giraldi</t>
  </si>
  <si>
    <t>http://lattes.cnpq.br/9950879952262717</t>
  </si>
  <si>
    <t xml:space="preserve">Gilson Antonio Giraldi, Fabio Andre Machado Porto, Roberto Pinto Souto, Pascoassis Souza Santos Meira, Lorran de Araújo Durães Soares, Marcelo Bernardes Vieira, Rafael Duarte Coelho dos Santos, Mariana Doria Prata Lima, </t>
  </si>
  <si>
    <t>Fundamentos Matemáticos em Modelos Profundos para Processamento de Imagens Médicas e de Sensoriamento Remoto</t>
  </si>
  <si>
    <t>16:52:56</t>
  </si>
  <si>
    <t>16:53:10</t>
  </si>
  <si>
    <t>9950879952262717</t>
  </si>
  <si>
    <t>gilson@lncc.br</t>
  </si>
  <si>
    <t>- Laboratório Nacional de Computação Científica: (Servidor público - Pesquisador Associado III)
- Laboratório Nacional de Computação Científica: (Servidor público - Professor Permanente PG-LNCC)
- Laboratório Nacional de Computação Científica: (Servidor público - Professor da Pós-Graduação NanoBiossistemas)
- Laboratório Nacional de Computação Científica: (Servidor público - Suplente banca de seleção do Nanobiosistemas)
- Laboratório Nacional de Computação Científica: (Servidor público - Membro da Comissão de Avaliação e Seleção)
- Laboratório Nacional de Computação Científica: (Servidor público - Pesquisador Titular - U - Nivel II)
- Universidade Federal do Rio de Janeiro: (em branco)</t>
  </si>
  <si>
    <t>Hugo Saraiva Tavares</t>
  </si>
  <si>
    <t>- Laboratório Nacional de Computação Científica: (Servidor público - Pesquisador)</t>
  </si>
  <si>
    <t>402205/2026-0</t>
  </si>
  <si>
    <t>26984109817</t>
  </si>
  <si>
    <t>Gilson Yuuji Shimizu</t>
  </si>
  <si>
    <t>http://lattes.cnpq.br/7533681983634233</t>
  </si>
  <si>
    <t xml:space="preserve">Gilson Yuuji Shimizu, Paulo Andrade Lotufo, Isabela Judith Martins Bensenor, Itamar de Souza Santos, Rodrigo Bonacin, Marilyn Minicucci Ibanez, Paulo Henrique Junqueira Amorim, Fernando Rezende Zagatti, Matheus </t>
  </si>
  <si>
    <t>Plataforma de inteligência artificial para tomada de decisão em saúde com dados epidemiológicos brasileiros ELSA-BRASIL e IARA-SAUDE</t>
  </si>
  <si>
    <t>14:20:27</t>
  </si>
  <si>
    <t>7533681983634233</t>
  </si>
  <si>
    <t>gyshimizu@cti.gov.br</t>
  </si>
  <si>
    <t>- Centro de Tecnologia da Informação Renato Archer: (Servidor público - Pesquisador ciência de dados e estatística)</t>
  </si>
  <si>
    <t>402330/2026-9</t>
  </si>
  <si>
    <t>61283975734</t>
  </si>
  <si>
    <t>Gilvan Augusto Alves</t>
  </si>
  <si>
    <t>http://lattes.cnpq.br/3867411698026346</t>
  </si>
  <si>
    <t xml:space="preserve">Gilvan Augusto Alves, Antonio Vilela Pereira, Maria Clemencia Rosario Mora Herrera, Ulisses de Freitas Carneiro da Graça, Rodrigo Felix de Araujo Cardoso, Luis Miguel Domingues Mendes, André Massafferri Rodrigues, Fabio Marujo </t>
  </si>
  <si>
    <t>Instrumentação científica na fronteira do conhecimento: Impulsionando Tecnologias Inovadoras em sensores, detectores e microeletrônica</t>
  </si>
  <si>
    <t>Física das Partículas Elementares e Campos</t>
  </si>
  <si>
    <t>12:06:00</t>
  </si>
  <si>
    <t>12:06:09</t>
  </si>
  <si>
    <t>3867411698026346</t>
  </si>
  <si>
    <t>gilvan@cern.ch</t>
  </si>
  <si>
    <t>- Centro Brasileiro de Pesquisas Físicas: (Servidor público - Pesquisador Titular)
- European Organization for Nuclear Research: (COLABORADOR - Pesquisador)</t>
  </si>
  <si>
    <t>402111/2026-5</t>
  </si>
  <si>
    <t>03344534963</t>
  </si>
  <si>
    <t>Gisele Maria Leite Dalmônico</t>
  </si>
  <si>
    <t>http://lattes.cnpq.br/1179130742401967</t>
  </si>
  <si>
    <t>Gisele Maria Leite Dalmônico, Evelyn Christyan da Silva Santos, André Linhares Rossi, Camila Hübner Costabile Wendt, Andréa Machado Costa, Elena Mavropoulos Oliveira Tude, Carlos Alberto Soriano de Souza</t>
  </si>
  <si>
    <t>NOVOS MATERIAIS DE BASE NANOTECNOLOGIA PARA DIAGNÓSTICO E TRATAMENTO DE DOENÇAS ÓSSEAS</t>
  </si>
  <si>
    <t>Engenharia de Tecidos</t>
  </si>
  <si>
    <t>19:04:20</t>
  </si>
  <si>
    <t>09:53:20</t>
  </si>
  <si>
    <t>1179130742401967</t>
  </si>
  <si>
    <t>gidalmonico@gmail.com</t>
  </si>
  <si>
    <t>- Centro Brasileiro de Pesquisas Físicas: (Servidor público - Pesquisadora Tecnologista em MET)
- Universidade Estadual de Goiás: (em branco)</t>
  </si>
  <si>
    <t>402334/2026-4</t>
  </si>
  <si>
    <t>36392884831</t>
  </si>
  <si>
    <t>Guilherme Arthur Longhitano</t>
  </si>
  <si>
    <t>http://lattes.cnpq.br/3771981586851182</t>
  </si>
  <si>
    <t xml:space="preserve">Guilherme Arthur Longhitano, Eduardo Bertoni da Fonseca, Flávio Makoto Shimizu, Gabriel Caio Kokkonias e Castro, Leonardo Mendes Ribeiro Machado, Paulo Henrique Junqueira Amorim, Railson Bolsoni Falcão, Pedro </t>
  </si>
  <si>
    <t>Manufatura aditiva e funcionalização de superfície de Poliéter-Éter-Cetona para o uso direto em próteses ortopédicas</t>
  </si>
  <si>
    <t>Biomateriais e Biofabricação</t>
  </si>
  <si>
    <t>12:12:12</t>
  </si>
  <si>
    <t>12:12:17</t>
  </si>
  <si>
    <t>3771981586851182</t>
  </si>
  <si>
    <t>guilonghita@hotmail.com</t>
  </si>
  <si>
    <t>- Centro de Tecnologia da Informação Renato Archer: (Servidor público - Pesquisador)
- Centro de Tecnologia da Informação Renato Archer: (Servidor público - Subchefe da DITPS)
- Extensão - Universidade Estadual de Campinas: (Contrato temporário - Docente)</t>
  </si>
  <si>
    <t>401927/2026-1</t>
  </si>
  <si>
    <t>11013350766</t>
  </si>
  <si>
    <t>Guilherme de Resende Camara</t>
  </si>
  <si>
    <t>http://lattes.cnpq.br/8820975403827849</t>
  </si>
  <si>
    <t xml:space="preserve">Guilherme de Resende Camara, Leonardo Luiz Lyrio da Silveira, Mariane Costalonga de Aguiar, Fabrício Bagli Siqueira, Elton Souza dos Santos, Evanizis Dias Frizzera Castilho, Luís Carlos Iuñes de Oliveira Filho, Felipe Ogliari </t>
  </si>
  <si>
    <t>Desenvolvimento Tecnológico de Fertilizantes Minerais Sustentáveis a Partir de Resíduos de Rochas Artificiais: Integração entre Economia Circular, Segurança Ambiental e Agricultura.</t>
  </si>
  <si>
    <t>08:19:55</t>
  </si>
  <si>
    <t>08:20:03</t>
  </si>
  <si>
    <t>8820975403827849</t>
  </si>
  <si>
    <t>camara.gdr@gmail.com</t>
  </si>
  <si>
    <t>- Centro de Tecnologia Mineral: (Servidor público - Pesquisador)
- CENTRO DE TECNOLOGIA MINERAL - NÚCLEO REGIONAL DO ESPÍRITO SANTO: (em branco)
- Associação Brasileira de Normas Técnicas: (Membro de comitê assessor)
- Instituto Chico Mendes de Conservação da Biodiversidade: (Membro de comitê assessor)
- Prefeitura Municipal de Cachoeiro de Itapemirim: (Membro de comitê assessor)</t>
  </si>
  <si>
    <t>402164/2026-1</t>
  </si>
  <si>
    <t>05743679690</t>
  </si>
  <si>
    <t>Gustavo Silva Saldanha</t>
  </si>
  <si>
    <t>http://lattes.cnpq.br/6143079905555041</t>
  </si>
  <si>
    <t xml:space="preserve">Gustavo Silva Saldanha, Luana Farias Sales Marques, Fabio Castro Gouveia, Regina Maria Marteleto, Franciéle Carneiro Garcês da Silva, Stella Moreira Dourado, Jessiane Sousa do Espirito Santo, Nicoli Fabiani Gomes Pereira, </t>
  </si>
  <si>
    <t>Editoração científica em informação para transformação social: caminhos da justiça informacional através de cooperação, redes e internacionalização da produção das publicações monográficas do Instituto Brasileiro de Informação em Ciência e Tecnologia</t>
  </si>
  <si>
    <t>Biblioteconomia</t>
  </si>
  <si>
    <t>15:44:39</t>
  </si>
  <si>
    <t>09:56:34</t>
  </si>
  <si>
    <t>6143079905555041</t>
  </si>
  <si>
    <t>gustavosaldanha@ibict.br</t>
  </si>
  <si>
    <t>- Universidade Federal do Estado do Rio de Janeiro: (Professor Adjunto)
- Universidade Federal do Estado do Rio de Janeiro: (Servidor público - Professor Adjunto)
- Universidade Federal do Estado do Rio de Janeiro: (Servidor público - Professor Adjunto)
- Universidade Federal do Estado do Rio de Janeiro: (Professor adjunto)
- Instituto Brasileiro de Informação em Ciência e Tecnologia: (Servidor público - Pesquisador adjunto)
- Instituto Brasileiro de Informação em Ciência e Tecnologia: (Pesquisador adjunto)
- Instituto Brasileiro de Informação em Ciência e Tecnologia: (Pesquisador adjunto)
- Instituto Brasileiro de Informação em Ciência e Tecnologia: (Servidor público - Pesquisador adjunto)
- Instituto Brasileiro de Informação em Ciência e Tecnologia: (Membro de comitê assessor)
- Instituto Brasileiro de Informação em Ciência e Tecnologia: (Pesquisador Adjunto)
- Instituto Brasileiro de Informação em Ciência e Tecnologia: (Servidor público - Pesquisador Adjunto)
- Instituto Brasileiro de Informação em Ciência e Tecnologia: (Servidor público - Pesquisador Adjunto)
- Instituto Brasileiro de Informação em Ciência e Tecnologia: (Servidor público - Pesquisador adjunto)
- Instituto Brasileiro de Informação em Ciência e Tecnologia: (Servidor público - Pesquisador Adjunto)
- Université Toulouse III Paul Sabatier: (em branco)
- Instituto Brasileiro de Informação em Ciência e Tecnologia: (em branco)</t>
  </si>
  <si>
    <t>401977/2026-9</t>
  </si>
  <si>
    <t>02219892930</t>
  </si>
  <si>
    <t>Henrique Denes Hilgenberg Fernandes</t>
  </si>
  <si>
    <t>http://lattes.cnpq.br/7238865806827691</t>
  </si>
  <si>
    <t>Henrique Denes Hilgenberg Fernandes, Fabio Castro Gouveia, Marcos Pereira de Novais, Janailton Lopes Sousa, Waldemar Cordeiro de Moraes</t>
  </si>
  <si>
    <t>Modelos de Governança para gestão e avaliação de acordos de Cooperação Internacional no Sul Global: estudo sobre a viabilidade do uso de Smart Contracts</t>
  </si>
  <si>
    <t>Processos da Comunicação</t>
  </si>
  <si>
    <t>15:59:14</t>
  </si>
  <si>
    <t>15:59:22</t>
  </si>
  <si>
    <t>7238865806827691</t>
  </si>
  <si>
    <t>denes@ibict.br</t>
  </si>
  <si>
    <t>- Universidade Federal do Paraná: (Servidor público - Docente permanente)
- Instituto Brasileiro de Informação em Ciência e Tecnologia: (Tecnologista Senior)
- Instituto Brasileiro de Informação em Ciência e Tecnologia: (Servidor público - Coordenador de Planejamento, Acompanhamento e)
- International Federation of Library Associations and Institutions: (Volunteer - Volunteer)</t>
  </si>
  <si>
    <t>402058/2026-7</t>
  </si>
  <si>
    <t>09924101421</t>
  </si>
  <si>
    <t>Hiago Mayk Gomes de Araújo Rocha</t>
  </si>
  <si>
    <t>http://lattes.cnpq.br/8662578168161845</t>
  </si>
  <si>
    <t>Hiago Mayk Gomes de Araújo Rocha, Carla Osthoff Ferreira de Barros, Antonio Carlos Schneider Beck Filho</t>
  </si>
  <si>
    <t>Otimização Energética de Aplicações Conteinerizadas em Ambientes de Data Warehouses e HPC Baseados em Arquiteturas Heterogêneas</t>
  </si>
  <si>
    <t>Arquitetura de Sistemas de Computação</t>
  </si>
  <si>
    <t>11:51:08</t>
  </si>
  <si>
    <t>09:50:01</t>
  </si>
  <si>
    <t>8662578168161845</t>
  </si>
  <si>
    <t>maykhiago@gmail.com</t>
  </si>
  <si>
    <t>- Laboratório Nacional de Computação Científica: (Servidor público - Pesquisador Adjunto)</t>
  </si>
  <si>
    <t>402287/2026-6</t>
  </si>
  <si>
    <t>Hardware</t>
  </si>
  <si>
    <t>09:54:08</t>
  </si>
  <si>
    <t>10:04:00</t>
  </si>
  <si>
    <t>402165/2026-8</t>
  </si>
  <si>
    <t>07764311707</t>
  </si>
  <si>
    <t>Hudson Jean Bianquini Couto</t>
  </si>
  <si>
    <t>http://lattes.cnpq.br/3070520203037882</t>
  </si>
  <si>
    <t>Hudson Jean Bianquini Couto, Elves Matiolo, Thalia Lopes de Sousa, Gabriel Dutra De Oliveira, Yuri Soares, Bárbara Monsores Simioni, Rahija Lopes Silva Gomes Garcia, Eloisa Maria Fonseca Pereira</t>
  </si>
  <si>
    <t xml:space="preserve">Estudos de concentração mineral por meio de flotação e métodos </t>
  </si>
  <si>
    <t>Métodos de Concentração e Enriquecimento de Minérios</t>
  </si>
  <si>
    <t>12:14:30</t>
  </si>
  <si>
    <t>09:56:37</t>
  </si>
  <si>
    <t>Instituto Federal de Educação, Ciência e Tecnologia do Rio de Janeiro</t>
  </si>
  <si>
    <t>IFRJ</t>
  </si>
  <si>
    <t>3070520203037882</t>
  </si>
  <si>
    <t>hjeanrj@yahoo.com.br</t>
  </si>
  <si>
    <t>- Centro de Tecnologia Mineral: (Tecnologista Pleno)
- Instituto Federal de Educação, Ciência e Tecnologia do Rio de Janeiro: (Servidor público - Prof. do ensino básico, técnico e tecnológico)</t>
  </si>
  <si>
    <t>402382/2026-9</t>
  </si>
  <si>
    <t>08969682430</t>
  </si>
  <si>
    <t>http://lattes.cnpq.br/1993746822546408</t>
  </si>
  <si>
    <t>Hugo Saraiva Tavares, Antonio André Novotny</t>
  </si>
  <si>
    <t>Desenvolvimento de Metodologias de Otimização Topológica para Dinâmica dos Fluidos via Método Lattice Boltzmann</t>
  </si>
  <si>
    <t>Fenômenos de Transporte</t>
  </si>
  <si>
    <t>19:29:23</t>
  </si>
  <si>
    <t>19:29:33</t>
  </si>
  <si>
    <t>1993746822546408</t>
  </si>
  <si>
    <t>hugo.saraivacz@hotmail.com</t>
  </si>
  <si>
    <t>402327/2026-8</t>
  </si>
  <si>
    <t>61075094704</t>
  </si>
  <si>
    <t>Ignacio Alfonso de Bediaga e Hickman</t>
  </si>
  <si>
    <t>http://lattes.cnpq.br/2391150803081508</t>
  </si>
  <si>
    <t>Ignacio Alfonso de Bediaga e Hickman, Rafael Silva Coutinho, Eraldo Silva Junior, Juan Baptista de Souza Leite, Bernardo Machado de Oliveira Fraga, Clécio Roque de Bom, Marcelo Portes de Albuquerque, Paulo Jose Russano</t>
  </si>
  <si>
    <t>Desenvolvimento de Inteligência Artificial avançada para Ciência de Fronteira</t>
  </si>
  <si>
    <t>12:02:43</t>
  </si>
  <si>
    <t>12:02:50</t>
  </si>
  <si>
    <t>2391150803081508</t>
  </si>
  <si>
    <t>bediaga@cbpf.br</t>
  </si>
  <si>
    <t>- Centro Brasileiro de Pesquisas Físicas: (Servidor público ou celetista - PROFESSOR_TITULAR)
- Centro Brasileiro de Pesquisas Físicas: (SERVIDOR_PUBLICO - Membro pleno do CTC do CBPF)</t>
  </si>
  <si>
    <t>402056/2026-4</t>
  </si>
  <si>
    <t>79434320968</t>
  </si>
  <si>
    <t>Ilemar Christina Lansoni Wey Berti</t>
  </si>
  <si>
    <t>http://lattes.cnpq.br/5248079505422092</t>
  </si>
  <si>
    <t>Ilemar Christina Lansoni Wey Berti, Adriana Regina de Jesus</t>
  </si>
  <si>
    <t>Desenvolvimento de Programa e Infraestrutura Informacional para a Formação Cidadã</t>
  </si>
  <si>
    <t>23:16:33</t>
  </si>
  <si>
    <t>09:49:53</t>
  </si>
  <si>
    <t>5248079505422092</t>
  </si>
  <si>
    <t>christinaberti@uel.br</t>
  </si>
  <si>
    <t>- Universidade Federal de Minas Gerais: (COLABORADOR - Pesquisador - Grupo de pesquisa)
- Universidade Estadual de Londrina: (COLABORADOR - Pesquisador - Grupo de pesquisa)
- Universidade Estadual de Londrina: (COLABORADOR - Professor de Pós-graduação)
- Instituto Brasileiro de Informação em Ciência e Tecnologia: (Servidor público - Pesquisador - Adjunto I)</t>
  </si>
  <si>
    <t>402335/2026-0</t>
  </si>
  <si>
    <t>64448525791</t>
  </si>
  <si>
    <t>Ivan dos Santos Oliveira Júnior</t>
  </si>
  <si>
    <t>http://lattes.cnpq.br/4615763566978537</t>
  </si>
  <si>
    <t xml:space="preserve">Ivan dos Santos Oliveira Júnior, Gabriel Horacio Aguilar, João Paulo Sinnecker, Roberto Silva Sarthour Junior, Alexandre Martins de Souza, Davi Araujo Dalbuquerque Chaves, Carmem Maia Gilardoni, Luis Miguel Domingues </t>
  </si>
  <si>
    <t xml:space="preserve">Capacitação Institucional em Tecnologias Quânticas: Desenvolvimento de Infraestrutura, Instrumentação e Formação de Competências Estratégicas </t>
  </si>
  <si>
    <t>12:19:02</t>
  </si>
  <si>
    <t>12:19:11</t>
  </si>
  <si>
    <t>4615763566978537</t>
  </si>
  <si>
    <t>ivans0565@gmail.com</t>
  </si>
  <si>
    <t>- Centro Brasileiro de Pesquisas Físicas: (SERVIDOR_PUBLICO - Pesquisador Titular III)</t>
  </si>
  <si>
    <t>402332/2026-1</t>
  </si>
  <si>
    <t>05013137373</t>
  </si>
  <si>
    <t>Janailton Lopes Sousa</t>
  </si>
  <si>
    <t>http://lattes.cnpq.br/0207144049736436</t>
  </si>
  <si>
    <t>Janailton Lopes Sousa, Maurício José Morais Costa, Valdirene Pereira da Conceição, Paulo George Miranda Martins, Henrique Denes Hilgenberg Fernandes, Joyce Mirella dos Anjos Viana, Dulce Hirli Almeida Vigatto</t>
  </si>
  <si>
    <t xml:space="preserve"> Digital Twins: estudo aplicado à gestão estratégica do conhecimento institucional em ambiente de simulação virtual.</t>
  </si>
  <si>
    <t>Representação da Informação</t>
  </si>
  <si>
    <t>12:07:00</t>
  </si>
  <si>
    <t>0207144049736436</t>
  </si>
  <si>
    <t>janailtonlopes20@hotmail.com</t>
  </si>
  <si>
    <t>- Instituto Brasileiro de Informação em Ciência e Tecnologia: (SERVIDOR_PUBLICO - Tecnologista)</t>
  </si>
  <si>
    <t>402124/2026-0</t>
  </si>
  <si>
    <t>46168834320</t>
  </si>
  <si>
    <t>Jauvane Cavalcante de Oliveira</t>
  </si>
  <si>
    <t>http://lattes.cnpq.br/4054756781423727</t>
  </si>
  <si>
    <t>Jauvane Cavalcante de Oliveira, Lorran Reder Ferreira, Graziele Weinchutz Kapps, Antônio Luiz Carlucio Doneda, Thiago Malheiros Porcino</t>
  </si>
  <si>
    <t>Ambientes de Realidade Virtual, Aumentada e Estendida  AmRVRARE</t>
  </si>
  <si>
    <t>23:59:31</t>
  </si>
  <si>
    <t>09:54:06</t>
  </si>
  <si>
    <t>4054756781423727</t>
  </si>
  <si>
    <t>email@jauvane.com</t>
  </si>
  <si>
    <t>- University of Ottawa: (OUTRO - Membro Honorario)
- Instituto Militar de Engenharia: (COLABORADOR - Coladorador)
- Laboratório Nacional de Computação Científica: (Pesquisador Associado III)
- Centro de Análises de Sistemas Navais: (em branco)</t>
  </si>
  <si>
    <t>402269/2026-8</t>
  </si>
  <si>
    <t>90532503104</t>
  </si>
  <si>
    <t>Jilian Nei de Freitas</t>
  </si>
  <si>
    <t>http://lattes.cnpq.br/7895583848892635</t>
  </si>
  <si>
    <t xml:space="preserve">Jilian Nei de Freitas, Kayo de Oliveira Vieira, Ednan Joanni, José Maria Clemente da Silva Filho, Wesley Brito Jalil da Fonseca, Daniel Marchesi de Camargo Neves, Talita Mazon, Caique Serati de Brito, Lucas Gavião Rocha, Andreia de </t>
  </si>
  <si>
    <t xml:space="preserve">Capacitação em Transição Energética: Minerais Estratégicos e Nanotecnologia para o Desenvolvimento de Dispositivos Conversores de Energia </t>
  </si>
  <si>
    <t>15:58:52</t>
  </si>
  <si>
    <t>10:02:55</t>
  </si>
  <si>
    <t>7895583848892635</t>
  </si>
  <si>
    <t>jilianfreitas.w@gmail.com</t>
  </si>
  <si>
    <t>- Centro de Tecnologia da Informação Renato Archer: (Servidor público - Tecnologista)
- Centro de Tecnologia da Informação Renato Archer: (Servidor público - Substituta Coord.-Geral Projetos e Serviços)
- Conselho Nacional de Desenvolvimento Científico e Tecnológico: (Membro de comitê assessor)
- Ministério da Ciência, Tecnologia e Inovação: (Membro de comitê assessor)</t>
  </si>
  <si>
    <t>402252/2026-8</t>
  </si>
  <si>
    <t>07781275837</t>
  </si>
  <si>
    <t>João Paulo Sinnecker</t>
  </si>
  <si>
    <t>http://lattes.cnpq.br/1780625138295201</t>
  </si>
  <si>
    <t xml:space="preserve">João Paulo Sinnecker, Nilton Alves Junior, Roberto Silva Sarthour Junior, Roberta Dutra de Oliveira Pinto, Felipe Tovar Falciano, Tatiana Gabriela Rappoport, Talita Gama de Sousa, Rafael Silva Coutinho, Flávia Pinto Leiroz, </t>
  </si>
  <si>
    <t>Comunicação, Popularização e Divulgação para o Letramento Científico (CIPop CBPF)</t>
  </si>
  <si>
    <t>13:42:16</t>
  </si>
  <si>
    <t>10:02:00</t>
  </si>
  <si>
    <t>1780625138295201</t>
  </si>
  <si>
    <t>sinnecker@cbpf.br</t>
  </si>
  <si>
    <t>- Centro Brasileiro de Pesquisas Físicas: (SERVIDOR_PUBLICO - Coordenador de Pós Graduação)
- Centro Brasileiro de Pesquisas Físicas: (SERVIDOR_PUBLICO - Pesquisador Titular III)</t>
  </si>
  <si>
    <t>402152/2026-3</t>
  </si>
  <si>
    <t>00306366711</t>
  </si>
  <si>
    <t>Joaquim Augusto Pinto Rodrigues</t>
  </si>
  <si>
    <t>http://lattes.cnpq.br/0116951988047801</t>
  </si>
  <si>
    <t>Joaquim Augusto Pinto Rodrigues, Rosana Carvalho Esteves, Vânia Mori, Carlos Alberto da Silva, Javier Alejandro Carreno Velasco</t>
  </si>
  <si>
    <t>Capacitação Institucional para Validação e Verificação de Emissões de GEE e  Certificação de Origem do Biometano</t>
  </si>
  <si>
    <t>12:05:09</t>
  </si>
  <si>
    <t>09:55:51</t>
  </si>
  <si>
    <t>0116951988047801</t>
  </si>
  <si>
    <t>augusto.rodrigues@int.gov.br</t>
  </si>
  <si>
    <t>- Instituto Nacional de Tecnologia: (tecnologista)</t>
  </si>
  <si>
    <t>402405/2026-9</t>
  </si>
  <si>
    <t>08979595743</t>
  </si>
  <si>
    <t>Jorge Eduardo Mansur Serzedello</t>
  </si>
  <si>
    <t>http://lattes.cnpq.br/1068659961459511</t>
  </si>
  <si>
    <t>Jorge Eduardo Mansur Serzedello, Josina Oliveira do Nascimento, Rodrigo Cassaro Resende, Alex Sandro de Souza de Oliveira, Péricles Vanzella Amim, Eugênio Reis Neto, Diogo Teixeira de Andrade Ferreira Gomes</t>
  </si>
  <si>
    <t xml:space="preserve">ON Vive-Ciência: Plataforma Virtual Imersiva e Acessível para Ensino e Divulgação Científica </t>
  </si>
  <si>
    <t>23:06:34</t>
  </si>
  <si>
    <t>23:06:43</t>
  </si>
  <si>
    <t>1068659961459511</t>
  </si>
  <si>
    <t>jemansur@gmail.com</t>
  </si>
  <si>
    <t>- Observatório Nacional: (Servidor público - Tecnologista)
- Centro Universitário Carioca: (em branco)</t>
  </si>
  <si>
    <t>401947/2026-2</t>
  </si>
  <si>
    <t>Abordagens efetivas para a Eletrodinâmica e Gravidade Quânticas</t>
  </si>
  <si>
    <t>11:45:48</t>
  </si>
  <si>
    <t>11:45:54</t>
  </si>
  <si>
    <t>402387/2026-0</t>
  </si>
  <si>
    <t>34349723900</t>
  </si>
  <si>
    <t>Josue Junior Guimaraes Ramos</t>
  </si>
  <si>
    <t>http://lattes.cnpq.br/9547510786414353</t>
  </si>
  <si>
    <t>Josue Junior Guimaraes Ramos, Vinicius Vono Peruzzi, Marcel de Almeida, Marcos Vinicius Cruz, Douglas Alexandre de Sousa, Gabriel Teixeira Brasil, Marilyn Minicucci Ibanez, Murillo Rehder Batista</t>
  </si>
  <si>
    <t xml:space="preserve"> IA Multimodal Incorporada em Robôs:, Hardware, Software, Dispositivos de Borda , Provas de Conceito em Interação Humano Robô</t>
  </si>
  <si>
    <t>20:13:05</t>
  </si>
  <si>
    <t>20:13:11</t>
  </si>
  <si>
    <t>9547510786414353</t>
  </si>
  <si>
    <t>josue.ramos@cti.gov.br</t>
  </si>
  <si>
    <t>- Conselho Nacional de Desenvolvimento Científico e Tecnológico: (Membro de comitê assessor)
- Fundação de Amparo à Pesquisa do Estado de São Paulo: (Membro de comitê assessor)
- Financiadora de Estudos e Projetos: (Membro de comitê assessor)
- Centro de Tecnologia da Informação Renato Archer: (Servidor público - Pesquisador)
- Centro Universitário de Jaguariúna: (CELETISTA - Professor - Inteligencia Artifical Embarcada)
- Centro Universitário Campo Limpo Paulista: (Bolsista - Prof  do Prog de Pos em Ciencia da Computação)</t>
  </si>
  <si>
    <t>402285/2026-3</t>
  </si>
  <si>
    <t>29774750870</t>
  </si>
  <si>
    <t>Juliana Kelmy Macário Barboza Daguano</t>
  </si>
  <si>
    <t>http://lattes.cnpq.br/3896619537030413</t>
  </si>
  <si>
    <t xml:space="preserve">Juliana Kelmy Macário Barboza Daguano, Pedro Yoshito Noritomi, Sônia Maria Malmonge, Larissa Mayra Silva Ribeiro, Claudinei dos Santos, Luciana Daniele Trino Albano, Caio Cesar de Lima Silva, Flávio Makoto Shimizu, </t>
  </si>
  <si>
    <t>Programa Institucional em Biofabricação do CTI Renato Archer - Fase 2: Desenvolvimento de dispositivos bone-on-chip visando Novas Abordagens Metodológicas (NAMs)</t>
  </si>
  <si>
    <t>21:26:12</t>
  </si>
  <si>
    <t>10:03:53</t>
  </si>
  <si>
    <t>3896619537030413</t>
  </si>
  <si>
    <t>juliana.daguano@cti.gov.br</t>
  </si>
  <si>
    <t>- Universidade Federal do ABC: (Servidor público - Professor Associado)
- Centro de Tecnologia da Informação Renato Archer: (Servidor público - Diretora)
- Universidade de São Paulo: (em branco)
- Ministério de Ciência, Tecnologia e Inovação: (Membro de comitê assessor)
- Ministério de Ciência, Tecnologia e Inovação: (Membro de comitê assessor)
- Ministério de Ciência, Tecnologia e Inovação: (Membro de comitê assessor)</t>
  </si>
  <si>
    <t>402004/2026-4</t>
  </si>
  <si>
    <t>67320716704</t>
  </si>
  <si>
    <t>Julio Cesar Guedes Correia</t>
  </si>
  <si>
    <t>http://lattes.cnpq.br/8232304691647043</t>
  </si>
  <si>
    <t>Julio Cesar Guedes Correia, Alexandre Carvalho Bertoli, Alexandre Nelson Martiniano Carauta, Ysrael Marrero Vera, Marcelo De Luccas Dourado, Luciano Tavares da Costa, Marcelo Borges Mansur</t>
  </si>
  <si>
    <t>Modelagem Molecular Computacional e Inteligência Artificial Aplicada a Melhoria da Química e Sustentabilidade dos Minérios Críticos</t>
  </si>
  <si>
    <t xml:space="preserve">Modelagem, Simulação, Síntese, Otimização e Controle de </t>
  </si>
  <si>
    <t>20:05:29</t>
  </si>
  <si>
    <t>20:05:41</t>
  </si>
  <si>
    <t>8232304691647043</t>
  </si>
  <si>
    <t>jguedes@cetem.gov.br</t>
  </si>
  <si>
    <t>402002/2026-1</t>
  </si>
  <si>
    <t>02447984782</t>
  </si>
  <si>
    <t>Júlio Cezar Augusto da Silva</t>
  </si>
  <si>
    <t>http://lattes.cnpq.br/9545573609557707</t>
  </si>
  <si>
    <t>Júlio Cezar Augusto da Silva, Saul Eliahú Mizrahi, Fabio Moyses Lins Dantas, José Antonio dos Santos Borges</t>
  </si>
  <si>
    <t>Tecnologia Assistiva para promoção da Inclusão</t>
  </si>
  <si>
    <t>19:47:44</t>
  </si>
  <si>
    <t>19:47:55</t>
  </si>
  <si>
    <t>9545573609557707</t>
  </si>
  <si>
    <t>julio.silva@int.gov.br</t>
  </si>
  <si>
    <t>- Instituto Nacional de Tecnologia: (Servidor público - Pesquisador)
- Universidade Federal de Juiz de Fora: (em branco)</t>
  </si>
  <si>
    <t>402085/2026-4</t>
  </si>
  <si>
    <t>53521862704</t>
  </si>
  <si>
    <t>Julio Cezar Suita</t>
  </si>
  <si>
    <t>http://lattes.cnpq.br/3904195895817869</t>
  </si>
  <si>
    <t xml:space="preserve">Julio Cezar Suita, Paulo Alberto Lima da Cruz, Estela Maria de Oliveira, Rogerio Chaffin Nunes, Cíntia de Andrade Custódio, Henrique Barcellos de Oliveira, Fernando de Castro Junqueira, Joao Francisco de Oliveira Antunes, Mauro </t>
  </si>
  <si>
    <t>Desenvolvimento e Implementação de Espectrometro de Elétrons para a Caracterização de Radioisótopos Aplicados na Medicina Nuclear</t>
  </si>
  <si>
    <t>10:42:07</t>
  </si>
  <si>
    <t>09:51:41</t>
  </si>
  <si>
    <t>3904195895817869</t>
  </si>
  <si>
    <t>jcsuita56@gmail.com</t>
  </si>
  <si>
    <t>- Instituto de Engenharia Nuclear: (Servidor público - Pesquisador III)
- Instituto de Engenharia Nuclear: (Servidor público - Chefe da Divisão de Radiofármacos - DIRAD)</t>
  </si>
  <si>
    <t>402038/2026-6</t>
  </si>
  <si>
    <t>06137688763</t>
  </si>
  <si>
    <t>Karin Menendez-Delmestre</t>
  </si>
  <si>
    <t>http://lattes.cnpq.br/7978912234260055</t>
  </si>
  <si>
    <t>Karin Menendez-Delmestre, Thiago Signorini Gonçalves, Luidhy Santana da Silva, Amanda Evelyn de Araujo Carvalho, Maria Clara Cavalcante Siviero, Thiago Bueno Dalpiaz, Arianna Cortesi, Guilherme Brando de Oliveira</t>
  </si>
  <si>
    <t>Capacitação Institucional do CBPF em Astrofísica  Confrontando Observações de Galáxias e Simulações em preparação para a Instrumentação Astronômica de Próxima Geração</t>
  </si>
  <si>
    <t>16:12:39</t>
  </si>
  <si>
    <t>09:48:50</t>
  </si>
  <si>
    <t>7978912234260055</t>
  </si>
  <si>
    <t>karin.menendez@gmail.com</t>
  </si>
  <si>
    <t>- Conselho Nacional de Desenvolvimento Científico e Tecnológico: (Membro de comitê assessor)
- Supernova Foundation: (Voluntário - Mentora)
- 500 Women Scientists: (COLABORADOR - Colaboradora no pod do Rio de Janeiro)
- Movimento Parent in Science: (Embaixadora na UFRJ - Embaixadora na UFRJ do Parent in Science)
- FAPERJ: (Coordenadora de área - Coordenadora de área Física/Astronomia)
- FAPERJ: (Comissão Permanente - Representante Ciências Exatas e Tecnoloógicas)
- Laboratório Nacional de Astrofísica: (Científico-Consultivo SOAR - Representante do Brasil)
- Centro Brasileiro de Pesquisas Físicas: (Servidor público - Pesquisadora Especial S (Titular))
- Centro Brasileiro de Pesquisas Físicas: (Membro do PPG Física/CBPF - Docente Permanente do PPG/Física do CBPF)
- Fundação Carlos Chagas Filho de Amparo à Pesquisa do Estado do RJ: (Coordenadora de área - Coordenadora de área Física/Astronomia)
- Fundação Carlos Chagas Filho de Amparo à Pesquisa do Estado do RJ: (Representante Ciências Exatas - Comissão Permanente de Equidade, Diversidade)
- Kyungpook National University: (PROFESSOR_VISITANTE - Professora Visitante)</t>
  </si>
  <si>
    <t>402411/2026-9</t>
  </si>
  <si>
    <t>83330062134</t>
  </si>
  <si>
    <t>Kerlla de Souza Luz</t>
  </si>
  <si>
    <t>http://lattes.cnpq.br/7065742929034921</t>
  </si>
  <si>
    <t>Framework de Governança da Inovação Baseado em Evidências para as Unidades de Pesquisa do MCTI</t>
  </si>
  <si>
    <t>23:52:22</t>
  </si>
  <si>
    <t>23:52:29</t>
  </si>
  <si>
    <t>7065742929034921</t>
  </si>
  <si>
    <t>kesll@yahoo.com</t>
  </si>
  <si>
    <t>- UDF Centro Universitário: (CELETISTA - PROFESSOR ASSISTENTE I)
- Instituto Brasileiro de Informação em Ciência e Tecnologia: (Servidor público - Tecnologista)</t>
  </si>
  <si>
    <t>402383/2026-5</t>
  </si>
  <si>
    <t>49809431104</t>
  </si>
  <si>
    <t>Laurent Emmanuel Dardenne</t>
  </si>
  <si>
    <t>http://lattes.cnpq.br/8344194525615133</t>
  </si>
  <si>
    <t xml:space="preserve">Laurent Emmanuel Dardenne, Marisa Fabiana Nicolás, Fábio Lima Custódio, Isabella Alvim Guedes, Luciano Tavares da Costa, Lidia Moreira Lima, Ana Cristina Gales, Marcelo Ferreira Marcondes Machado, Fernanda </t>
  </si>
  <si>
    <t>Desenvolvimento de Ferramentas Computacionais Integrando Inteligência Artificial, Modelagem Molecular e Genômica Funcional para a Descoberta de Novos Fármacos Antimicrobianos</t>
  </si>
  <si>
    <t>PROGRAMA BASICO DE BIOFISICA</t>
  </si>
  <si>
    <t>Biofísica Molecular</t>
  </si>
  <si>
    <t>19:32:47</t>
  </si>
  <si>
    <t>19:33:02</t>
  </si>
  <si>
    <t>8344194525615133</t>
  </si>
  <si>
    <t>le.dardenne@gmail.com</t>
  </si>
  <si>
    <t>- Laboratório Nacional de Computação Científica: (SERVIDOR_PUBLICO - Tecnologista)
- Universidade Federal do Rio de Janeiro: (em branco)
- Instituto Nacional de Metrologia, Qualidade e Tecnologia: (em branco)</t>
  </si>
  <si>
    <t>401959/2026-0</t>
  </si>
  <si>
    <t>08292511709</t>
  </si>
  <si>
    <t>Leda Cardoso Sampson Pinto</t>
  </si>
  <si>
    <t>http://lattes.cnpq.br/5350538098267724</t>
  </si>
  <si>
    <t xml:space="preserve">Leda Cardoso Sampson Pinto, Ronnie Fagundes de Brito, Helia de Sousa Chaves, Lais Alpi Landim, Victor Pinheiro Louvisi, Isabela Gomes Parucker, Giulia Engel Accorsi, Leandra de Castro Gonzaga Figueiró, Mayara Christina </t>
  </si>
  <si>
    <t>A percepção dos cientistas na visão do público em eventos de popularização da Ciência e Tecnologia</t>
  </si>
  <si>
    <t>15:00:24</t>
  </si>
  <si>
    <t>15:00:31</t>
  </si>
  <si>
    <t>5350538098267724</t>
  </si>
  <si>
    <t>ledapinto@ibict.br</t>
  </si>
  <si>
    <t>- Instituto Brasileiro de Informação em Ciência e Tecnologia: (Servidor público - Coordenadora do Canal Ciência)
- Instituto Brasileiro de Informação em Ciência e Tecnologia: (Servidor público - Coordenadora COIND)
- Instituto Brasileiro de Informação em Ciência e Tecnologia: (Servidor público - Ativo)</t>
  </si>
  <si>
    <t>402159/2026-8</t>
  </si>
  <si>
    <t>03127296509</t>
  </si>
  <si>
    <t>Leonardo Bacelar Lima Santos</t>
  </si>
  <si>
    <t>http://lattes.cnpq.br/9147853693310634</t>
  </si>
  <si>
    <t xml:space="preserve">Leonardo Bacelar Lima Santos, Leandro Casagrande, Rochane de Oliveira Caram, Gastão Cerquinha da Fonseca Neto, Alan Reis, Ana Carolina Nascimento Santos, Glauston Roberto Teixeira de Lima, Graziela Balda Scofield, </t>
  </si>
  <si>
    <t>Pesquisa e desenvolvimento de ferramentas para monitoramento e alerta de extremos hidrológicos</t>
  </si>
  <si>
    <t>15:54:07</t>
  </si>
  <si>
    <t>09:56:14</t>
  </si>
  <si>
    <t>9147853693310634</t>
  </si>
  <si>
    <t>leonardo.santos@cemaden.gov.br</t>
  </si>
  <si>
    <t>- Instituto Nacional de Pesquisas Espaciais: (COLABORADOR - Docente permanente do prog. de pós-graduação)
- Centro Nacional de Monitoramento e Alertas de Desastres Naturais: (Pesquisador em Modelagem Integrada)
- Universidade Federal de São Paulo: (COLABORADOR - Professor colaborador de pós graduação)</t>
  </si>
  <si>
    <t>402286/2026-0</t>
  </si>
  <si>
    <t>07942393909</t>
  </si>
  <si>
    <t>Leonardo Hermes Lemos</t>
  </si>
  <si>
    <t>http://lattes.cnpq.br/7670802354533485</t>
  </si>
  <si>
    <t xml:space="preserve">Leonardo Hermes Lemos, Arthur Ferreira Campos, Clara Duarte Coelho, Everson Andrade dos Reis, Carlos Augusto Ribeiro Jotta, Mayara Helena Fonseca dos Santos, Silvana Aparecida Borsetti Gregorio Vidotti, Isabela Gomes </t>
  </si>
  <si>
    <t>Memória Técnica do Ibict: Preservação, Transformação Digital e Democratização do Conhecimento</t>
  </si>
  <si>
    <t>15:08:28</t>
  </si>
  <si>
    <t>10:03:57</t>
  </si>
  <si>
    <t>7670802354533485</t>
  </si>
  <si>
    <t>leonardolemos@ibict.br</t>
  </si>
  <si>
    <t>- Instituto Brasileiro de Informação em Ciência e Tecnologia: (Servidor público - Tecnologista)</t>
  </si>
  <si>
    <t>402343/2026-3</t>
  </si>
  <si>
    <t>05525336707</t>
  </si>
  <si>
    <t>Luana Farias Sales Marques</t>
  </si>
  <si>
    <t>http://lattes.cnpq.br/9090064478702633</t>
  </si>
  <si>
    <t xml:space="preserve">Luana Farias Sales Marques, Viviane Santos de Oliveira Veiga, Marcia dos Santos Machado Vieira, Naira Christofoletti Silveira, Luiz Olavo Bonino da Silva Santos, Josimara Dias Brumatti, Leda Cardoso Sampson Pinto, </t>
  </si>
  <si>
    <t>GO FAIR Brasil: Estabelecimento de rede de implementação dos princípios FAIR na gestão de dados e objetos de pesquisa</t>
  </si>
  <si>
    <t>13:04:37</t>
  </si>
  <si>
    <t>13:04:44</t>
  </si>
  <si>
    <t>9090064478702633</t>
  </si>
  <si>
    <t>luanasales@ibict.br</t>
  </si>
  <si>
    <t>- Instituto Brasileiro de Informação em Ciência e Tecnologia: (Servidor público - Professor do PPGCI)
- Universidade Federal do Estado do Rio de Janeiro: (COLABORADOR - Professor Colaborador)
- Conselho Nacional de Desenvolvimento Científico e Tecnológico: (Membro de comitê assessor)
- Coordenação de Aperfeiçoamento de Pessoal de Nível Superior: (Membro de comitê assessor)</t>
  </si>
  <si>
    <t>402303/2026-1</t>
  </si>
  <si>
    <t>03099109193</t>
  </si>
  <si>
    <t>Lucas Ângelo da Silveira</t>
  </si>
  <si>
    <t>http://lattes.cnpq.br/9490636632029069</t>
  </si>
  <si>
    <t>Lucas Ângelo da Silveira, Gustavo Cardoso Paiva, Diego José Macêdo, Milton Shintaku, Jefferson Chaves Gomes</t>
  </si>
  <si>
    <t>Estudos sobre Ferramenta Livre de Dados Geolocalizados</t>
  </si>
  <si>
    <t>10:45:13</t>
  </si>
  <si>
    <t>10:45:22</t>
  </si>
  <si>
    <t>9490636632029069</t>
  </si>
  <si>
    <t>lucasangelosilveira2018@gmail.com</t>
  </si>
  <si>
    <t>- Instituto Brasileiro de Informação em Ciência e Tecnologia: (Analista de Sistemas - Analista)
- Instituto Brasileiro de Informação em Ciência e Tecnologia: (SERVIDOR_PUBLICO - Tecnologista MCTI/IBICT)
- Serviço Nacional de Aprendizagem Comercial - DF: (SERVIDOR_PUBLICO - Professor da faculdade senac)</t>
  </si>
  <si>
    <t>402210/2026-3</t>
  </si>
  <si>
    <t>03587159114</t>
  </si>
  <si>
    <t>Lucas Rodrigues Costa</t>
  </si>
  <si>
    <t>http://lattes.cnpq.br/3133273170328412</t>
  </si>
  <si>
    <t>Lucas Rodrigues Costa, Milton Shintaku, Rosilene Paiva Marinho de Sousa, Bernardo Dionízio Vechi da Silva, Wendel Sousa de Anchieta, Rebeca dos Santos de Moura</t>
  </si>
  <si>
    <t>Estudos em Infraestrutura Aberta para Disseminação de Softwares Livre para Pesquisa</t>
  </si>
  <si>
    <t>22:15:47</t>
  </si>
  <si>
    <t>09:59:14</t>
  </si>
  <si>
    <t>3133273170328412</t>
  </si>
  <si>
    <t>lucasrc.rodri@hotmail.com</t>
  </si>
  <si>
    <t>- Instituto Brasileiro de Informação em Ciência e Tecnologia: (Bolsista - Analista de Sistemas e Assistente de Pesquisa)
- Instituto Brasileiro de Informação em Ciência e Tecnologia: (Servidor público - Tecnologista)</t>
  </si>
  <si>
    <t>402135/2026-1</t>
  </si>
  <si>
    <t>31854380869</t>
  </si>
  <si>
    <t>Luciane de Fátima Beckman Cavalcante</t>
  </si>
  <si>
    <t>http://lattes.cnpq.br/5012034338598304</t>
  </si>
  <si>
    <t xml:space="preserve">Luciane de Fátima Beckman Cavalcante, Tainá Regly de Moura Souza, Brisa Pozzi de Sousa, Ilemar Christina Lansoni Wey Berti, Dayanne da Silva Prudencio, Priscila Machado Borges Sena, Bruna Bomfim Lessa dos Santos, </t>
  </si>
  <si>
    <t>Observatório Brasileiro de Mediação Cultural da Informação e Bibliotecas para Promoção dos Direitos Humanos, prevenção e enfrentamento das violências de gênero e digitais</t>
  </si>
  <si>
    <t>06:18:44</t>
  </si>
  <si>
    <t>09:54:49</t>
  </si>
  <si>
    <t>5012034338598304</t>
  </si>
  <si>
    <t>lucifbc@gmail.com</t>
  </si>
  <si>
    <t>- Instituto Brasileiro de Informação em Ciência e Tecnologia: (Professora permanente - Professora permanente)
- Instituto Brasileiro de Informação em Ciência e Tecnologia: (Bolsista - Pesquisadora Bolsista no Projeto ENACIN)
- Instituto Brasileiro de Informação em Ciência e Tecnologia: (Servidor público - Pesquisadora Adjunta I)</t>
  </si>
  <si>
    <t>402166/2026-4</t>
  </si>
  <si>
    <t>53775600191</t>
  </si>
  <si>
    <t>Luciano Procópio da Silva</t>
  </si>
  <si>
    <t>http://lattes.cnpq.br/0599914922920980</t>
  </si>
  <si>
    <t>Luciano Procópio da Silva, Leilson de Oliveira Ribeiro, Walter Barreiro Cravo Junior, Raquel Sabino Leitão, Aike Costa da Silva, Diogo Azevedo Coutinho</t>
  </si>
  <si>
    <t>Biorremediação de ambientes marinhos - Emprego de consórcio microbiano na degradação de hidrocarbonetos de petróleo intemperizados em ambientes marinhos e costeiros</t>
  </si>
  <si>
    <t>11:43:16</t>
  </si>
  <si>
    <t>09:56:39</t>
  </si>
  <si>
    <t>0599914922920980</t>
  </si>
  <si>
    <t>lucianoprocopio@hotmail.com</t>
  </si>
  <si>
    <t>- Instituto Nacional de Tecnologia: (SERVIDOR_PUBLICO - Tecnologista Pleno I)</t>
  </si>
  <si>
    <t>402228/2026-0</t>
  </si>
  <si>
    <t>06182681705</t>
  </si>
  <si>
    <t>Luis Alonso Mansilla Alvarez</t>
  </si>
  <si>
    <t>http://lattes.cnpq.br/7342921602652362</t>
  </si>
  <si>
    <t>Luis Alonso Mansilla Alvarez, Pablo Javier Blanco, Hiago Mayk Gomes de Araújo Rocha</t>
  </si>
  <si>
    <t>Métodos computacionais escaláveis para mecânica computacional em arquiteturas heterogêneas CPU/GPU</t>
  </si>
  <si>
    <t>Princípios Variacionais e Métodos Numéricos</t>
  </si>
  <si>
    <t>11:51:20</t>
  </si>
  <si>
    <t>10:00:17</t>
  </si>
  <si>
    <t>7342921602652362</t>
  </si>
  <si>
    <t>lalvarez@lncc.br</t>
  </si>
  <si>
    <t>- Laboratório Nacional de Computação Científica: (Servidor público - Tecnologista Pleno)</t>
  </si>
  <si>
    <t>401209/2026-1</t>
  </si>
  <si>
    <t>Faculdade de Odontologia de Araraquara</t>
  </si>
  <si>
    <t>UNESP/ARARAQUARA</t>
  </si>
  <si>
    <t>09/06/2026</t>
  </si>
  <si>
    <t>16:51:45</t>
  </si>
  <si>
    <t>16:51:55</t>
  </si>
  <si>
    <t>402248/2026-0</t>
  </si>
  <si>
    <t>25704910807</t>
  </si>
  <si>
    <t>Luis Marcelo de Mattos Zeri</t>
  </si>
  <si>
    <t>http://lattes.cnpq.br/5423195235956450</t>
  </si>
  <si>
    <t xml:space="preserve">Luis Marcelo de Mattos Zeri, Marcelo Wilson Berbone Furlan Alves, Ana Paula Martins do Amaral Cunha, Christopher Alexander Cunningham Castro, Elisangela Broedel, Fabiani Denise Bender, George Ulguim Pedra, Patricia Ferreira </t>
  </si>
  <si>
    <t>Sistema Integrado de Riscos e Impactos de Eventos Climáticos Compostos para Apoio à Tomada de Decisão</t>
  </si>
  <si>
    <t>Meteorologia Aplicada</t>
  </si>
  <si>
    <t>18:53:03</t>
  </si>
  <si>
    <t>10:01:47</t>
  </si>
  <si>
    <t>5423195235956450</t>
  </si>
  <si>
    <t>marcelozeri@gmail.com</t>
  </si>
  <si>
    <t>401900/2026-6</t>
  </si>
  <si>
    <t>04936904848</t>
  </si>
  <si>
    <t>Luiz Carlos Bertolino</t>
  </si>
  <si>
    <t>http://lattes.cnpq.br/2264731136781838</t>
  </si>
  <si>
    <t xml:space="preserve">Luiz Carlos Bertolino, Livia Rodrigues de Menezes, Carla Napoli Barbato, Fernanda Arruda Nogueira Gomes da Silva, Ana Valéria Freire Allemão Bertolino, Werlem Holanda dos Santos, Anne Caroline da Silva Rocha, Ernesto </t>
  </si>
  <si>
    <t>Argilominerais Brasileiros Estratégicos para Aplicações Ambientais e Industriais</t>
  </si>
  <si>
    <t>11:28:25</t>
  </si>
  <si>
    <t>11:28:31</t>
  </si>
  <si>
    <t>2264731136781838</t>
  </si>
  <si>
    <t>lcbertolino@uol.com.br</t>
  </si>
  <si>
    <t>- Universidade do Estado do Rio de Janeiro: (Servidor público - Professor Associado)
- Centro de Tecnologia Mineral: (Servidor público - Tecnologista Sênior)
- Fundação de Amparo à Pesquisa do Estado de São Paulo: (Membro de comitê assessor)
- Conselho Nacional de Desenvolvimento Científico e Tecnológico: (Membro de comitê assessor)
- Universidade Federal de Campina Grande: (Colaborador Pós-graduação - Colaborador)</t>
  </si>
  <si>
    <t>402257/2026-0</t>
  </si>
  <si>
    <t>07989679434</t>
  </si>
  <si>
    <t>Marcelo Dutra Fragoso</t>
  </si>
  <si>
    <t>http://lattes.cnpq.br/9037349417947599</t>
  </si>
  <si>
    <t>Marcelo Dutra Fragoso, João Bosco Ribeiro do Val, Edilson Fernandes de Arruda, Marcos Garcia Todorov, Bernardo Melo de Carvalho, Allan Jonathan da Silva, Saul de Castro Leite</t>
  </si>
  <si>
    <t>Métodos Avançados para Análise, Controle e Automação de Sistemas Dinâmicos Complexos em Ambientes Incertos e Adversariais</t>
  </si>
  <si>
    <t>Controle e Automação</t>
  </si>
  <si>
    <t>10:20:23</t>
  </si>
  <si>
    <t>10:02:14</t>
  </si>
  <si>
    <t>9037349417947599</t>
  </si>
  <si>
    <t>frag@alpha.lncc.br</t>
  </si>
  <si>
    <t>- Laboratório Nacional de Computação Científica: (Servidor público - Pesquisador Titular)
- Universidade Estadual de Campinas: (Membro Externo - Regime: Parcial)
- Instituto Nacional de Matemática Pura e Aplicada: (em branco)</t>
  </si>
  <si>
    <t>402060/2026-1</t>
  </si>
  <si>
    <t>94944830734</t>
  </si>
  <si>
    <t>Marcelo Portes de Albuquerque</t>
  </si>
  <si>
    <t>http://lattes.cnpq.br/6430879459326899</t>
  </si>
  <si>
    <t>Marcelo Portes de Albuquerque, Flavio Barbosa Toledo, Patrícia Brito Coimbra, Claudia Pestana Simões</t>
  </si>
  <si>
    <t>Programa Estruturante de Capacitação Institucional em Inovação, Propriedade Intelectual, Transferência de Tecnologia e Empreendedorismo Científico no Arranjo NIT Rio</t>
  </si>
  <si>
    <t>12:19:53</t>
  </si>
  <si>
    <t>09:50:18</t>
  </si>
  <si>
    <t>6430879459326899</t>
  </si>
  <si>
    <t>marcelo@cbpf.br</t>
  </si>
  <si>
    <t>- Centro Brasileiro de Pesquisas Físicas: (SERVIDOR_PUBLICO - Tecnologista - Classe Especial)
- Fundação Carlos Chagas Filho de Amparo à Pesquisa do Estado do RJ: (OUTRO)</t>
  </si>
  <si>
    <t>402128/2026-5</t>
  </si>
  <si>
    <t>03754748700</t>
  </si>
  <si>
    <t>Marcia Gomes de Oliveira</t>
  </si>
  <si>
    <t>http://lattes.cnpq.br/0621002533579104</t>
  </si>
  <si>
    <t>Marcia Gomes de Oliveira, Tatiana Simões Loureiro Maravilha, Alessandra de Alencar Padua Gabino, Luiz Fernando Vieira, Valéria Gonçalves Costa, Nathan Riany Valerio Albino</t>
  </si>
  <si>
    <t>BioMAT Circular 4.0 - Plataforma Institucional de Bioeconomia Circular Aplicada a Materiais Poliméricos Sustentáveis</t>
  </si>
  <si>
    <t>03:13:07</t>
  </si>
  <si>
    <t>09:54:21</t>
  </si>
  <si>
    <t>0621002533579104</t>
  </si>
  <si>
    <t>olimarcia@gmail.com</t>
  </si>
  <si>
    <t>- Instituto Nacional de Tecnologia: (Servidor público - Tecnologista Sênior)
- Incubadora de Empresas COPPE/UFRJ: (COLABORADOR - Conselheira - Conselho Diretor da Incubadora)
- Instituto Brasileiro da Qualidade Nuclear: (COLABORADOR - Conselheira do CONAD)
- Associação Brasileira de Metalurgia, Materiais e Mineração: (COLABORADOR - Conselheira de Administração da ABM)
- Fundação de Apoio ao Desenvolvimento da  Computação Científica: (Colaboradora - Conselheira)
- Centro de Tecnologia da Informação Renato Archer: (Colaboradora - Conselheira)</t>
  </si>
  <si>
    <t>402137/2026-4</t>
  </si>
  <si>
    <t>02973625777</t>
  </si>
  <si>
    <t>Márcio Rentes Borges</t>
  </si>
  <si>
    <t>http://lattes.cnpq.br/8203775174455802</t>
  </si>
  <si>
    <t>Quantificação de Incertezas em Problemas de Escoamentos em Meios Porosos: Métodos de Monte Carlo via cadeias de Markov (McMC)</t>
  </si>
  <si>
    <t>PROGRAMA BASICO DE PROBABILIDADE E ESTATISTICA</t>
  </si>
  <si>
    <t>Análise Estocástica</t>
  </si>
  <si>
    <t>19:59:16</t>
  </si>
  <si>
    <t>09:54:58</t>
  </si>
  <si>
    <t>8203775174455802</t>
  </si>
  <si>
    <t>marcio.rentes.borges@gmail.com</t>
  </si>
  <si>
    <t>402299/2026-4</t>
  </si>
  <si>
    <t>14433852805</t>
  </si>
  <si>
    <t>Marco André Feldman Schneider</t>
  </si>
  <si>
    <t>http://lattes.cnpq.br/6589062304969432</t>
  </si>
  <si>
    <t>Estudos sobre integridade informacional na comunicação científica: inteligência artificial, ética e inovação na avaliação por pares</t>
  </si>
  <si>
    <t>10:11:13</t>
  </si>
  <si>
    <t>10:11:17</t>
  </si>
  <si>
    <t>6589062304969432</t>
  </si>
  <si>
    <t>art68schneider@gmail.com</t>
  </si>
  <si>
    <t>- Universidade Federal Fluminense: (Servidor público - Professor Associado)
- Instituto Brasileiro de Informação em Ciência e Tecnologia: (Servidor público - Pesquisador Titular Ibict)
- Universidad Nacional Autónoma de Mexico: (em branco)</t>
  </si>
  <si>
    <t>402007/2026-3</t>
  </si>
  <si>
    <t>00074439782</t>
  </si>
  <si>
    <t>Marco André Fraga</t>
  </si>
  <si>
    <t>http://lattes.cnpq.br/1876482890634213</t>
  </si>
  <si>
    <t xml:space="preserve">Marco André Fraga, Leon Fagner Feitosa, Andréa Maria Duarte de Farias, Christian Wittee Lopes, Amanda de Souza Mello, Milena da Silva Souza, Alannah Montenegro Calazans, Elise Mota de Albuquerque, Luiz Felipe dos Santos </t>
  </si>
  <si>
    <t>Novos processos para biorrefinarias e economia de baixo carbono</t>
  </si>
  <si>
    <t>Cinética Química e Catálise</t>
  </si>
  <si>
    <t>21:33:51</t>
  </si>
  <si>
    <t>21:33:57</t>
  </si>
  <si>
    <t>1876482890634213</t>
  </si>
  <si>
    <t>marco.fraga@int.gov.br</t>
  </si>
  <si>
    <t>- Instituto Nacional de Tecnologia: (Pesquisador)
- Instituto Militar de Engenharia: (Professor Colaborador - Professor)
- Pontifícia Universidade Católica do Rio de Janeiro: (Professor - Professor)
- Sociedade Brasileira de Química: (COLABORADOR - Diretor da Divisão de Catálise)</t>
  </si>
  <si>
    <t>401998/2026-6</t>
  </si>
  <si>
    <t>08995811706</t>
  </si>
  <si>
    <t>Marcos Garcia Todorov</t>
  </si>
  <si>
    <t>http://lattes.cnpq.br/1391205251405727</t>
  </si>
  <si>
    <t>Marcos Garcia Todorov, Marcelo Dutra Fragoso, Bernardo Melo de Carvalho</t>
  </si>
  <si>
    <t>Análise e Controle de Sistemas Dinâmicos: Teoria, Métodos Computacionais, e Aplicações</t>
  </si>
  <si>
    <t xml:space="preserve">Modelagem, identificação e controle de processos dinâmicos </t>
  </si>
  <si>
    <t>18:13:20</t>
  </si>
  <si>
    <t>18:13:26</t>
  </si>
  <si>
    <t>1391205251405727</t>
  </si>
  <si>
    <t>todorov@lncc.br</t>
  </si>
  <si>
    <t>- Laboratório Nacional de Computação Científica: (Servidor público - Pesquisador Associado)</t>
  </si>
  <si>
    <t>401113/2026-4</t>
  </si>
  <si>
    <t xml:space="preserve">Maria Ângela de Barros Correia Menezes, Radojko Jacimovic, Willian Miguel Soares, Maria Eugênia de Oliveira Ferreira, Beatriz Cancelier Ribeiro, Daniel de Almeida Magalhães Campolina, Luiz Cláudio Andrade Souza, José </t>
  </si>
  <si>
    <t>08:23:47</t>
  </si>
  <si>
    <t>16:53:42</t>
  </si>
  <si>
    <t>402036/2026-3</t>
  </si>
  <si>
    <t>13598735707</t>
  </si>
  <si>
    <t>Maria Thereza Monteiro Pereira Sotomayor</t>
  </si>
  <si>
    <t>http://lattes.cnpq.br/2541166906449841</t>
  </si>
  <si>
    <t>Maria Thereza Monteiro Pereira Sotomayor, Bernardo Nunes Gonçalves, Herminia Fróes Bragança</t>
  </si>
  <si>
    <t>Preservação e popularização da memória científica do LNCC</t>
  </si>
  <si>
    <t>09:48:43</t>
  </si>
  <si>
    <t>2541166906449841</t>
  </si>
  <si>
    <t>therezasotomayor@gmail.com</t>
  </si>
  <si>
    <t>- Laboratório Nacional de Computação Científica: (Servidor público - Arquivista)</t>
  </si>
  <si>
    <t>401945/2026-0</t>
  </si>
  <si>
    <t>12960072782</t>
  </si>
  <si>
    <t>Mariane Costalonga de Aguiar</t>
  </si>
  <si>
    <t>http://lattes.cnpq.br/8895421253054996</t>
  </si>
  <si>
    <t xml:space="preserve">Mariane Costalonga de Aguiar, Kayrone Marvila de Almeida, Leonardo Luiz Lyrio da Silveira, Fabrício Bagli Siqueira, Érico Rodrigues Gomes, Eliseu Romero Campelo Correia, Evanizis Dias Frizzera Castilho, Mônica Castoldi Borlini </t>
  </si>
  <si>
    <t>DESENVOLVIMENTO DE NOVOS MATERIAIS A PARTIR DE RESÍDUOS DE ROCHAS ORNAMENTAIS: GEOTECNOLOGIAS E ECONOMIA CIRCULAR PARA O FORTALECIMENTO DO SETOR MINERAL &amp;#9679;</t>
  </si>
  <si>
    <t>11:14:36</t>
  </si>
  <si>
    <t>11:14:49</t>
  </si>
  <si>
    <t>8895421253054996</t>
  </si>
  <si>
    <t>maricostalonga2@gmail.com</t>
  </si>
  <si>
    <t>- Centro de Tecnologia Mineral: (Servidor público - Pesquisadora)
- Associação Brasileiro de Normas Técnicas: (Membro de comitê assessor)</t>
  </si>
  <si>
    <t>402293/2026-6</t>
  </si>
  <si>
    <t>27327059857</t>
  </si>
  <si>
    <t>Marilyn Minicucci Ibanez</t>
  </si>
  <si>
    <t>http://lattes.cnpq.br/5303306968929483</t>
  </si>
  <si>
    <t xml:space="preserve">Marilyn Minicucci Ibanez, Gilson Yuuji Shimizu, Márcio Elias de Castro Sant ana, André Luiz Marques Serrano, Elcio Hideiti Shiguemori, Lamartine Nogueira Frutuoso Guimarães, José Augusto Bognoni Lós Reis, Luís Antonio De </t>
  </si>
  <si>
    <t>Plataforma Inteligente Multimodal para Monitoramento de eventos extremos sociais e naturais</t>
  </si>
  <si>
    <t>PROGRAMA TEMATICO DE DEFESA</t>
  </si>
  <si>
    <t>DE</t>
  </si>
  <si>
    <t>Defesa</t>
  </si>
  <si>
    <t>15:34:34</t>
  </si>
  <si>
    <t>10:04:15</t>
  </si>
  <si>
    <t>5303306968929483</t>
  </si>
  <si>
    <t>marilynmenecucciibanez@gmail.com</t>
  </si>
  <si>
    <t>- Centro de Tecnologia da Informação Renato Archer: (Servidor público - Tecnologista Pleno)
- Universidade de São Paulo: (em branco)</t>
  </si>
  <si>
    <t>402121/2026-0</t>
  </si>
  <si>
    <t>85418633791</t>
  </si>
  <si>
    <t>Marisa Bezerra de Mello Monte</t>
  </si>
  <si>
    <t>http://lattes.cnpq.br/0414406298670007</t>
  </si>
  <si>
    <t>Marisa Bezerra de Mello Monte, Gabriel Kamilo Pantoja Barrios, Ruan Roberto Henriques, Victor Alfonso Rodriguez, Márcio Ferreira Martins, Maira Rievrs Nogueira Alvares, Andre Luiz Amarante Mesquita</t>
  </si>
  <si>
    <t xml:space="preserve">Tecnologia em tratamento de plasma para controle de umidade no manuseio de minério de ferro </t>
  </si>
  <si>
    <t>11:36:07</t>
  </si>
  <si>
    <t>09:53:57</t>
  </si>
  <si>
    <t>0414406298670007</t>
  </si>
  <si>
    <t>mmonte@cetem.gov.br</t>
  </si>
  <si>
    <t>- Centro de Tecnologia Mineral: (SERVIDOR_PUBLICO - Tecnologista Senior H-III)</t>
  </si>
  <si>
    <t>401954/2026-9</t>
  </si>
  <si>
    <t>07099416766</t>
  </si>
  <si>
    <t>Marisa Nascimento</t>
  </si>
  <si>
    <t>http://lattes.cnpq.br/9774625171574351</t>
  </si>
  <si>
    <t>Marisa Nascimento, Alexandre Silva Guimarães, Rodrigo Ferreira Gomes, Flávio Luiz Martins, Daniele Leonel da Rocha, Sonia Denise Ferreira Rocha, Marcelo Borges Mansur, Gabriela Cordeiro Silva, André Luiz Alvarenga Santos</t>
  </si>
  <si>
    <t>Recuperação de Metais Críticos e Estratégicos de Resíduos 6 Eletroeletrônicos via Rotas Bio e Hidrometalúrgica</t>
  </si>
  <si>
    <t>14:16:37</t>
  </si>
  <si>
    <t>14:16:41</t>
  </si>
  <si>
    <t>9774625171574351</t>
  </si>
  <si>
    <t>marisa@cetem.gov.br</t>
  </si>
  <si>
    <t>Vínculo CETEM, Enquadramento Funcional: Pesquisadora</t>
  </si>
  <si>
    <t>401095/2026-6</t>
  </si>
  <si>
    <t>04145243145</t>
  </si>
  <si>
    <t>Mary Fernanda de Sousa de Melo</t>
  </si>
  <si>
    <t>http://lattes.cnpq.br/0310266489114537</t>
  </si>
  <si>
    <t>Mary Fernanda de Sousa de Melo, Thiago Albano de Sousa Pimenta, Nátalli Macedo Rodrigues Falleiros, Willerson Lucas de Campos Silva, Melina Lima Pinotti</t>
  </si>
  <si>
    <t>Observatório do Racismo no Brasil: pesquisas de opinião, dinâmicas digitais, comunicação pública e formação para a educação antirracista.</t>
  </si>
  <si>
    <t>Educação e Relações Étnico-Raciais</t>
  </si>
  <si>
    <t>Instituto Federal de Mato Grosso do Sul</t>
  </si>
  <si>
    <t>IFMS</t>
  </si>
  <si>
    <t>22:27:10</t>
  </si>
  <si>
    <t>22:27:22</t>
  </si>
  <si>
    <t>0310266489114537</t>
  </si>
  <si>
    <t>mary.melo@ifms.edu.br</t>
  </si>
  <si>
    <t>- Instituto Federal de Mato Grosso do Sul: (Servidor público - Docente)</t>
  </si>
  <si>
    <t>402183/2026-6</t>
  </si>
  <si>
    <t>01816707716</t>
  </si>
  <si>
    <t>Mauricio de Jesus Monteiro</t>
  </si>
  <si>
    <t>http://lattes.cnpq.br/6250492463297212</t>
  </si>
  <si>
    <t>Mauricio de Jesus Monteiro, Cláudio Teodoro dos Santos, Wellington Gilbert Fernandes, Marcos Henrique Garamvolgyi e Silva, Joan Oswald OConnor Blanco, Márcio Ribeiro Rodrigues de Oliveira</t>
  </si>
  <si>
    <t>Desenvolvimento de metamateriais utilizando técnicas avançadas de caracterização e simulação computacional multifísica</t>
  </si>
  <si>
    <t>12:48:05</t>
  </si>
  <si>
    <t>09:57:42</t>
  </si>
  <si>
    <t>6250492463297212</t>
  </si>
  <si>
    <t>mjm9779@gmail.com</t>
  </si>
  <si>
    <t>- Instituto Nacional de Tecnologia: (Servidor público - Tecnologista)
- Ministério da ciência, tecologia, inovações e comunicações: (Membro de comitê assessor)</t>
  </si>
  <si>
    <t>402341/2026-0</t>
  </si>
  <si>
    <t>31539173704</t>
  </si>
  <si>
    <t>Mauro Andrade de Sousa</t>
  </si>
  <si>
    <t>http://lattes.cnpq.br/3465698768324663</t>
  </si>
  <si>
    <t xml:space="preserve">Mauro Andrade de Sousa, Juarez Lourenço, Jose Farias de Albuquerque, André Alves de Souza, Silvia Lorena Bejarano Bermudez, Fábio Pinto Vieira, Roberto Teixeira Luz, Daniel Arana, Andrea Galudht Santacruz Jaramillo, </t>
  </si>
  <si>
    <t>Capacitação Avançada dos Laboratórios de Gravimetria, Petrofísica e Geotermia do Observatório Nacional</t>
  </si>
  <si>
    <t>Gravimetria</t>
  </si>
  <si>
    <t>12:52:41</t>
  </si>
  <si>
    <t>12:52:57</t>
  </si>
  <si>
    <t>3465698768324663</t>
  </si>
  <si>
    <t>mauro@on.br</t>
  </si>
  <si>
    <t>- Observatório Nacional: (Servidor público - Pesquisador classe V, nível III)
- International Association Of Geodesy: (COLABORADOR - Representante brasileiro)</t>
  </si>
  <si>
    <t>402094/2026-3</t>
  </si>
  <si>
    <t>51586010115</t>
  </si>
  <si>
    <t>Miguel Ángel Márdero Arellano</t>
  </si>
  <si>
    <t>http://lattes.cnpq.br/7000017551659136</t>
  </si>
  <si>
    <t>Miguel Ángel Márdero Arellano, Alexandre Faria de Oliveira, Alexandre de Souza Costa, Flor de María Silvestre Estela</t>
  </si>
  <si>
    <t>INAPRED - Infraestrutura Nacional de Preservação do Patrimônio Científico Digital</t>
  </si>
  <si>
    <t>21:26:29</t>
  </si>
  <si>
    <t>09:52:15</t>
  </si>
  <si>
    <t>7000017551659136</t>
  </si>
  <si>
    <t>miguel@ibict.br</t>
  </si>
  <si>
    <t>- Instituto Brasileiro de Informação em Ciência e Tecnologia: (Tecnologista Pleno 2)</t>
  </si>
  <si>
    <t>402013/2026-3</t>
  </si>
  <si>
    <t>08222907743</t>
  </si>
  <si>
    <t>Miguel Boavista Quartin</t>
  </si>
  <si>
    <t>http://lattes.cnpq.br/3080181268936724</t>
  </si>
  <si>
    <t xml:space="preserve">Miguel Boavista Quartin, Tatiane de Paula Moraes, Leonam Barradas Coelho, Louis Jacques Bernard Legrand, Bruno Azevedo Lemos Moraes, Gabriela Antunes Marques, Amanda Freitas Cruz, Henrique Rubira, Luis Raul Weber </t>
  </si>
  <si>
    <t>Estrutura em grande escala do universo: uma abordagem multi-traçadora</t>
  </si>
  <si>
    <t>Cosmologia</t>
  </si>
  <si>
    <t>01:17:30</t>
  </si>
  <si>
    <t>01:17:35</t>
  </si>
  <si>
    <t>3080181268936724</t>
  </si>
  <si>
    <t>miguel.q.fisica@gmail.com</t>
  </si>
  <si>
    <t>- Universidade Federal do Rio de Janeiro: (Membro do PPG Astronomia, OV - Membro do PPG Astronomia, ProAstro, OV/UFRJ)
- Universidade Federal do Rio de Janeiro: (Membro do PPG Física IF/UFRJ - Membro do PPG Física IF/UFRJ)
- Conselho Nacional de Desenvolvimento Científico e Tecnológico: (Membro de comitê assessor)
- Universidade Federal do Espírito Santo: (Membro do PPGCosmo - Membro do programa de PG PPGCosmo, UFES)
- Centro Brasileiro de Pesquisas Físicas: (Servidor público - Pesquisador Titular)</t>
  </si>
  <si>
    <t>402397/2026-6</t>
  </si>
  <si>
    <t>25324392898</t>
  </si>
  <si>
    <t>Milena Bendazzoli Simões</t>
  </si>
  <si>
    <t>http://lattes.cnpq.br/5572544140131523</t>
  </si>
  <si>
    <t>Pensar o desenvolvimento econômico e social sustentável para o Sul Global: projeto de integração e difusão do conhecimento.</t>
  </si>
  <si>
    <t>22:09:07</t>
  </si>
  <si>
    <t>22:09:20</t>
  </si>
  <si>
    <t>5572544140131523</t>
  </si>
  <si>
    <t>milenab@alumni.usp.br</t>
  </si>
  <si>
    <t>- Instituto Brasileiro de Informação em Ciência e Tecnologia: (Servidor público - estatutário)</t>
  </si>
  <si>
    <t>402255/2026-7</t>
  </si>
  <si>
    <t>31695965191</t>
  </si>
  <si>
    <t>Milton Shintaku</t>
  </si>
  <si>
    <t>http://lattes.cnpq.br/8605833104600600</t>
  </si>
  <si>
    <t>Milton Shintaku, Diego José Macêdo, Carla Maria Martellote Viola, Maria Aniolly Queiroz Maia, Diego André Andrade Neves, Ingrid Torres Schiessl, Elton Mártires Pinto, Maison Roberto Mendonça Gonçalves</t>
  </si>
  <si>
    <t>Estudos de Tecnologias Livres para Gestão da Informação</t>
  </si>
  <si>
    <t>Teoria da Informação</t>
  </si>
  <si>
    <t>19:01:25</t>
  </si>
  <si>
    <t>10:02:07</t>
  </si>
  <si>
    <t>8605833104600600</t>
  </si>
  <si>
    <t>shintaku@ibict.br</t>
  </si>
  <si>
    <t>- Instituto Brasileiro de Informação em Ciência e Tecnologia: (Servidor público - estatutário)
- Universidade Federal do Paraná: (em branco)</t>
  </si>
  <si>
    <t>402046/2026-9</t>
  </si>
  <si>
    <t>86774883753</t>
  </si>
  <si>
    <t>Nelson Pinto Neto</t>
  </si>
  <si>
    <t>http://lattes.cnpq.br/6196081550581346</t>
  </si>
  <si>
    <t>Nelson Pinto Neto, Felipe Tovar Falciano, Miguel Boavista Quartin, Guilherme Brando de Oliveira, Maurício Hippert Teixeira, Leonardo Chataignier Moreira da Rocha</t>
  </si>
  <si>
    <t>Explorando o Universo Extremo: Cosmologia Primordial e Astrofísica Relativística</t>
  </si>
  <si>
    <t>18:11:43</t>
  </si>
  <si>
    <t>09:49:20</t>
  </si>
  <si>
    <t>6196081550581346</t>
  </si>
  <si>
    <t>nelsonpn@cbpf.br</t>
  </si>
  <si>
    <t>- Centro Brasileiro de Pesquisas Físicas: (Servidor público - PESQUISADOR  TITULAR I)
- Conselho Nacional de Desenvolvimento Científico e Tecnológico: (Membro de comitê assessor)</t>
  </si>
  <si>
    <t>402194/2026-8</t>
  </si>
  <si>
    <t>01181420628</t>
  </si>
  <si>
    <t>Nuria Fernández Castro</t>
  </si>
  <si>
    <t>http://lattes.cnpq.br/1783107702895552</t>
  </si>
  <si>
    <t xml:space="preserve">Nuria Fernández Castro, Maira da Costa de Oliveira Lima Santo, Roberto Carlos da Conceição Ribeiro, Paulo Couto, Gabriel Kamilo Pantoja Barrios, Maria Heloisa Barros de Oliveira Frascá, Kátia Leite Mansur, Catherine Jacqueline </t>
  </si>
  <si>
    <t xml:space="preserve">SIMULAÇÃO EXPERIMENTAL E MODELAGEM DA  DETERIORAÇÃO POR CRISTALIZAÇÃO DE SAIS EM ROCHAS GRANÍTICAS </t>
  </si>
  <si>
    <t>Petrologia</t>
  </si>
  <si>
    <t>15:48:55</t>
  </si>
  <si>
    <t>09:58:20</t>
  </si>
  <si>
    <t>1783107702895552</t>
  </si>
  <si>
    <t>ncastro@cetem.gov.br</t>
  </si>
  <si>
    <t>- Centro de Tecnologia Mineral: (Servidor público - Tecnologista Sênior)
- Associação Brasileira de Normas Técnicas: (Membro de comitê assessor)
- International Union of Geological Sciences: (Membro de comitê assessor)
- International Union of Geological Sciences: (Membro de comitê assessor)
- International Organization for Standardization: (Membro de comitê assessor)</t>
  </si>
  <si>
    <t>401361/2026-8</t>
  </si>
  <si>
    <t>05976610730</t>
  </si>
  <si>
    <t>Pablo Javier Blanco</t>
  </si>
  <si>
    <t>http://lattes.cnpq.br/2207239537360072</t>
  </si>
  <si>
    <t xml:space="preserve">Pablo Javier Blanco, Luis Alonso Mansilla Alvarez, Pedro Alves Lemos Neto, Guy Fernando de Almeida Prado Junior, Eduardo Guerreiro Zilves, Robson Cabral Severo, Sabrina Rodrigues de Araújo, Lucas Omar Müller, Gonzalo Maso </t>
  </si>
  <si>
    <t>Modelagem da interação entre circulação sistêmica, cerebral e intracraniana</t>
  </si>
  <si>
    <t>10:20:16</t>
  </si>
  <si>
    <t>2207239537360072</t>
  </si>
  <si>
    <t>pjblanco@lncc.br</t>
  </si>
  <si>
    <t>- Laboratório Nacional de Computação Científica: (Servidor público - Pesquisador Titular)
- Universidade Católica de Petrópolis: (CELETISTA - Professor Associado)
- Universidad Nacional de Mar Del Plata: (PROFESSOR_VISITANTE - Professor Visitante)
- Universidade de São Paulo: (COLABORADOR - Professor colaborador)</t>
  </si>
  <si>
    <t>401009/2026-2</t>
  </si>
  <si>
    <t>05396368942</t>
  </si>
  <si>
    <t>Patricia Murara Stryhalski</t>
  </si>
  <si>
    <t>http://lattes.cnpq.br/0373156504395623</t>
  </si>
  <si>
    <t>Implantação de Laboratório de Pesquisa Aplicada em Acessibilidade Educacional, Regulação Emocional e Permanência Estudantil no IFSC  Câmpus Jaraguá do Sul Centro</t>
  </si>
  <si>
    <t>Currículos Específicos para Níveis e Tipos de Educação</t>
  </si>
  <si>
    <t>Instituto Federal de Santa Catarina</t>
  </si>
  <si>
    <t>IFSC</t>
  </si>
  <si>
    <t>09:54:35</t>
  </si>
  <si>
    <t>12:00:47</t>
  </si>
  <si>
    <t>0373156504395623</t>
  </si>
  <si>
    <t>murarapatricia@gmail.com</t>
  </si>
  <si>
    <t>- Instituto Federal de Santa Catarina: (Servidor público - Professora AEE)</t>
  </si>
  <si>
    <t>402274/2026-1</t>
  </si>
  <si>
    <t>90736362053</t>
  </si>
  <si>
    <t>Paula Caroline Schifino Jardim Passos</t>
  </si>
  <si>
    <t>http://lattes.cnpq.br/1766582596876949</t>
  </si>
  <si>
    <t>Paula Caroline Schifino Jardim Passos, Vítor Vasata Macchi Silva, Fátima Santana da Silva, Nilton Alves Junior</t>
  </si>
  <si>
    <t>Qualificação integrada dos ambientes digitais de informação científica do Centro Brasileiro de Pesquisas Físicas para ciência aberta, gestão da informação científica e preservação digital.</t>
  </si>
  <si>
    <t>16:50:13</t>
  </si>
  <si>
    <t>10:03:12</t>
  </si>
  <si>
    <t>Ministério da Ciência, Tecnologia e Inovações</t>
  </si>
  <si>
    <t>MCTI</t>
  </si>
  <si>
    <t>1766582596876949</t>
  </si>
  <si>
    <t>paulajardim@cbpf.br</t>
  </si>
  <si>
    <t>- Ministério da Ciência, Tecnologia e Inovações: (Servidor público - Analista em Ciência e Tecnologia)</t>
  </si>
  <si>
    <t>402219/2026-0</t>
  </si>
  <si>
    <t>36922763890</t>
  </si>
  <si>
    <t>Paulo Henrique Junqueira Amorim</t>
  </si>
  <si>
    <t>http://lattes.cnpq.br/1922073864519544</t>
  </si>
  <si>
    <t xml:space="preserve">Paulo Henrique Junqueira Amorim, Hélio Pedrini, Rui Miguel Barreiros Ruben, Pedro Tadao Hamamoto Filho, Renato Colenci, Marcília Valéria Guimarães, Eduardo Bertoni da Fonseca, Fábio de Souza Azevedo, Guilherme Arthur </t>
  </si>
  <si>
    <t>Plataforma Inteligente para Geração e Monitoramento de Implantes Cranianos Personalizados</t>
  </si>
  <si>
    <t>23:44:28</t>
  </si>
  <si>
    <t>09:59:45</t>
  </si>
  <si>
    <t>1922073864519544</t>
  </si>
  <si>
    <t>paulojamorim@gmail.com</t>
  </si>
  <si>
    <t>- Centro de Tecnologia da Informação Renato Archer: (Servidor público - Tecnologista Pleno)</t>
  </si>
  <si>
    <t>401112/2026-8</t>
  </si>
  <si>
    <t>42523842734</t>
  </si>
  <si>
    <t>Paulo Victor Rodrigues de Carvalho</t>
  </si>
  <si>
    <t>http://lattes.cnpq.br/8486882484125774</t>
  </si>
  <si>
    <t xml:space="preserve">Paulo Victor Rodrigues de Carvalho, Marcos Santana Farias, Cláudio Henrique dos Santos Grecco, Alfredo Marques Vianna Filho, Luiz Carlos Reina Pereira da Silva, Fábio de Lacerda, Ulysses d´Utra Bitelli, Francisco Jose de Oliveira </t>
  </si>
  <si>
    <t>Plataforma Institucional de Instrumentação Nuclear Digital para Reatores de Pesquisa, Microreatores e Radioproteção</t>
  </si>
  <si>
    <t>09:43:22</t>
  </si>
  <si>
    <t>16:53:38</t>
  </si>
  <si>
    <t>8486882484125774</t>
  </si>
  <si>
    <t>paulov195617@gmail.com</t>
  </si>
  <si>
    <t>- Universidade Federal do Rio de Janeiro: (Professor - Professor Colaborador)
- Instituto de Engenharia Nuclear/CNEN: (Servidor público - tecnologista senior III)
- Instituto de Engenharia Nuclear/CNEN: (Servidor público - professor)
- Conselho Nacional de Desenvolvimento Científico e Tecnológico: (Bolsista produtividade - PQ1D - Consultor de projetos de P&amp;D)
- Universidade Federal do Rio Grande do Norte: (Consultor Acadêmico - Colaborador)
- Fundação Oswaldo Cruz: (COLABORADOR - Colaborador)
- Fundação Oswaldo Cruz: (COLABORADOR - Membro do grupo de pesquisa ResiliSUS)
- COMISSAO NACIONAL DE ENERGIA NUCLEAR: (servidor publico - tecnologista)
- Coordenação de Aperfeiçoamento de Pessoal de Nível Superior: (COLABORADOR - Consultor Acadêmico)
- FAPERJ: (Consultor Ad Hoc - Colaborador)
- Centro Universitário Carioca: (CELETISTA - professor)
- Universidade Federal da Paraíba: (em branco)
- International Ergonomics Association: (Coordenador de GT - colaborador)</t>
  </si>
  <si>
    <t>402275/2026-8</t>
  </si>
  <si>
    <t>34673471857</t>
  </si>
  <si>
    <t>Pedro Ivo Mioni Camarinha</t>
  </si>
  <si>
    <t>http://lattes.cnpq.br/0554631424547411</t>
  </si>
  <si>
    <t xml:space="preserve">Pedro Ivo Mioni Camarinha, Vanessa Canavesi, Eliana Maia de Jesus Palmeira Vale, Diego Oliveira de Souza, Kelen Martins Andrade, Rodrigo Augusto Stabile, Tulius Dias Nery, Rafael Alexandre Ferreira Luiz, Tiago Bernardes, </t>
  </si>
  <si>
    <t>Fortalecimento da Capacidade Institucional do Cemaden para Sistemas Interdisciplinares de Previsão e Alerta de Risco de Deslizamentos de Terra</t>
  </si>
  <si>
    <t>17:05:05</t>
  </si>
  <si>
    <t>10:03:18</t>
  </si>
  <si>
    <t>0554631424547411</t>
  </si>
  <si>
    <t>pedro.camarinha@cemaden.gov.br</t>
  </si>
  <si>
    <t>- Centro Nacional de Monitoramento e Alertas de Desastres Naturais: (Servidor público - Tecnologista)
- Ministério da Ciência, Tecnologia e Inovações: (em branco)</t>
  </si>
  <si>
    <t>402109/2026-0</t>
  </si>
  <si>
    <t>25085286847</t>
  </si>
  <si>
    <t>Pedro Yoshito Noritomi</t>
  </si>
  <si>
    <t>http://lattes.cnpq.br/2888737036015916</t>
  </si>
  <si>
    <t>Pedro Yoshito Noritomi, Rodrigo Bonacin, Filipe Loyola Lopes, Caio Cesar de Lima Silva, Marcos Vinicius Cruz</t>
  </si>
  <si>
    <t>Arquiteturas de Inteligência Artificial e Visão Computacional Aplicadas para Análise Automatizada em Desordens Hematológicas</t>
  </si>
  <si>
    <t>Imagens e Sinais Biomédicos</t>
  </si>
  <si>
    <t>18:45:50</t>
  </si>
  <si>
    <t>09:53:13</t>
  </si>
  <si>
    <t>2888737036015916</t>
  </si>
  <si>
    <t>pedro.noritomi@cti.gov.br</t>
  </si>
  <si>
    <t>401991/2026-1</t>
  </si>
  <si>
    <t>14239724732</t>
  </si>
  <si>
    <t>Philipe Osório de Fabritiis</t>
  </si>
  <si>
    <t>http://lattes.cnpq.br/3841424048908423</t>
  </si>
  <si>
    <t>Philipe Osório de Fabritiis, Leonardo Chataignier Moreira da Rocha, Antônio Duarte Pereira Junior, Gustavo Pazzini de Brito, David Dudal, Marcela Peláez, Astrid Eichhorn, Claus Kiefer</t>
  </si>
  <si>
    <t>Teorias de gauge nas interações fundamentais: do confinamento da cor à quantização da gravitação</t>
  </si>
  <si>
    <t>Teoria Geral de Partículas e Campos</t>
  </si>
  <si>
    <t>16:32:36</t>
  </si>
  <si>
    <t>16:50:28</t>
  </si>
  <si>
    <t>3841424048908423</t>
  </si>
  <si>
    <t>pdf321@cbpf.br</t>
  </si>
  <si>
    <t>- Centro Brasileiro de Pesquisas Físicas: (Servidor público - Pesquisador Adjunto)
- Universidade Estadual Paulista Júlio de Mesquita Filho: (em branco)</t>
  </si>
  <si>
    <t>402376/2026-9</t>
  </si>
  <si>
    <t>00782066186</t>
  </si>
  <si>
    <t>Priscila Machado Borges Sena</t>
  </si>
  <si>
    <t>http://lattes.cnpq.br/0155235005204514</t>
  </si>
  <si>
    <t xml:space="preserve">Priscila Machado Borges Sena, Angélica Conceição Dias Miranda, Caterina Marta Groposo Pavão, Célia Regina Simonetti Barbalho, Claudete Fernandes de Queiroz, Claudia Oliveira de Moura Bueno, Clediane de Araujo Guedes </t>
  </si>
  <si>
    <t>Fortalecimento de competências institucionais em Ciência Aberta: monitoramento, interoperabilidade e inteligência analítica na Rede Brasileira de Repositórios Digitais (RBRD)</t>
  </si>
  <si>
    <t>18:25:13</t>
  </si>
  <si>
    <t>18:25:22</t>
  </si>
  <si>
    <t>0155235005204514</t>
  </si>
  <si>
    <t>priscilasena@ibict.br</t>
  </si>
  <si>
    <t>- Federação Brasileira de Associações de Bibliotecários, Cientistas de Inform: (Voluntário - Diretoria Regional Sul)
- Universidade Federal de São Carlos: (Convidada (MBA IUI) - Professora)
- Universidade do Estado de Santa Catarina: (COLABORADOR - Professora Colaboradora)
- Instituto Brasileiro de Informação em Ciência e Tecnologia: (Servidor público - Pesquisadora)
- Universidade Federal de Alagoas: (Colaboradora - Pesquisadora em Grupo de Pesquisa)</t>
  </si>
  <si>
    <t>402352/2026-2</t>
  </si>
  <si>
    <t>05507425302</t>
  </si>
  <si>
    <t>Rafael Otávio Alves Abreu</t>
  </si>
  <si>
    <t>http://lattes.cnpq.br/4771929959769327</t>
  </si>
  <si>
    <t xml:space="preserve">Rafael Otávio Alves Abreu, Luiz Octavio de Souza Bueno Oliveira, Gilcyvania Castro Corvelo Costa, Deane Roehl Gattass, Rodrigo de Azevêdo Neves, Kíssila Botelho Goliath, José Guilherme Porto Oliveira, Lourdes Maria Silva de </t>
  </si>
  <si>
    <t>Modelagem computacional orientada a dados para monitoramento de saúde estrutural de pontes via sensoriamento por dispositivos móveis</t>
  </si>
  <si>
    <t>Estruturas</t>
  </si>
  <si>
    <t>15:20:15</t>
  </si>
  <si>
    <t>15:20:25</t>
  </si>
  <si>
    <t>4771929959769327</t>
  </si>
  <si>
    <t>rafael_oabreu@hotmail.com</t>
  </si>
  <si>
    <t>400925/2026-5</t>
  </si>
  <si>
    <t>29/04/2026</t>
  </si>
  <si>
    <t>17:59:36</t>
  </si>
  <si>
    <t>17:59:41</t>
  </si>
  <si>
    <t>401853/2026-8</t>
  </si>
  <si>
    <t>59472731791</t>
  </si>
  <si>
    <t>Regina Célia Cerqueira de Almeida</t>
  </si>
  <si>
    <t>http://lattes.cnpq.br/6688041530466410</t>
  </si>
  <si>
    <t xml:space="preserve">Regina Célia Cerqueira de Almeida, Renato Simões Silva, Ernesto Augusto Bueno da Fonseca Lima, Heber Lima da Rocha, Gustavo Barbosa Libotte, Luciana Rodrigues Carvalho Barros, Martin Hernan Bonamino, Luiza de Macedo </t>
  </si>
  <si>
    <t>Modelagem Computacional de Sistemas Complexos</t>
  </si>
  <si>
    <t>18:37:52</t>
  </si>
  <si>
    <t>18:38:02</t>
  </si>
  <si>
    <t>6688041530466410</t>
  </si>
  <si>
    <t>rcca1501@gmail.com</t>
  </si>
  <si>
    <t>- Laboratório Nacional de Computação Científica: (Pesquisador Titular)</t>
  </si>
  <si>
    <t>402113/2026-8</t>
  </si>
  <si>
    <t>86192493715</t>
  </si>
  <si>
    <t>Renato de Alencar Dupke</t>
  </si>
  <si>
    <t>http://lattes.cnpq.br/7043184517823865</t>
  </si>
  <si>
    <t>Renato de Alencar Dupke, Jailson Souza de Alcaniz, Carlos André Paes Bengaly Junior, Clarissa Martins Siqueira, Leandro José Beraldo e Silva</t>
  </si>
  <si>
    <t>Sinergia Multimensageira e a Natureza da Matéria Escura: Consolidação de Competências Estratégicas no Observatório Nacional</t>
  </si>
  <si>
    <t>14:08:05</t>
  </si>
  <si>
    <t>09:53:30</t>
  </si>
  <si>
    <t>7043184517823865</t>
  </si>
  <si>
    <t>rdupke@gmail.com</t>
  </si>
  <si>
    <t>- Observatório Nacional: (Servidor público - Pesquisador)
- University of Michigan: (PROFESSOR_VISITANTE - Visting Assistant Research Scientist)
- Universidade do Alabama, Tuscaloosa: (PROFESSOR_VISITANTE - Adjunct Professor)</t>
  </si>
  <si>
    <t>401346/2026-9</t>
  </si>
  <si>
    <t>66755131768</t>
  </si>
  <si>
    <t>Renato Portugal</t>
  </si>
  <si>
    <t>http://lattes.cnpq.br/2605062132611045</t>
  </si>
  <si>
    <t>Renato Portugal, Laurent Emmanuel Dardenne, Gilson Antonio Giraldi, Fábio Pereira dos Santos</t>
  </si>
  <si>
    <t>Computação e Inteligência Artificial Quânticas para Modelagem Baseada em Equações Diferenciais</t>
  </si>
  <si>
    <t>17:26:44</t>
  </si>
  <si>
    <t>17:26:53</t>
  </si>
  <si>
    <t>2605062132611045</t>
  </si>
  <si>
    <t>portugal@lncc.br</t>
  </si>
  <si>
    <t>- Laboratório Nacional de Computação Científica: (Pesquisador Titular)
- Universidade Católica de Petrópolis: (CELETISTA - Professor)</t>
  </si>
  <si>
    <t>402351/2026-6</t>
  </si>
  <si>
    <t>72934255700</t>
  </si>
  <si>
    <t>Ricardo José de Carvalho</t>
  </si>
  <si>
    <t>http://lattes.cnpq.br/7972104125828116</t>
  </si>
  <si>
    <t>Ricardo José de Carvalho, Pedro Senna Rocha, Idrissa Deme</t>
  </si>
  <si>
    <t>INOVAÇÃO TECNOLÓGICA EM TEMPO E FREQUÊNCIA</t>
  </si>
  <si>
    <t xml:space="preserve">Metrologia, Técnicas Gerais de Laboratório, Sistema de </t>
  </si>
  <si>
    <t>15:13:36</t>
  </si>
  <si>
    <t>15:13:53</t>
  </si>
  <si>
    <t>7972104125828116</t>
  </si>
  <si>
    <t>carvalho@on.br</t>
  </si>
  <si>
    <t>- Observatório Nacional: (Servidor público - Outro (Tecnologista Senior))</t>
  </si>
  <si>
    <t>402399/2026-9</t>
  </si>
  <si>
    <t>08263950740</t>
  </si>
  <si>
    <t>Ricardo Lourenco Correia Ogando</t>
  </si>
  <si>
    <t>http://lattes.cnpq.br/1794801345183675</t>
  </si>
  <si>
    <t xml:space="preserve">Ricardo Lourenco Correia Ogando, Rodrigo Bonacin, Caique Serati de Brito, Lucas Gavião Rocha, Eduardo Bertoni da Fonseca, Guilherme Arthur Longhitano, Leonardo Mendes Ribeiro Machado, Railson Bolsoni Falcão, Adriano Lins </t>
  </si>
  <si>
    <t>Projeto Institucional do Space Farming Brazil no CTI</t>
  </si>
  <si>
    <t>Fitotecnia</t>
  </si>
  <si>
    <t>22:32:02</t>
  </si>
  <si>
    <t>22:32:13</t>
  </si>
  <si>
    <t>1794801345183675</t>
  </si>
  <si>
    <t>ricardo.ogando@cti.gov.br</t>
  </si>
  <si>
    <t>- Centro de Tecnologia da Informação Renato Archer: (Servidor público - Tecnologista Senior)</t>
  </si>
  <si>
    <t>402311/2026-4</t>
  </si>
  <si>
    <t>08168815700</t>
  </si>
  <si>
    <t>Ricardo Medeiros Pimenta</t>
  </si>
  <si>
    <t>http://lattes.cnpq.br/0416440515458304</t>
  </si>
  <si>
    <t xml:space="preserve">Ricardo Medeiros Pimenta, Fabio Castro Gouveia, Alexandre de Souza Costa, Luciane de Fátima Beckman Cavalcante, Ilemar Christina Lansoni Wey Berti, Arthur Coelho Bezerra, Andreia Ingrid Michele do Nascimento, </t>
  </si>
  <si>
    <t>Formação, inovação e transformação digital na pesquisa e no ensino: institucionalização e operacionalização da Escola Nacional de Informação (Enacin) do Instituto Brasileiro de Informação em Ciência e Tecnologia (Ibict).</t>
  </si>
  <si>
    <t>11:13:09</t>
  </si>
  <si>
    <t>11:13:17</t>
  </si>
  <si>
    <t>0416440515458304</t>
  </si>
  <si>
    <t>ricardopimenta@ibict.br</t>
  </si>
  <si>
    <t>- Instituto Brasileiro de Informação em Ciência e Tecnologia: (Servidor público - Pesquisador Titular)
- Universidade Santa Úrsula: (CELETISTA - Professor)</t>
  </si>
  <si>
    <t>402023/2026-9</t>
  </si>
  <si>
    <t>08179019730</t>
  </si>
  <si>
    <t>Roberto Carlos da Conceição Ribeiro</t>
  </si>
  <si>
    <t>http://lattes.cnpq.br/7684068941160219</t>
  </si>
  <si>
    <t xml:space="preserve">Roberto Carlos da Conceição Ribeiro, Nuria Fernández Castro, Francisco Wilson Hollanda Vidal, Rosana Elisa Coppedê da Silva, Joedy Patrícia Cruz Queiroz, Daniele Cruz Bastos, Michelle Teixeira Costa Cassiano dos Santos, </t>
  </si>
  <si>
    <t xml:space="preserve">Aproveitamento de resíduos oriundos da lavra e do beneficiamento  do Mármore Bege Bahia para a geração de pisos geradores de energia com controle  Arduino </t>
  </si>
  <si>
    <t>07:21:13</t>
  </si>
  <si>
    <t>07:21:19</t>
  </si>
  <si>
    <t>7684068941160219</t>
  </si>
  <si>
    <t>ribeiroroberto77@gmail.com</t>
  </si>
  <si>
    <t>- Centro de Tecnologia Mineral: (Servidor público - Pesquisador Adjunto I)
- Universidade Federal do Espírito Santo: (em branco)
- Associação Brasileira de Normas Técnicas: (Membro de comitê assessor)</t>
  </si>
  <si>
    <t>402353/2026-9</t>
  </si>
  <si>
    <t>93824920972</t>
  </si>
  <si>
    <t>Rodrigo Bonacin</t>
  </si>
  <si>
    <t>http://lattes.cnpq.br/9830819801249558</t>
  </si>
  <si>
    <t>Rodrigo Bonacin, Pedro Yoshito Noritomi, Filipe Loyola Lopes, Fabiana Fator Gouvêa Bonilha, Serguei Balachov</t>
  </si>
  <si>
    <t>Plataforma Inteligente Integrada de Software e Hardware para a Inclusão Social e Educacional de Pessoas com Deficiência</t>
  </si>
  <si>
    <t>15:21:28</t>
  </si>
  <si>
    <t>15:21:37</t>
  </si>
  <si>
    <t>9830819801249558</t>
  </si>
  <si>
    <t>rbonacin@yahoo.com.br</t>
  </si>
  <si>
    <t>- Centro de Tecnologia da Informação Renato Archer: (Servidor público - Tecnologista Sênior)
- Centro Universitário Campo Limpo Paulista: (Bolsista - Professor)
- Centro Universitário de Jaguariúna: (CELETISTA - Professor)
- Instituto de Ensino Superior de Indaiatuba: (CELETISTA - Professor)</t>
  </si>
  <si>
    <t>402239/2026-1</t>
  </si>
  <si>
    <t>12878122798</t>
  </si>
  <si>
    <t>Rodrigo Carlos Viana Coelho</t>
  </si>
  <si>
    <t>http://lattes.cnpq.br/9799841061508537</t>
  </si>
  <si>
    <t>Rodrigo Carlos Viana Coelho, Marcelo Amanajas Pires, Evaldo Mendonca Fleury Curado, Geraldo Roberto Carvalho Cernicchiaro, Rodrigo Surmas, Nuno Miguel Azevedo Machado de Araújo, Cristóvão Sousa Dias, Juliane Simmchen</t>
  </si>
  <si>
    <t>Transporte de Fluidos em Meios Porosos: Modelagem Multiescala com Aplicações em Solos e Armazenamento de CO2</t>
  </si>
  <si>
    <t>Dinâmica dos Fluídos</t>
  </si>
  <si>
    <t>17:03:07</t>
  </si>
  <si>
    <t>10:01:14</t>
  </si>
  <si>
    <t>9799841061508537</t>
  </si>
  <si>
    <t>rcvcoelho@cbpf.br</t>
  </si>
  <si>
    <t>- Centro Brasileiro de Pesquisas Físicas: (Servidor público - Pesquisador Associado)</t>
  </si>
  <si>
    <t>402369/2026-2</t>
  </si>
  <si>
    <t>07525824703</t>
  </si>
  <si>
    <t>Rodrigo Felix de Araujo Cardoso</t>
  </si>
  <si>
    <t>http://lattes.cnpq.br/4812908341887388</t>
  </si>
  <si>
    <t xml:space="preserve">Rodrigo Felix de Araujo Cardoso, Talita Gama de Sousa, Juciane Maria Alves da Silva, Luiz Paulo Mendonca Brandao, Andersan dos Santos Paula, Diego Ernesto González Chávez, Tarcisio Reis de Oliveira, José Rogério de </t>
  </si>
  <si>
    <t>Metodologia instrumentada para avaliação do comportamento magnético de aços elétricos visando à eficiência energética</t>
  </si>
  <si>
    <t>17:53:40</t>
  </si>
  <si>
    <t>17:53:47</t>
  </si>
  <si>
    <t>4812908341887388</t>
  </si>
  <si>
    <t>rodpazebem@gmail.com</t>
  </si>
  <si>
    <t>- Centro Brasileiro de Pesquisas Físicas: (Servidor público - Tecnologista Pleno)
- Universidade do Estado do Rio de Janeiro: (Professor Adjunto)
- Instituto Militar de Engenharia: (COLABORADOR - Representante da Sociedade Civil  em comissão)</t>
  </si>
  <si>
    <t>401968/2026-0</t>
  </si>
  <si>
    <t>00770656978</t>
  </si>
  <si>
    <t>Ronnie Fagundes de Brito</t>
  </si>
  <si>
    <t>http://lattes.cnpq.br/9015008667871372</t>
  </si>
  <si>
    <t xml:space="preserve">Ronnie Fagundes de Brito, Carina Luisa Ochi Flexor, Antenor Ferreira Correa, Leda Cardoso Sampson Pinto, Helia de Sousa Chaves, Cecília Leite Oliveira, Isabela Gomes Parucker, Lais Alpi Landim, Victor Pinheiro Louvisi, Martin </t>
  </si>
  <si>
    <t>Mídias Digitais na Divulgação Científica Acessível: estudos, experimentação, produção e avaliação de linguagens e formatos interativos</t>
  </si>
  <si>
    <t>15:07:30</t>
  </si>
  <si>
    <t>15:12:47</t>
  </si>
  <si>
    <t>9015008667871372</t>
  </si>
  <si>
    <t>ronnie@inf.ufsc.br</t>
  </si>
  <si>
    <t>- Instituto Brasileiro de Informação em Ciência e Tecnologia: (Servidor público - Tecnologista)
- Fundação Carlos Chagas: (em branco)</t>
  </si>
  <si>
    <t>402344/2026-0</t>
  </si>
  <si>
    <t>69271810759</t>
  </si>
  <si>
    <t>Sarita Albagli</t>
  </si>
  <si>
    <t>http://lattes.cnpq.br/8946328562221916</t>
  </si>
  <si>
    <t xml:space="preserve">Sarita Albagli, Walter Eler do Couto, Washington Luís Ribeiro de Carvalho Segundo, Hesley da Silva Py, Josir Cardoso Gomes, Luca Schirru, Edna Karina da Silva Lira, Mayara Helena Fonseca dos Santos, Clara Duarte Coelho, </t>
  </si>
  <si>
    <t>Desenvolvimento e Inovação da Infraestrutura Informacional para Ciência Cidadã</t>
  </si>
  <si>
    <t>13:14:50</t>
  </si>
  <si>
    <t>13:14:57</t>
  </si>
  <si>
    <t>8946328562221916</t>
  </si>
  <si>
    <t>sarita.albagli@gmail.com</t>
  </si>
  <si>
    <t>- Instituto Brasileiro de Informação em Ciência e Tecnologia: (COLABORADOR - Pesquisadora Colaboradora)
- Programa de Pós-Graduação em Ciência da Informação / IBICT-UFRJ: (Docente Permanente - Docente Permanente)</t>
  </si>
  <si>
    <t>402126/2026-2</t>
  </si>
  <si>
    <t>83380876887</t>
  </si>
  <si>
    <t>Sergio Celaschi</t>
  </si>
  <si>
    <t>http://lattes.cnpq.br/4790830199468893</t>
  </si>
  <si>
    <t xml:space="preserve">Sergio Celaschi, Daniel Richard Sant'Ana, Thebano Emilio de Almeida Santos, Duarcides Ferreira Mariosa, Daniel Marchesi de Camargo Neves, Henrique de Canavarro Alencar, Wilson de Carvalho Junior, Yovanka Pérez Ginoris, </t>
  </si>
  <si>
    <t>P&amp;D em dispositivos/sensores fotônicos, testes em campo e transferencia de tecnologia  de sistemas IoT de monitoramento em nuvem para análise da qualidade da água de reúso e de efluentes</t>
  </si>
  <si>
    <t>Tratamento de Águas de Abastecimento e Residuárias</t>
  </si>
  <si>
    <t>16:24:05</t>
  </si>
  <si>
    <t>09:54:13</t>
  </si>
  <si>
    <t>4790830199468893</t>
  </si>
  <si>
    <t>celaschi@gmail.com</t>
  </si>
  <si>
    <t>- Centro de Tecnologia da Informação Renato Archer: (Servidor público - Tecnologista Pleno)
- Centro de Tecnologia da Informação Renato Archer: (Servidor público - Technologista Pleno DIMES/CTI)
- Fundação de Amparo à Pesquisa do Estado de São Paulo: (Membro de comitê assessor)
- Fundação de Amparo à Pesquisa do Estado de São Paulo: (em branco)
- Ministerio de Ciencia Tecnologia e Inovação: (Membro de comitê assessor)
- FLEXSYS SISTEMAS E SOLUÇÕES EMPRESARIAIS LTDA: (Sócio Proprietário - Sócio Quotista)
- Centre optics photonics and laser - University Laval: (em branco)
- Jonfra Automação Industrial Ltda.: (em branco)
- Universidade de Brasília: (em branco)</t>
  </si>
  <si>
    <t>402123/2026-3</t>
  </si>
  <si>
    <t>36963615772</t>
  </si>
  <si>
    <t>Sergio Luiz Fontes</t>
  </si>
  <si>
    <t>http://lattes.cnpq.br/8537150955145617</t>
  </si>
  <si>
    <t xml:space="preserve">Sergio Luiz Fontes, Emanuele Francesco La Terra, Gilberto da Silva Leite Neto, André Vinícius de Sousa Nascimento, Artur Santos Benevides, Adevilson Oliveira Alves, Lucca Martins Franco, Liliane Paiva Panetto, Ítalo </t>
  </si>
  <si>
    <t>Capacitação Institucional Voltada ao Desenvolvimento de Abordagens Multifísicas para a Transição Energética Nacional: Hidrogênio Natural e Armazenamento Geológico de Carbono</t>
  </si>
  <si>
    <t>23:21:08</t>
  </si>
  <si>
    <t>09:54:03</t>
  </si>
  <si>
    <t>8537150955145617</t>
  </si>
  <si>
    <t>sergioon54@gmail.com</t>
  </si>
  <si>
    <t>- Observatório Nacional: (Servidor público ou celetista - Pesquisador)
- Fundação Carlos Chagas Filho de Amparo à Pesquisa do Estado do RJ: (Membro de comitê assessor)
- Instituto Panamericano de Geografia e História: (Representante brasileiro - Coordenador de Geofísica)
- International Association of Geomagnetism and Aeronomy: (Correspondente Nacional - Correspondente nacional)
- Universidade Federal de Santa Catarina: (COLABORADOR - Coordenador de Area)
- Universidade Federal de Santa Catarina: (em branco)
- Universidade de Brasília: (em branco)</t>
  </si>
  <si>
    <t>402389/2026-3</t>
  </si>
  <si>
    <t>08065533833</t>
  </si>
  <si>
    <t>Silvana Aparecida Borsetti Gregorio Vidotti</t>
  </si>
  <si>
    <t>http://lattes.cnpq.br/7390573927636069</t>
  </si>
  <si>
    <t xml:space="preserve">Silvana Aparecida Borsetti Gregorio Vidotti, Cristiana DOBRE, Caio Saraiva Coneglian, Emanuelle Torino, Fernanda Alves Sanchez, Guilherme Ataíde Dias, Henry Poncio Cruz de Oliveira, Laís Barbudo Carrasco, Ricardo Cesar </t>
  </si>
  <si>
    <t>Mirante da Sustentabilidade: plataforma de informação para coerência política, inteligência territorial e democratização da Agenda 2030 em municípios brasileiros</t>
  </si>
  <si>
    <t>20:19:26</t>
  </si>
  <si>
    <t>20:19:51</t>
  </si>
  <si>
    <t>7390573927636069</t>
  </si>
  <si>
    <t>silvanavidotti@ibict.br</t>
  </si>
  <si>
    <t>- Universidade Estadual Paulista Júlio de Mesquita Filho: (Professor Assistente Doutor)
- Instituto Nacional de Estudos e Pesquisas Educacionais Anísio Teixeira: (COLABORADOR - Avaliador de curso superior - INEP/MEC)
- Instituto Brasileiro de Informação em Ciência e Tecnologia: (Bolsista - Pesquisadora)
- Instituto Brasileiro de Informação em Ciência e Tecnologia: (Servidor público - Coordenadora de Tecnologias Aplicadas)
- Instituto Brasileiro de Informação em Ciência e Tecnologia: (Servidor público - Membro do Grupo de Pesquisa BRIET)
- Instituto Brasileiro de Informação em Ciência e Tecnologia: (Servidor público - Grupo de Pesquisa - Arquitetura da Informação)
- Instituto Brasileiro de Informação em Ciência e Tecnologia: (Servidor público - Grupo de Pesquisa - LIS)
- Instituto Brasileiro de Informação em Ciência e Tecnologia: (Servidor público - Docente do PPGCI)
- Instituto Brasileiro de Informação em Ciência e Tecnologia: (Servidor público - Encarregada pelo Tratamento dos Dados - LGPD)
- Instituto Brasileiro de Informação em Ciência e Tecnologia: (Servidor público - Membro do Comitê da LGPD)
- Instituto Brasileiro de Informação em Ciência e Tecnologia: (Servidor público - Membro: Grupo de Trabalho Dados Abertos  PDA)
- GO FAIR BRASIL: (Coordenadora do GO CHANGE - Membro do GO FAIR BRASIL)
- Fundação Sistema Estadual de Análise de Dados: (Representante da Unesp - Membro do Conselho Curador)
- Coordenação de Aperfeiçoamento de Pessoal de Nível Superior: (Coordenadora de Projeto de DT - Coordenadora do Projeto)
- Fundação de Amparo à Pesquisa do Estado de São Paulo: (Consultor ad hoc - Consultor ad hoc)</t>
  </si>
  <si>
    <t>402214/2026-9</t>
  </si>
  <si>
    <t>05816140701</t>
  </si>
  <si>
    <t>Sílvio Manuel Duarte Queirós</t>
  </si>
  <si>
    <t>http://lattes.cnpq.br/3566348909616710</t>
  </si>
  <si>
    <t xml:space="preserve">Sílvio Manuel Duarte Queirós, Marcelo Amanajas Pires, Erveton Pinheiro Pinto, Jefferson José Ximenes, Rodrigo da Costa Lima Bruni, Jonhatan Magno Norte da Silva, Geraldo Roberto Carvalho Cernicchiaro, Pedro Gonçalves Lind, </t>
  </si>
  <si>
    <t>Novas conexões entre Instrumentação, Ciência de Dados e Criptografia Baseada em Caos</t>
  </si>
  <si>
    <t>20:58:54</t>
  </si>
  <si>
    <t>09:59:28</t>
  </si>
  <si>
    <t>3566348909616710</t>
  </si>
  <si>
    <t>sdqueiro@cbpf.br</t>
  </si>
  <si>
    <t>- Centro Brasileiro de Pesquisas Físicas: (Servidor público - Pesquisador Titular)
- Universidade Federal de Alagoas: (em branco)</t>
  </si>
  <si>
    <t>402047/2026-5</t>
  </si>
  <si>
    <t>02492835731</t>
  </si>
  <si>
    <t>Simone Daflon dos Santos</t>
  </si>
  <si>
    <t>http://lattes.cnpq.br/3395056316088979</t>
  </si>
  <si>
    <t>Simone Daflon dos Santos, Claudio Bastos Pereira, Marília Gabriela Cardoso Corrêa Carlos, João Victor Sales Silva, Hélio Dotto Perottoni, Marcelo Borges Fernandes</t>
  </si>
  <si>
    <t>Desenvolvimento de Competências Estratégicas em Astrofísica Estelar para o Observatório Nacional: Inteligência Artificial, Ciência de Dados e Técnicas Observacionais Avançadas</t>
  </si>
  <si>
    <t>22:43:25</t>
  </si>
  <si>
    <t>09:49:23</t>
  </si>
  <si>
    <t>3395056316088979</t>
  </si>
  <si>
    <t>daflon@on.br</t>
  </si>
  <si>
    <t>- Observatório Nacional: (Servidor público ou celetista - Tecnologista)
- Observatório Nacional: (SERVIDOR_PUBLICO - Coordenadora da Coordenação de Astronomia/ON)
- Laboratório Nacional de Astrofísica: (COLABORADOR - Membro do Gemini-NTAC)</t>
  </si>
  <si>
    <t>402079/2026-4</t>
  </si>
  <si>
    <t>Simone Daflon dos Santos, Claudio Bastos Pereira, Marcelo Borges Fernandes, Hélio Dotto Perottoni, João Victor Sales Silva, Marília Gabriela Cardoso Corrêa Carlos</t>
  </si>
  <si>
    <t>21:41:51</t>
  </si>
  <si>
    <t>09:51:20</t>
  </si>
  <si>
    <t>402410/2026-2</t>
  </si>
  <si>
    <t>01668035103</t>
  </si>
  <si>
    <t>Tainá Batista de Assis</t>
  </si>
  <si>
    <t>http://lattes.cnpq.br/8018556894529318</t>
  </si>
  <si>
    <t xml:space="preserve">Tainá Batista de Assis, Raíssa da Veiga de Menêses, Larissa de Araújo Alves, Frederico Ramos Oliveira, Tiago Emmanuel Nunes Braga, Sandra Priscilla Oliveira Venancio, Luc Quoniam, Lillian Maria Araújo de Rezende Alvares, </t>
  </si>
  <si>
    <t>Indicadores de Ciência, Tecnologia e Inovação na era da Ciência Aberta: mensuração do valor estratégico das infraestruturas nacionais de informação científica</t>
  </si>
  <si>
    <t>23:50:10</t>
  </si>
  <si>
    <t>23:50:17</t>
  </si>
  <si>
    <t>8018556894529318</t>
  </si>
  <si>
    <t>tbatista.assis@gmail.com</t>
  </si>
  <si>
    <t>- Instituto Brasileiro de Informação em Ciência e Tecnologia: (Servidor público - Tecnologista)
- International Federation of Library Associations and |Institutions-Sec. LAC: (Voluntária - Membro)
- Conferência Lusófona de Ciência Aberta: (Voluntária - Membro da Comissão Científica)
- ISSN International Centre: (Voluntária - Membro)
- ISSN International Centre: (Voluntária - Membro)</t>
  </si>
  <si>
    <t>402361/2026-1</t>
  </si>
  <si>
    <t>18659427823</t>
  </si>
  <si>
    <t>Talita Mazon</t>
  </si>
  <si>
    <t>http://lattes.cnpq.br/6962270981833062</t>
  </si>
  <si>
    <t xml:space="preserve">Talita Mazon, Vinicius Vono Peruzzi, Wellington Romeiro de Melo, Allan Mariano Campos da Silveira, Gabriel Teixeira Brasil, Rodrigo Bonacin, Larissa Bach Toledo, Luana Vohlbrecht de Souza, Glauco Meireles Mascarenhas </t>
  </si>
  <si>
    <t>Materiais Funcionais e Tecnologias Emergentes para Detecção de Doenças</t>
  </si>
  <si>
    <t>17:11:57</t>
  </si>
  <si>
    <t>17:12:02</t>
  </si>
  <si>
    <t>6962270981833062</t>
  </si>
  <si>
    <t>talita.mazon@cti.gov.br</t>
  </si>
  <si>
    <t>- Centro de Tecnologia da Informação Renato Archer: (Servidor público - Tecnologista Senior)
- Universidade Estadual Paulista Júlio de Mesquita Filho: (em branco)</t>
  </si>
  <si>
    <t>401955/2026-5</t>
  </si>
  <si>
    <t>06953604778</t>
  </si>
  <si>
    <t>Tatiana Gabriela Rappoport</t>
  </si>
  <si>
    <t>http://lattes.cnpq.br/7843291258244995</t>
  </si>
  <si>
    <t xml:space="preserve">Tatiana Gabriela Rappoport, Andreij de Carvalho Gadelha, Carmem Maia Gilardoni, Eduardo Matzenbacher Bittar, Rodrigo Arouca de Albuquerque, Roberta Dutra de Oliveira Pinto, Flávio Garcia, Victor Carôzo Gois de Oliveira, </t>
  </si>
  <si>
    <t>Materiais Bidimensionais para Emissores Quânticos e Dispositivos Fotônicos Emergentes.</t>
  </si>
  <si>
    <t>13:15:37</t>
  </si>
  <si>
    <t>14:25:40</t>
  </si>
  <si>
    <t>7843291258244995</t>
  </si>
  <si>
    <t>tgrappoport@gmail.com</t>
  </si>
  <si>
    <t>- Universidade do Minho: (COLABORADOR - Investigador Associado)
- International Iberian Nanotechnology Laboratory: (COLABORADOR - Associate Researcher (MPA))
- Centro Brasileiro de Pesquisas Físicas: (Servidor público - Pesquisadora Titular I)</t>
  </si>
  <si>
    <t>402078/2026-8</t>
  </si>
  <si>
    <t>39256226839</t>
  </si>
  <si>
    <t>Tatiana Parra Vello</t>
  </si>
  <si>
    <t>http://lattes.cnpq.br/3772485642808091</t>
  </si>
  <si>
    <t xml:space="preserve">Tatiana Parra Vello, Vinicius Vono Peruzzi, Marcos Batista Cotovia Pimentel, Sebastiao Eleuterio Filho, Carlos Roberto Mendes de Oliveira, Gabriel Teixeira Brasil, Wellington Romeiro de Melo, Kayo de Oliveira Vieira, Caique </t>
  </si>
  <si>
    <t>Rotas de Mineração Urbana de Baterias de íon-Lítio: Rota Hidrometalúrgica Verde para Recuperação de Materiais Críticos e Conversão em Fertilizantes Quelatos de Alta Biodisponibilidade</t>
  </si>
  <si>
    <t>CENTRO DE TECNOLOGIA DA INFORMACAO RENATO ARCHER - CTI</t>
  </si>
  <si>
    <t>CTIRA_PPPROV</t>
  </si>
  <si>
    <t>09:51:16</t>
  </si>
  <si>
    <t>3772485642808091</t>
  </si>
  <si>
    <t>tatipvello@hotmail.com</t>
  </si>
  <si>
    <t>- CENTRO DE TECNOLOGIA DA INFORMACAO RENATO ARCHER - CTI: (Servidor público - Tecnologista Pleno)</t>
  </si>
  <si>
    <t>401941/2026-4</t>
  </si>
  <si>
    <t>12424300755</t>
  </si>
  <si>
    <t>Tatiana Simões Loureiro Maravilha</t>
  </si>
  <si>
    <t>http://lattes.cnpq.br/9960901322731831</t>
  </si>
  <si>
    <t xml:space="preserve">Tatiana Simões Loureiro Maravilha, Marcia Gomes de Oliveira, Valéria Gonçalves Costa, Alessandra de Alencar Padua Gabino, Luiz Fernando Vieira, Nathan Riany Valerio Albino, João Francisco Cajaiba da Silva, Ronald Wbeimar </t>
  </si>
  <si>
    <t>Modificação química de polissacarídeos por processamento reacional para desenvolvimento de inibidores sustentáveis de incrustação inorgânica na indústria de óleo e gás</t>
  </si>
  <si>
    <t>Polímeros e Colóides</t>
  </si>
  <si>
    <t>10:56:10</t>
  </si>
  <si>
    <t>10:56:16</t>
  </si>
  <si>
    <t>9960901322731831</t>
  </si>
  <si>
    <t>tatianaloureiro88@gmail.com</t>
  </si>
  <si>
    <t>- Faculdade  Souza Marques: (CELETISTA - Professora)
- Instituto Nacional de Tecnologia: (SERVIDOR_PUBLICO - Tecnologista Pleno)</t>
  </si>
  <si>
    <t>402258/2026-6</t>
  </si>
  <si>
    <t>96784130600</t>
  </si>
  <si>
    <t>Tiago Bernardes</t>
  </si>
  <si>
    <t>http://lattes.cnpq.br/8408207746528834</t>
  </si>
  <si>
    <t xml:space="preserve">Tiago Bernardes, Fabiani Denise Bender, Kleber Lopes da Rocha Filho, Viviana Aguilar Muñoz, Rogerio Lessa de Castro Carneiro, Rafael Alexandre Ferreira Luiz, Silvia Midori Saito, Leandro Casagrande, Adenilson Roberto </t>
  </si>
  <si>
    <t xml:space="preserve">Modelagem empírica de classificação de impacto baseada em dados com calibração estatística </t>
  </si>
  <si>
    <t>18:31:11</t>
  </si>
  <si>
    <t>10:02:18</t>
  </si>
  <si>
    <t>8408207746528834</t>
  </si>
  <si>
    <t>bernati2004@gmail.com.br</t>
  </si>
  <si>
    <t>- Centro Nacional de Monitoramento e Alertas de Desastres Naturais: (COLABORADOR - Analista Operacional em Desastres Naturais)</t>
  </si>
  <si>
    <t>402400/2026-7</t>
  </si>
  <si>
    <t>04481447605</t>
  </si>
  <si>
    <t>Tiago Emmanuel Nunes Braga</t>
  </si>
  <si>
    <t>http://lattes.cnpq.br/8376134230259399</t>
  </si>
  <si>
    <t>Tiago Emmanuel Nunes Braga, João Guilherme Bastos dos Santos, Luis Felipe Rosa de Oliveira, Josir Cardoso Gomes, Camilla Cavalcante de Souza Machuy, Frederico Ramos Oliveira, Tainá Batista de Assis</t>
  </si>
  <si>
    <t>Liberdade e segurança científica e a Informação para todos</t>
  </si>
  <si>
    <t>22:36:54</t>
  </si>
  <si>
    <t>22:36:58</t>
  </si>
  <si>
    <t>8376134230259399</t>
  </si>
  <si>
    <t>tiagobraga@ibict.br</t>
  </si>
  <si>
    <t>- Instituto Brasileiro de Informação em Ciência e Tecnologia: (Servidor público - Tecnologista / Pesquisador)
- Global LCA Data Access: (COLABORADOR - Voluntário)
- International Federation of Library Associations and Institutions: (COLABORADOR - Voluntário)
- International Federation of Library Associations and Institutions: (COLABORADOR - Voluntário)
- United Nations Educational, Scientific And Cultural Organization: (Voluntário - Voluntário)
- Sociedade Brasileira para o Progresso da Ciência - São Paulo: (Outro (especificar) - Sócio)
- Ordem dos Advogados do Brasil - Seccional do Rio de Janeiro: (Outros - Voluntário)</t>
  </si>
  <si>
    <t>402272/2026-9</t>
  </si>
  <si>
    <t>62579274391</t>
  </si>
  <si>
    <t>Tobias Micklitz</t>
  </si>
  <si>
    <t>http://lattes.cnpq.br/0586004379063241</t>
  </si>
  <si>
    <t xml:space="preserve">Tobias Micklitz, Ramon Cardias Alves de Almeida, Flaviano José Marchiori dos Santos, Tatiana Gabriela Rappoport, Rodrigo Arouca de Albuquerque, Nei Lopes da Silva Júnior, Carl Erik Emil Johansson Bergholtz, Anders Ingmar </t>
  </si>
  <si>
    <t>Plataforma computacional integrada para pesquisa de fronteira em Matéria Condensada Teórica no CBPF</t>
  </si>
  <si>
    <t>15:27:11</t>
  </si>
  <si>
    <t>10:03:07</t>
  </si>
  <si>
    <t>0586004379063241</t>
  </si>
  <si>
    <t>tobias@cbpf.br</t>
  </si>
  <si>
    <t>- Centro Brasileiro de Pesquisas Físicas: (Servidor público)</t>
  </si>
  <si>
    <t>401878/2026-0</t>
  </si>
  <si>
    <t>34588920871</t>
  </si>
  <si>
    <t>Vanderlei Coelho de Oliveira Junior</t>
  </si>
  <si>
    <t>http://lattes.cnpq.br/4332841435949533</t>
  </si>
  <si>
    <t>Vanderlei Coelho de Oliveira Junior, Valéria Cristina Ferreira Barbosa, Bruno dos Santos Silva, André Luis Albuquerque dos Reis</t>
  </si>
  <si>
    <t>Desenvolvimento de Métodos Numéricos e Inovação Metodológica em Geofísica Computacional para a Capacitação Institucional do Observatório Nacional</t>
  </si>
  <si>
    <t>16:00:40</t>
  </si>
  <si>
    <t>4332841435949533</t>
  </si>
  <si>
    <t>vanderlei@on.br</t>
  </si>
  <si>
    <t>- Observatório Nacional: (Servidor público - Pesquisador Titular III)
- University of Liverpool: (COLABORADOR - Honorary PGR Supervisor)</t>
  </si>
  <si>
    <t>401215/2026-1</t>
  </si>
  <si>
    <t>21367666864</t>
  </si>
  <si>
    <t>Vicente Idalberto Becerra Sablón</t>
  </si>
  <si>
    <t>http://lattes.cnpq.br/6350047853320576</t>
  </si>
  <si>
    <t xml:space="preserve">Vicente Idalberto Becerra Sablón, Juliana Mozer Sciani, Lucas Miguel de Carvalho, Fábio Andrijauskas, Iara Lúcia Tescarollo, Leonardo Henrique Dalcheco Messias, Rafael Baena Neto, Fernando Augusto de Lima Marson, Valquiria </t>
  </si>
  <si>
    <t>BioSpeechHealth: Plataforma Inteligente para Estruturação e Análise de Dados Clínicos por Speech Analytics em Ambientes de Saúde</t>
  </si>
  <si>
    <t>Universidade São Francisco</t>
  </si>
  <si>
    <t>USF</t>
  </si>
  <si>
    <t>16:00:19</t>
  </si>
  <si>
    <t>16:00:30</t>
  </si>
  <si>
    <t>6350047853320576</t>
  </si>
  <si>
    <t>vibsablon@yahoo.com.br</t>
  </si>
  <si>
    <t>- Universidade Estadual de Campinas: (COLABORADOR - Professor Participante)
- Laboratório de Comunicações Visuais: (Pesquisador - Pesquisador)
- Universidade São Francisco: (CELETISTA - Assessor de Coordenação)
- Universidade São Francisco: (Membro de comitê assessor)
- Universidade São Francisco: (CELETISTA - PROFESSOR_TITULAR)
- Conselho Nacional de Desenvolvimento Científico e Tecnológico: (Membro de comitê assessor)
- Conselho Nacional de Desenvolvimento Científico e Tecnológico: (Membro de comitê assessor)
- Programa de Iniciação Científica (PIC) da UNIVERSIDADE SÃO FRANCISCO: (Membro de comitê assessor)
- Programa de Iniciação Científica (PIC) da UNIVERSIDADE SÃO FRANCISCO: (Membro de comitê assessor)
- Programa de Iniciação Científica (PIC) da UNIVERSIDADE SÃO FRANCISCO: (Membro de comitê assessor)
- UNIMEP: (Membro de comitê assessor)
- UNIMEP: (Membro de comitê assessor)
- UNIMEP: (Membro de comitê assessor)
- UNIMEP: (Membro de comitê assessor)
- UNIMEP: (Membro de comitê assessor)
- UNIMEP: (Membro de comitê assessor)
- UNIMEP: (Membro de comitê assessor)
- Latin American and Caribbean Consortium of Engineering Institutions: (Membro de comitê assessor)
- Latin American and Caribbean Consortium of Engineering Institutions: (Standing Committee - Learning Engineering and Online Laboratories)
- Universidad Piloto de Colombia: (PROFESSOR_VISITANTE - Professor Visitante)</t>
  </si>
  <si>
    <t>402072/2026-0</t>
  </si>
  <si>
    <t>06269385709</t>
  </si>
  <si>
    <t>Victor Alfonso Rodriguez</t>
  </si>
  <si>
    <t>http://lattes.cnpq.br/6032627903788944</t>
  </si>
  <si>
    <t>Victor Alfonso Rodriguez, Hudson Jean Bianquini Couto, Flávio de Almeida Lemos, Paulo Fernando Almeida Braga</t>
  </si>
  <si>
    <t>Estudo das Rotas de Purificação de Quartzo de Jazidas Brasileira para Alta Pureza</t>
  </si>
  <si>
    <t>14:56:25</t>
  </si>
  <si>
    <t>09:50:59</t>
  </si>
  <si>
    <t>ASSOCIACAO INSTITUTO TECNOLOGICO VALE - ITV</t>
  </si>
  <si>
    <t>AITV_PPPROV</t>
  </si>
  <si>
    <t>6032627903788944</t>
  </si>
  <si>
    <t>msc.victoral@gmail.com</t>
  </si>
  <si>
    <t>- ASSOCIACAO INSTITUTO TECNOLOGICO VALE - ITV: (CELETISTA - Pesquisador adjunto B)</t>
  </si>
  <si>
    <t>401939/2026-0</t>
  </si>
  <si>
    <t>33617835856</t>
  </si>
  <si>
    <t>Victor Marchezini</t>
  </si>
  <si>
    <t>http://lattes.cnpq.br/2909699430118148</t>
  </si>
  <si>
    <t>Victor Marchezini, Silvia Midori Saito, Luciana de Resende Londe, Lucrêncio Silvestre Macarringue</t>
  </si>
  <si>
    <t>Capacidade de Preparação para Desastres (CAPRED)</t>
  </si>
  <si>
    <t>PROGRAMA BASICO DE PLANEJAMENTO URBANO E REGIONAL</t>
  </si>
  <si>
    <t>Administração Municipal e Urbana</t>
  </si>
  <si>
    <t>10:44:05</t>
  </si>
  <si>
    <t>10:44:13</t>
  </si>
  <si>
    <t>2909699430118148</t>
  </si>
  <si>
    <t>victor.marchezini@cemaden.gov.br</t>
  </si>
  <si>
    <t>- Centro Nacional de Monitoramento e Alertas de Desastres Naturais: (Servidor público - Pesquisador Associado)
- Universidade Federal de Mato Grosso: (em branco)
- International Sociological Association: (Membro do Comitê - Membro do Comitê em Sociologia dos Desastres)
- Programa de Pós-Graduação em Ciência do Sistema Terrestre: (Docente colaborador - Docente colaborador)
- Programa de Pós-Graduação em Desastres Naturais - ICT/Unesp - Cemaden/MCTI: (Servidor público - Professor permanente)
- Universidad del Bío-Bío: (em branco)
- University of Warwick: (em branco)
- Natural Hazards Center/Universidade do Colorado-Boulder: (Bolsista - Pesquisador afiliado)
- Norwegian Geotechnical Institute: (em branco)</t>
  </si>
  <si>
    <t>402282/2026-4</t>
  </si>
  <si>
    <t>04349244743</t>
  </si>
  <si>
    <t>Victor Pinheiro Louvisi</t>
  </si>
  <si>
    <t>http://lattes.cnpq.br/5526092970050695</t>
  </si>
  <si>
    <t>Victor Pinheiro Louvisi, Leda Cardoso Sampson Pinto, Lais Alpi Landim, Isabela Gomes Parucker, Ronnie Fagundes de Brito, Helia de Sousa Chaves</t>
  </si>
  <si>
    <t xml:space="preserve">PRESERVAR PARA DIVULGAR  Estudo da Memória Institucional do Canal Ciência/Ibict </t>
  </si>
  <si>
    <t>16:43:45</t>
  </si>
  <si>
    <t>10:03:42</t>
  </si>
  <si>
    <t>5526092970050695</t>
  </si>
  <si>
    <t>victorlouvisi@ibict.br</t>
  </si>
  <si>
    <t>- Instituto Brasileiro de Informação em Ciência e Tecnologia: (Servidor público - Tecnologista em Ciência da Informação)
- Aliança Francesa de Belo Horizonte: (COLABORADOR - Conselheiro)</t>
  </si>
  <si>
    <t>401133/2026-5</t>
  </si>
  <si>
    <t>13232188826</t>
  </si>
  <si>
    <t>Vidal de Freitas Mansano</t>
  </si>
  <si>
    <t>http://lattes.cnpq.br/5618078551561118</t>
  </si>
  <si>
    <t xml:space="preserve">Vidal de Freitas Mansano, Marcus José de Azevedo Falcão Junior, Anderson Javier Alvarado Reyes, Ana Tereza Novaes Parga Rodrigues, Lukas Gabriel Macedo Pessanha de Souza, Guilherme Sousa da Silva, Alexandre Gibau de </t>
  </si>
  <si>
    <t xml:space="preserve">Sistemática, Evolução e Ontogenia Floral de Leguminosas </t>
  </si>
  <si>
    <t>Taxonomia de Fanerógamos</t>
  </si>
  <si>
    <t>Instituto de Pesquisa Jardim Botânico do Rio de Janeiro</t>
  </si>
  <si>
    <t>IP/JBRJ</t>
  </si>
  <si>
    <t>22:19:33</t>
  </si>
  <si>
    <t>22:19:43</t>
  </si>
  <si>
    <t>5618078551561118</t>
  </si>
  <si>
    <t>vidalmansano@gmail.com</t>
  </si>
  <si>
    <t>- Instituto de Pesquisa Jardim Botânico do Rio de Janeiro: (Servidor público - Pesquisador Associado III)
- Instituto de Pesquisa Jardim Botânico do Rio de Janeiro: (Ensino de Botânica - Pós-graduação)
- Universidade Estadual de Campinas: (COLABORADOR - Orientador de Pós-graduaçao)</t>
  </si>
  <si>
    <t>402138/2026-0</t>
  </si>
  <si>
    <t>36283523803</t>
  </si>
  <si>
    <t>Vinicius Vono Peruzzi</t>
  </si>
  <si>
    <t>http://lattes.cnpq.br/4052000121702617</t>
  </si>
  <si>
    <t xml:space="preserve">Vinicius Vono Peruzzi, Wellington Romeiro de Melo, Tatiana Parra Vello, Allan Mariano Campos da Silveira, Gabriel Teixeira Brasil, Nailson Carvalho, Luís Eduardo Seixas Júnior, Saulo Finco, Antonio Carlos da Costa Telles, Kayo de </t>
  </si>
  <si>
    <t>Processadores RISC-V e Conversores Tempo-Digital em FPGA Robustos a Radiações Ionizantes: Estudo, Simulação e Validação Experimental para Aplicações em Ambientes Hostis</t>
  </si>
  <si>
    <t>Projeto</t>
  </si>
  <si>
    <t>18:35:15</t>
  </si>
  <si>
    <t>09:55:00</t>
  </si>
  <si>
    <t>4052000121702617</t>
  </si>
  <si>
    <t>vperuzzi@cti.gov.br</t>
  </si>
  <si>
    <t>- ETEC José Rocha Mendes: (CELETISTA - Professor I)
- FUNDACAO EDUCACIONAL INACIANA PADRE SABOIA DE MEDEIROS: (em branco)
- Centro de Tecnologia da Informação Renato Archer: (Servidor público - Pesquisador Associado I)
- Centro de Tecnologia da Informação Renato Archer: (Servidor público - Substituto do titular da divisão DIPAQ)
- Universidade Estadual de Campinas: (PROFESSOR_VISITANTE - Professor Visitante na CPG/FEEC)</t>
  </si>
  <si>
    <t>401935/2026-4</t>
  </si>
  <si>
    <t>03763394702</t>
  </si>
  <si>
    <t>Viridiana Santana Ferreira Leitao</t>
  </si>
  <si>
    <t>http://lattes.cnpq.br/1582611321201876</t>
  </si>
  <si>
    <t>Viridiana Santana Ferreira Leitao, Ayla Sant Ana da Silva, Ronaldo Rodrigues de Sousa, Roberta Pereira Espinheira</t>
  </si>
  <si>
    <t>Inovação circular para aproveitamento biotecnológico de resíduos agroindustriais e da biodiversidade brasileira em compostos bioativos e bioenergia</t>
  </si>
  <si>
    <t>1582611321201876</t>
  </si>
  <si>
    <t>viridiana.leitao@int.gov.br</t>
  </si>
  <si>
    <t>- Instituto Nacional de Tecnologia: (Pesquisador)
- Universidade Federal do Rio de Janeiro: (Professor  PG-DBQ IQ/UFRJ - Professor  PG-DBQ IQ/UFRJ)</t>
  </si>
  <si>
    <t>402256/2026-3</t>
  </si>
  <si>
    <t>12358962856</t>
  </si>
  <si>
    <t>Wagner Augusto Fischer</t>
  </si>
  <si>
    <t>http://lattes.cnpq.br/4799305679001453</t>
  </si>
  <si>
    <t>Wagner Augusto Fischer, Silvana Aparecida Borsetti Gregorio Vidotti, Leandro Silveira, Fábio de Oliveira Freitas, Rogerio Fonseca, Everson Andrade dos Reis, Herlina Paula da Silva e Silva, Luiza Eduarda Valente dos Santos</t>
  </si>
  <si>
    <t>Informação para sustentabilidade dos usos e serviços sociobioeconômicos da biodiversidade brasileira</t>
  </si>
  <si>
    <t>04:45:31</t>
  </si>
  <si>
    <t>10:02:11</t>
  </si>
  <si>
    <t>4799305679001453</t>
  </si>
  <si>
    <t>wagner.fischer@ibict.br</t>
  </si>
  <si>
    <t>- Instituto Brasileiro de Informação em Ciência e Tecnologia: (Servidor público - Pesquisador / Analista em CT)
- Instituto Brasileiro de Informação em Ciência e Tecnologia: (Servidor público - Pesquisador)
- Instituto Brasileiro de Informação em Ciência e Tecnologia: (Servidor público - Coordenador de projeto)</t>
  </si>
  <si>
    <t>401931/2026-9</t>
  </si>
  <si>
    <t>90855833734</t>
  </si>
  <si>
    <t>Walter Barreiro Cravo Junior</t>
  </si>
  <si>
    <t>http://lattes.cnpq.br/5790721699925597</t>
  </si>
  <si>
    <t>Walter Barreiro Cravo Junior, Caren Leite Spindola Vilela, Diogo Azevedo Coutinho, Vinicius Ribeiro Flores, Fabiano Luiz Heggendorn</t>
  </si>
  <si>
    <t>O Papel das Bactérias Redutoras de Sulfato como Biomarcadores Microbianos na área da saúde</t>
  </si>
  <si>
    <t>08:52:46</t>
  </si>
  <si>
    <t>08:52:52</t>
  </si>
  <si>
    <t>5790721699925597</t>
  </si>
  <si>
    <t>wcravojr@gmail.com</t>
  </si>
  <si>
    <t>- Instituto Nacional de Tecnologia: (Servidor público - Tecnologista)
- Fundação de Ciência, Aplicações e Tecnologia Espaciais: (Bolsista - Bolsa de inovação)</t>
  </si>
  <si>
    <t>402320/2026-3</t>
  </si>
  <si>
    <t>02572287137</t>
  </si>
  <si>
    <t>Walter Eler do Couto</t>
  </si>
  <si>
    <t>http://lattes.cnpq.br/6655920279961825</t>
  </si>
  <si>
    <t xml:space="preserve">Walter Eler do Couto, André Luiz Appel, Washington Luís Ribeiro de Carvalho Segundo, Emanuelle Torino, Sarita Albagli, Priscila Machado Borges Sena, Edna Karina da Silva Lira, Letícia Guarany Bonetti, Deivan Lourenço da Silva </t>
  </si>
  <si>
    <t xml:space="preserve"> Regulação da Ciência Aberta no Brasil: políticas, normas e desafios para a infraestrutura nacional de informação em ciência, tecnologia e inovação</t>
  </si>
  <si>
    <t>11:31:59</t>
  </si>
  <si>
    <t>11:32:06</t>
  </si>
  <si>
    <t>6655920279961825</t>
  </si>
  <si>
    <t>walterellerc@gmail.com</t>
  </si>
  <si>
    <t>- Instituto Brasileiro de Informação em Ciência e Tecnologia: (Servidor público - Tecnologista - Ciência da Informação)</t>
  </si>
  <si>
    <t>402375/2026-2</t>
  </si>
  <si>
    <t>30369418867</t>
  </si>
  <si>
    <t>Washington Luís Ribeiro de Carvalho Segundo</t>
  </si>
  <si>
    <t>http://lattes.cnpq.br/9453481318889500</t>
  </si>
  <si>
    <t xml:space="preserve">Washington Luís Ribeiro de Carvalho Segundo, André Luiz Appel, Edna Karina da Silva Lira, Emanuelle Torino, Janinne Barcelos de Morais Silva, Marcel Garcia de Souza, Mayara Helena Fonseca dos Santos, Paulo Monteiro </t>
  </si>
  <si>
    <t>MATCTI  Plataforma de Monitoramento, Avaliação e Transparência em Ciência, Tecnologia e Inovação</t>
  </si>
  <si>
    <t>18:15:01</t>
  </si>
  <si>
    <t>18:15:06</t>
  </si>
  <si>
    <t>9453481318889500</t>
  </si>
  <si>
    <t>wtonribeiro@gmail.com</t>
  </si>
  <si>
    <t>- Instituto Brasileiro de Informação em Ciência e Tecnologia: (Servidor público - Tecnologista)
- Universidade Estadual de Campinas: (em branco)</t>
  </si>
  <si>
    <t>402406/2026-5</t>
  </si>
  <si>
    <t>00308654331</t>
  </si>
  <si>
    <t>Yannice Tatiane da Costa Santos</t>
  </si>
  <si>
    <t>http://lattes.cnpq.br/4283410559154519</t>
  </si>
  <si>
    <t xml:space="preserve">Yannice Tatiane da Costa Santos, Hiago de Oliveira Gomes, Mira Raya Paula de Lima, Antonio Júnior Alves Ribeiro, Janisi Sales Aragão, Francisco Clark Nogueira Barros, Francisco Rafael Sousa Freitas, Maria Lucilene Queiroz da </t>
  </si>
  <si>
    <t>DESENVOLVIMENTO DE TECNOLOGIAS ADSORTIVAS PARA REMOÇÃO DE POLUENTES ORGÂNICOS EMERGENTES EM MATRIZES AMBIENTAIS</t>
  </si>
  <si>
    <t>Universidade Regional do Cariri</t>
  </si>
  <si>
    <t>URCA</t>
  </si>
  <si>
    <t>Instituto Federal do Ceará - Campus Juazeiro</t>
  </si>
  <si>
    <t>IFCE/Juazeiro</t>
  </si>
  <si>
    <t>23:13:37</t>
  </si>
  <si>
    <t>23:13:45</t>
  </si>
  <si>
    <t>4283410559154519</t>
  </si>
  <si>
    <t>yanzinha@gmail.com</t>
  </si>
  <si>
    <t>- INSTITUTO FEDERAL DO CEARÁ - JUAZEIRO DO NORTE: (Servidor público - Professora)
- Universidade Federal do Cariri: (em branco)
- Coordenação de Aperfeiçoamento de Pessoal de Nível Superior: (Membro de comitê assessor)
- Fundação Cearense de Apoio ao Desenvolvimento Científico e Tecnológico: (Bolsista - PRODUTIVIDADE BPI FUNCAP)</t>
  </si>
  <si>
    <t>401987/2026-4</t>
  </si>
  <si>
    <t>05831517799</t>
  </si>
  <si>
    <t>Ysrael Marrero Vera</t>
  </si>
  <si>
    <t>http://lattes.cnpq.br/2651710548891030</t>
  </si>
  <si>
    <t>Ysrael Marrero Vera, Marcelo De Luccas Dourado, Rodrigo Ferreira Gomes, Alexandre Silva Guimarães, Flávio de Almeida Lemos, Marcelo Borges Mansur</t>
  </si>
  <si>
    <t>Desenvolvimento de Rotas Hidrometalúrgicas para obtenção de Elementos Terras Raras Magnéticos com elevado grau de pureza.</t>
  </si>
  <si>
    <t>16:32:53</t>
  </si>
  <si>
    <t>16:32:57</t>
  </si>
  <si>
    <t>2651710548891030</t>
  </si>
  <si>
    <t>yvera@cetem.gov.br</t>
  </si>
  <si>
    <t>401996/2026-3</t>
  </si>
  <si>
    <t>00537013059</t>
  </si>
  <si>
    <t>Thales Sehn Körting</t>
  </si>
  <si>
    <t>http://lattes.cnpq.br/8609036872819243</t>
  </si>
  <si>
    <t xml:space="preserve">Thales Sehn Körting, Mariane Souza Reis, Carina Regina de Macedo, Rennan de Freitas Bezerra Marujo, Laercio Massaru Namikawa, Sergio Rosim, Édipo Henrique Cremon, Marcos Adami, Igor da Silva Narvaes, Daniel Andrade </t>
  </si>
  <si>
    <t>Observação da Terra e Geoinformática como suporte ao monitoramento ambiental brasileiro</t>
  </si>
  <si>
    <t>17:35:47</t>
  </si>
  <si>
    <t>17:35:52</t>
  </si>
  <si>
    <t>8609036872819243</t>
  </si>
  <si>
    <t>thales.korting@inpe.br</t>
  </si>
  <si>
    <t>- Instituto Nacional de Pesquisas Espaciais: (Servidor público - Pesquisador Titular II)
- Instituto Nacional de Pesquisas Espaciais: (Servidor público - Membro do Conselho de Pós-Graduação do INPE)
- Instituto Nacional de Pesquisas Espaciais: (Servidor público - Membro do Comitê Assessor da CGCT)
- Fundação de Amparo à Pesquisa do Estado de São Paulo: (Membro de comitê assessor)
- The international Charter Space and Major Disasters: (Colaborador voluntário - Voluntário)</t>
  </si>
  <si>
    <t>402117/2026-3</t>
  </si>
  <si>
    <t>51116723387</t>
  </si>
  <si>
    <t>Valdivino Alexandre de Santiago Júnior</t>
  </si>
  <si>
    <t>http://lattes.cnpq.br/5039690360728170</t>
  </si>
  <si>
    <t>Valdivino Alexandre de Santiago Júnior, Eduardo dos Santos Pereira, Juliana Aparecida Anochi, Heder Dorneles Soares, José Roberto Motta Garcia</t>
  </si>
  <si>
    <t>Programa Queimadas Inteligente: Aplicações de Inteligência Artificial para o Monitoramento Ambiental, Previsão e Apoio à Decisão</t>
  </si>
  <si>
    <t>15:14:51</t>
  </si>
  <si>
    <t>09:53:42</t>
  </si>
  <si>
    <t>5039690360728170</t>
  </si>
  <si>
    <t>valdivino.santiago@inpe.br</t>
  </si>
  <si>
    <t>- Instituto Nacional de Pesquisas Espaciais: (Servidor público - Tecnologista Senior)
- Departamento de Ciência e Tecnologia Aeroespacial: (em branco)</t>
  </si>
  <si>
    <t>402230/2026-4</t>
  </si>
  <si>
    <t>04534235828</t>
  </si>
  <si>
    <t>Walter Abrahao dos Santos</t>
  </si>
  <si>
    <t>http://lattes.cnpq.br/9907023735765775</t>
  </si>
  <si>
    <t xml:space="preserve">Walter Abrahao dos Santos, Antonio Cassiano Julio Filho, Eloy Martins de Oliveira Junior, Antonio Carlos de Oliveira Pereira Junior, Evandro Marconi Rocco, Marcus Vinicius Cisotto, Lazaro Aparecido Pires de Camargo, Auro Tikami, </t>
  </si>
  <si>
    <t>Desenvolvimento do Modelo de Engenharia de uma Plataforma para Pequenos Satélites</t>
  </si>
  <si>
    <t>11:58:10</t>
  </si>
  <si>
    <t>10:00:30</t>
  </si>
  <si>
    <t>9907023735765775</t>
  </si>
  <si>
    <t>walter.abrahao@inpe.br</t>
  </si>
  <si>
    <t>- Instituto Nacional de Pesquisas Espaciais: (Servidor público - Tecnologista)
- Instituto Nacional de Pesquisas Espaciais: (Servidor público - Professor Titular - Eng.e Tecnologia Espacial)
- Instituto Tecnológico de Aeronáutica: (COLABORADOR - Professor Assistente - Eng. Aeroespacial)
- CETEC Educacional: (Coordenador Acadêmico e Professor Titular)
- Pan-American Association of Computational Interdisciplinary Sciences: (COLABORADOR - Editorial Assistant)</t>
  </si>
  <si>
    <t>401135/2026-8</t>
  </si>
  <si>
    <t>04348181608</t>
  </si>
  <si>
    <t>Karina do Valle Marques</t>
  </si>
  <si>
    <t>http://lattes.cnpq.br/0661209395751558</t>
  </si>
  <si>
    <t>Academia do Cérebro: Plataforma Interdisciplinar de Promoção da Cognição e Envelhecimento Ativo</t>
  </si>
  <si>
    <t>Universidade Federal de Uberlândia</t>
  </si>
  <si>
    <t>UFU</t>
  </si>
  <si>
    <t>23:28:06</t>
  </si>
  <si>
    <t>23:28:11</t>
  </si>
  <si>
    <t>0661209395751558</t>
  </si>
  <si>
    <t>karina@ufu.br</t>
  </si>
  <si>
    <t>- Universidade Federal de Uberlândia: (Servidor público - Docente)
- Faculdade de Medicina Universidade de São Paulo: (em branco)</t>
  </si>
  <si>
    <t>402069/2026-9</t>
  </si>
  <si>
    <t>28784442808</t>
  </si>
  <si>
    <t>Kelly Brandão Vaz da Silva</t>
  </si>
  <si>
    <t>http://lattes.cnpq.br/7215012758742124</t>
  </si>
  <si>
    <t xml:space="preserve">Kelly Brandão Vaz da Silva, Ana Claudeise Silva do Nascimento, Eduardo Kazuo Tamanaha, Márjorie do Nascimento Lima, Anne Rapp Py-Daniel, Myrtle Pearl Shock, Mariana Franco Cassino, Angislaine Freitas Costa, Mariya </t>
  </si>
  <si>
    <t>Patrimônio Cultural Amazônico: pesquisa, curadoria, monitoramento e socialização dos acervos arqueológicos e etnográficos do Médio Solimões e região</t>
  </si>
  <si>
    <t>00:56:58</t>
  </si>
  <si>
    <t>09:50:49</t>
  </si>
  <si>
    <t>7215012758742124</t>
  </si>
  <si>
    <t>kelly.silva@mamiraua.org.br</t>
  </si>
  <si>
    <t>- Instituto de Desenvolvimento Sustentável Mamirauá: (CELETISTA - Pesquisadora Líder)
- Instituto de Desenvolvimento Sustentável Mamirauá: (CELETISTA - Membro do Comite PIBIC IDSM/CNPq,)
- Universidade Federal de Goiás: (em branco)</t>
  </si>
  <si>
    <t>402218/2026-4</t>
  </si>
  <si>
    <t>10350585458</t>
  </si>
  <si>
    <t>Adriana Soares de Carvalho</t>
  </si>
  <si>
    <t>http://lattes.cnpq.br/1108330136962513</t>
  </si>
  <si>
    <t xml:space="preserve">Adriana Soares de Carvalho, Yolice Patricia Moreno Ruiz, Ana Natalia Fragoso de Almeida, Antonia Carla de Jesus Oliveira, Julia Morais Fernandes, Ana Carla da Silva Santos, James Correia de Melo, Naiana Santos da Cruz Santana </t>
  </si>
  <si>
    <t>Materiais Sustentáveis Baseados em Tecnologia Carbono-Negativa para Agricultura Familiar, Restauração Ambiental e Bioenergia no Nordeste Brasileiro</t>
  </si>
  <si>
    <t>22:22:02</t>
  </si>
  <si>
    <t>09:59:41</t>
  </si>
  <si>
    <t>1108330136962513</t>
  </si>
  <si>
    <t>adriana.carvalho@cetene.gov.br</t>
  </si>
  <si>
    <t>402197/2026-7</t>
  </si>
  <si>
    <t>01480964689</t>
  </si>
  <si>
    <t>Aldrin Martin Pérez Marin</t>
  </si>
  <si>
    <t>http://lattes.cnpq.br/9814607951325299</t>
  </si>
  <si>
    <t xml:space="preserve">Aldrin Martin Pérez Marin, Josefa Morgana Viturino de Almeida, Rennan Cabral Nascimento, John Elton de Brito Leite Cunha, Carlos de Oliveira Galvão, Ulisses Alencar Bezerra, Thiago Emmanuel Pereira da Cunha Silva, Artur </t>
  </si>
  <si>
    <t>Inteligência Territorial contra a Desertificação: observatório integrado para o Semiárido Brasileiro e o Corredor Seco Centro-Americano</t>
  </si>
  <si>
    <t>10:29:41</t>
  </si>
  <si>
    <t>09:58:30</t>
  </si>
  <si>
    <t>9814607951325299</t>
  </si>
  <si>
    <t>aldrinmartinp@gmail.com</t>
  </si>
  <si>
    <t>- Instituto Nacional do Semiárido/MCT: (Servidor público - Tecnologista Sênior)
- Instituto Nacional do Semiárido/MCT: (Servidor público - Coordenador de Pesquisa DAS-3)
- Convenção das Nações Unidades de Combate a Desertificação: (Membro de comitê assessor)
- Universidade Estadual da Paraíba: (COLABORADOR - Professor permanente de Pósgraduação)
- Universidade Federal de Campina Grande: (COLABORADOR - Pesquisador colaborador)
- Ministério do Meio Ambiente e da Amazonia Legal: (COLABORADOR - Correspondente Científico Brasileiro na UNCCD)</t>
  </si>
  <si>
    <t>401937/2026-7</t>
  </si>
  <si>
    <t>50659014734</t>
  </si>
  <si>
    <t>Alexandre Pereira de Bakker</t>
  </si>
  <si>
    <t>http://lattes.cnpq.br/5913290628658008</t>
  </si>
  <si>
    <t xml:space="preserve">Alexandre Pereira de Bakker, Kalline de Almeida Alves Carneiro, Karoline Thays Andrade Araújo, Itauane Oliveira de Aquino, Adriana de Fatima Meira Vital, Alcinei Ribeiro Campos, Ivson de Sousa Barbosa, Carlos Alberto Lins </t>
  </si>
  <si>
    <t>Integração Digital de Dados Geoquímicos, Pedológicos e Mineralógicos para o Manejo Sustentável dos Solos do Semiárido.</t>
  </si>
  <si>
    <t>Universidade Federal de Campina Grande</t>
  </si>
  <si>
    <t>UFCG</t>
  </si>
  <si>
    <t>10:30:40</t>
  </si>
  <si>
    <t>10:30:49</t>
  </si>
  <si>
    <t>5913290628658008</t>
  </si>
  <si>
    <t>bakker1000@yahoo.com</t>
  </si>
  <si>
    <t>- CNEN/CRCN-CO: (Pesquisador Titular III - RJU)</t>
  </si>
  <si>
    <t>402385/2026-8</t>
  </si>
  <si>
    <t>78207177772</t>
  </si>
  <si>
    <t>Alfredo Tiomno Tolmasquim</t>
  </si>
  <si>
    <t>http://lattes.cnpq.br/7503352128041702</t>
  </si>
  <si>
    <t>Alfredo Tiomno Tolmasquim, Heloisa Meireles Gesteira, Heloisa Maria Bertol Domingues, Júlio César de Almeida Paiva Fernandes</t>
  </si>
  <si>
    <t>Bolsas e auxílios como fonte de informação e análise para a história das ciências</t>
  </si>
  <si>
    <t>19:42:42</t>
  </si>
  <si>
    <t>19:42:54</t>
  </si>
  <si>
    <t>7503352128041702</t>
  </si>
  <si>
    <t>alfredo@mast.br</t>
  </si>
  <si>
    <t>- Museu de Astronomia e Ciências Afins: (SERVIDOR_PUBLICO - Pesquisador Titular)
- Conselho Nacional de Desenvolvimento Científico e Tecnológico: (Membro de comitê assessor)</t>
  </si>
  <si>
    <t>402342/2026-7</t>
  </si>
  <si>
    <t>08679111740</t>
  </si>
  <si>
    <t>Alyne dos Santos Gonçalves</t>
  </si>
  <si>
    <t>http://lattes.cnpq.br/9015445560354784</t>
  </si>
  <si>
    <t xml:space="preserve">Alyne dos Santos Gonçalves, Alba Lívia Tallon Bozi, Bruno Buccalon Caruso, Carlos Henrique Bernardes, Everaldo Pereira Frade, Gabriel Paes da Silva Sales, Jorge Luiz do Nascimento, Jose Augusto Leitão Drummond, José Luiz de </t>
  </si>
  <si>
    <t>Arquivos, Memórias e Sociobiodiversidade: Infraestrutura Integrada para a História da Conservação da Mata Atlântica em Áreas Protegidas</t>
  </si>
  <si>
    <t>12:59:48</t>
  </si>
  <si>
    <t>12:59:56</t>
  </si>
  <si>
    <t>9015445560354784</t>
  </si>
  <si>
    <t>alyne.goncalves@inma.gov.br</t>
  </si>
  <si>
    <t>- Instituto Nacional da Mata Atlântica: (SERVIDOR_PUBLICO - Pesquisadora Adjunta)</t>
  </si>
  <si>
    <t>402377/2026-5</t>
  </si>
  <si>
    <t>07186904432</t>
  </si>
  <si>
    <t>Ana Carla da Silva Santos</t>
  </si>
  <si>
    <t>http://lattes.cnpq.br/4132675095298173</t>
  </si>
  <si>
    <t xml:space="preserve">Ana Carla da Silva Santos, Antonio Félix da Costa, Rosana Blawid, Neiva Tinti de Oliveira, Patricia Vieira Tiago, Rafael José Vilela de Oliveira, Bianca Galúcio Pereira Araújo, André Luís de França Dias, Renan do Nascimento </t>
  </si>
  <si>
    <t>Serviços tecnológicos e recursos microbianos para a produção de mudas com qualidade genética e sanidade vegetal e de bioinsumos agrícolas</t>
  </si>
  <si>
    <t>Fitossanidade</t>
  </si>
  <si>
    <t>19:01:48</t>
  </si>
  <si>
    <t>19:01:59</t>
  </si>
  <si>
    <t>4132675095298173</t>
  </si>
  <si>
    <t>ana.carla.bio@hotmail.com</t>
  </si>
  <si>
    <t>- Instituto Agronômico de Pernambuco: (COLABORADOR - Pesquisador)
- Centro de Tecnologias Estratégicas do Nordeste: (Servidor público - Tecnologista)</t>
  </si>
  <si>
    <t>402354/2026-5</t>
  </si>
  <si>
    <t>09402360794</t>
  </si>
  <si>
    <t>Ana Carolina Loss Rodrigues</t>
  </si>
  <si>
    <t>http://lattes.cnpq.br/8415444657040950</t>
  </si>
  <si>
    <t xml:space="preserve">Ana Carolina Loss Rodrigues, Chaim Jose Lasmar, Mariane da Cruz Kaizer, Gustavo Heringer, Alessandra Bertassoni, Jose Eduardo Mantovani, Wilson Roberto Spironello, Flávia Guimarães Chaves, Thiago Mafra Batista, </t>
  </si>
  <si>
    <t xml:space="preserve">Da informação à priorização: diagnóstico para a conservação da fauna ameaçada na Mata Atlântica Legal </t>
  </si>
  <si>
    <t>Conservação das Espécies Animais</t>
  </si>
  <si>
    <t>15:31:26</t>
  </si>
  <si>
    <t>15:31:33</t>
  </si>
  <si>
    <t>8415444657040950</t>
  </si>
  <si>
    <t>carol.loss@gmail.com</t>
  </si>
  <si>
    <t>- Universidade Federal do Espírito Santo: (COLABORADOR - Integrante Projeto de Pesquisa)
- Universidade Federal do Espírito Santo: (COLABORADOR - Professora Voluntária Pós Graduação (PPGBAN))
- Instituto Nacional da Mata Atlântica: (Servidor público - Pesquisadora)
- Sociedade Brasileira de Mastozoologia: (Membro de comitê assessor)
- Instituto Chico Mendes de Conservação da Biodiversidade: (Membro de comitê assessor)
- Sociedade Brasileira de Mastozoologia: (Voluntário - Segunda Secretária)</t>
  </si>
  <si>
    <t>402340/2026-4</t>
  </si>
  <si>
    <t>06196405454</t>
  </si>
  <si>
    <t>Ana Natalia Fragoso de Almeida</t>
  </si>
  <si>
    <t>http://lattes.cnpq.br/2301745743078533</t>
  </si>
  <si>
    <t>Ana Natalia Fragoso de Almeida, Yolice Patricia Moreno Ruiz, Adriana Soares de Carvalho, James Correia de Melo, Bianca Galúcio Pereira Araújo, Antonia Carla de Jesus Oliveira, Ana Carla da Silva Santos, Elcio Liberato Pires</t>
  </si>
  <si>
    <t>Desenvolvimento de Fertilizantes Organominerais Sustentáveis a partir de Rejeitos de Mineração e Resíduos Agroindustriais para Recuperação de Solos Degradados do Semiárido do Nordeste Brasileiro</t>
  </si>
  <si>
    <t>12:49:53</t>
  </si>
  <si>
    <t>12:50:01</t>
  </si>
  <si>
    <t>2301745743078533</t>
  </si>
  <si>
    <t>anataliafa@gmail.com</t>
  </si>
  <si>
    <t>- Centro Nacional de Pesquisa em Energia e Materiais: (em branco)
- Centro de Tecnologias Estratégicas do Nordeste: (Servidor público - Tecnologista)</t>
  </si>
  <si>
    <t>401111/2026-1</t>
  </si>
  <si>
    <t>04791387457</t>
  </si>
  <si>
    <t>Ana Santana Batista Farias</t>
  </si>
  <si>
    <t>http://lattes.cnpq.br/7241238853897537</t>
  </si>
  <si>
    <t xml:space="preserve">Ana Santana Batista Farias, Francisco das Chagas Souza Júnior, Jossefrania Vieira Martins, Márcio Adriano de Azevedo, Luana Carvalho Araújo Pavão, Elania Hortins dantas, Leonardo Vasconcelos Assis de Lima, Maria das </t>
  </si>
  <si>
    <t>Implantação do Laboratório de Democracia Digital e Integridade Científica: Capacitação Estratégica contra o Discurso de Ódio e a Desinformação Eleitoral no Ecossistema de CT&amp;I</t>
  </si>
  <si>
    <t>PROGRAMA BASICO DE DIREITO</t>
  </si>
  <si>
    <t>Direito Público</t>
  </si>
  <si>
    <t>Instituto Federal de Educação, Ciência e Tecnologia do Rio Grande do Norte</t>
  </si>
  <si>
    <t>IFRN</t>
  </si>
  <si>
    <t>10:28:42</t>
  </si>
  <si>
    <t>16:51:56</t>
  </si>
  <si>
    <t>7241238853897537</t>
  </si>
  <si>
    <t>ana.farias@ifrn.edu.br</t>
  </si>
  <si>
    <t>- Instituto Federal de Educação, Ciência e Tecnologia do Rio Grande do Norte: (Servidor público - Auditora Interna)</t>
  </si>
  <si>
    <t>401938/2026-3</t>
  </si>
  <si>
    <t>09285055702</t>
  </si>
  <si>
    <t>Andre Mesquita Marques</t>
  </si>
  <si>
    <t>http://lattes.cnpq.br/9486259076810818</t>
  </si>
  <si>
    <t>Andre Mesquita Marques, Silvio Favero, Marcos Antônio Soares</t>
  </si>
  <si>
    <t>Bioprospecção de espécies aromáticas do ecótono Pantanal-Cerrado com potencial para desenvolvimento de formulações sinérgicas visando o controle sustentável de pragas agrícolas do Mato Grosso.</t>
  </si>
  <si>
    <t>Química dos Produtos Naturais</t>
  </si>
  <si>
    <t>10:43:23</t>
  </si>
  <si>
    <t>10:43:34</t>
  </si>
  <si>
    <t>9486259076810818</t>
  </si>
  <si>
    <t>andrefarmaciarj@gmail.com</t>
  </si>
  <si>
    <t>- Instituto Nacional de Pesquisa do Pantanal: (Servidor público - Pesquisador)</t>
  </si>
  <si>
    <t>402088/2026-3</t>
  </si>
  <si>
    <t>04064723350</t>
  </si>
  <si>
    <t>Antonia Carla de Jesus Oliveira</t>
  </si>
  <si>
    <t>http://lattes.cnpq.br/0320191151647686</t>
  </si>
  <si>
    <t xml:space="preserve">Antonia Carla de Jesus Oliveira, Cleyton Natanael Lopes de Carvalho Cunha, Yolice Patricia Moreno Ruiz, Julia Morais Fernandes, James Correia de Melo, André Luís de França Dias, Bianca Galúcio Pereira Araújo, Adriana Soares </t>
  </si>
  <si>
    <t>Desenvolvimento de uma plataforma tecnológica para obtenção de bioinsumos derivados da cadeia sucroenergética associados a extratos vegetais para aplicação na cultura da cana-de-açúcar</t>
  </si>
  <si>
    <t>15:30:19</t>
  </si>
  <si>
    <t>09:51:53</t>
  </si>
  <si>
    <t>0320191151647686</t>
  </si>
  <si>
    <t>a.carlinha.18@gmail.com</t>
  </si>
  <si>
    <t>- Universidade Federal de Pernambuco: (Bolsista - Pesquisador de pós-doutorado)
- Centro de Tecnologias Estratégicas do Nordeste: (SERVIDOR_PUBLICO - Pesquisadora, Classe C, Padrão I)</t>
  </si>
  <si>
    <t>402331/2026-5</t>
  </si>
  <si>
    <t>08484845419</t>
  </si>
  <si>
    <t>Filipe Marques Chaves de Arruda</t>
  </si>
  <si>
    <t>http://lattes.cnpq.br/4240670677976713</t>
  </si>
  <si>
    <t>Filipe Marques Chaves de Arruda, Augusto Cezar Alves Sampaio, Ignacio Sánchez Gendriz, Maria Helena de Sousa, Pedro Henrique de Faria Barbosa</t>
  </si>
  <si>
    <t>CarbonTrust: Plataforma Digital Confiável para Geração, Verificação e Tokenização de Créditos de Carbono lastreados em Ativos Ambientais</t>
  </si>
  <si>
    <t>12:06:22</t>
  </si>
  <si>
    <t>12:06:29</t>
  </si>
  <si>
    <t>4240670677976713</t>
  </si>
  <si>
    <t>filipe.arruda@cetene.gov.br</t>
  </si>
  <si>
    <t>402202/2026-0</t>
  </si>
  <si>
    <t>07250153650</t>
  </si>
  <si>
    <t>Flávia Gonçalves Fernandes</t>
  </si>
  <si>
    <t>http://lattes.cnpq.br/3819488643372875</t>
  </si>
  <si>
    <t xml:space="preserve">Flávia Gonçalves Fernandes, Jean Caminha, Marinêz Isaac Marques, Carolline Zatta Fieker, Matheus Gonçalves dos Reis, Karl-Ludwig Schuchmann, Thiago Meirelles Ventura, Allan Gonçalves de Oliveira, Lucas Korzune Sampaio </t>
  </si>
  <si>
    <t>Hub de Inteligência de Dados da Biodiversidade do Pantanal: Monitoramento Automatizado e Inovação Tecnológica para a Conservação em Áreas Úmidas</t>
  </si>
  <si>
    <t>15:36:57</t>
  </si>
  <si>
    <t>09:58:49</t>
  </si>
  <si>
    <t>3819488643372875</t>
  </si>
  <si>
    <t>flavia.fernandes@inpp.gov.br</t>
  </si>
  <si>
    <t>- Instituto Federal de Brasília: (COLABORADOR - Pesquisadora)
- Instituto Nacional de Pesquisa do Pantanal: (Servidor público - Tecnologista)
- AGENCIA NACIONAL DE AGUAS E SANEAMENTO BASICO (ANA): (Bolsista - Especialista Visitante do CNPq - Nível 2)
- Universidade Federal da Grande Dourados: (PROFESSOR_VISITANTE - Professora de pós-graduação)
- Universidade Federal de Mato Grosso: (COLABORADOR - Pesquisadora)</t>
  </si>
  <si>
    <t>402289/2026-9</t>
  </si>
  <si>
    <t>02045652785</t>
  </si>
  <si>
    <t>Frieda Maria Marti</t>
  </si>
  <si>
    <t>http://lattes.cnpq.br/4984596002340486</t>
  </si>
  <si>
    <t xml:space="preserve">Frieda Maria Marti, Patricia Figueiró Spinelli, Eugênio Reis Neto, Andrea Fernandes Costa, Edméa Oliveira dos Santos, Mariano Pimentel, Felipe da Silva Ponte de Carvalho, Wallace Carriço de Almeida, Eduardo Monfardini </t>
  </si>
  <si>
    <t>A Desinformação Online e os Museus e Centros de Ciência e Tecnologia (C&amp;T): ressonâncias e implicações para o campo da Educação Museal e seus fazeres e saberes</t>
  </si>
  <si>
    <t>20:23:52</t>
  </si>
  <si>
    <t>10:04:05</t>
  </si>
  <si>
    <t>4984596002340486</t>
  </si>
  <si>
    <t>friemc@gmail.com</t>
  </si>
  <si>
    <t>- Museu de Astronomia e Ciências Afins: (Servidor público - Pesquisador)
- Fundação Oswaldo Cruz: (COLABORADOR - Pesquisadora Colaboradora)
- Universidade Federal Rural do Rio de Janeiro: (Pesquisadora Colaboradora - Colaboradora)
- Universidade Federal do Estado do Rio de Janeiro: (Professora Colaboradora - Professora Colaboradora Voluntária)</t>
  </si>
  <si>
    <t>402097/2026-2</t>
  </si>
  <si>
    <t>04911556382</t>
  </si>
  <si>
    <t>Gabriela de Azevedo Reis</t>
  </si>
  <si>
    <t>http://lattes.cnpq.br/8941140624803701</t>
  </si>
  <si>
    <t xml:space="preserve">Gabriela de Azevedo Reis, Mariana Medeiros Batista, Josefa Morgana Viturino de Almeida, Raquel Assunção Oliveira, Lourenca Santiago Ribeiro, Marília Abigail Meneses de Carvalho, Daniel de Souza Freitas, Daniele Costa da </t>
  </si>
  <si>
    <t>Integração e Monitoramento de Hidrossistemas e Territórios Visando o Planejamento Proativo de Secas</t>
  </si>
  <si>
    <t>Planejamento Integrado dos Recursos Hídricos</t>
  </si>
  <si>
    <t>12:17:19</t>
  </si>
  <si>
    <t>09:52:24</t>
  </si>
  <si>
    <t>8941140624803701</t>
  </si>
  <si>
    <t>gabriela.reis@insa.gov.br</t>
  </si>
  <si>
    <t>- Instituto Nacional do Semiárido: (Servidor público - Pesquisadora em Recursos Hídricos)</t>
  </si>
  <si>
    <t>402391/2026-8</t>
  </si>
  <si>
    <t>63185920406</t>
  </si>
  <si>
    <t>Geovergue Rodrigues de Medeiros</t>
  </si>
  <si>
    <t>http://lattes.cnpq.br/6986332750712586</t>
  </si>
  <si>
    <t xml:space="preserve">Geovergue Rodrigues de Medeiros, Iara Tamires Rodrigues Cavalcante, Thiago Luis Alves Campos de Araújo, Jucilene Silva Araújo, Juliana de Oliveira Carneiro, Caique Silveira Martins da Fonseca, Carlos Ticiano Coutinho </t>
  </si>
  <si>
    <t>Estudos e ações para a conservação de um rebanho bovino Curraleiro Pé-Duro (CPD)</t>
  </si>
  <si>
    <t>20:42:27</t>
  </si>
  <si>
    <t>20:42:44</t>
  </si>
  <si>
    <t>6986332750712586</t>
  </si>
  <si>
    <t>geoverguemedeiros@gmail.com</t>
  </si>
  <si>
    <t>- Instituto Nacional do Semi-Árido: (Pesquisador - Pesquisador)
- Instituto Nacional do Semiárido: (em branco)</t>
  </si>
  <si>
    <t>401913/2026-0</t>
  </si>
  <si>
    <t>05301088440</t>
  </si>
  <si>
    <t>Gesiane da Silva Lima</t>
  </si>
  <si>
    <t>http://lattes.cnpq.br/0998575641927604</t>
  </si>
  <si>
    <t xml:space="preserve">Gesiane da Silva Lima, Marcelo Lattarulo Campos, Gabriel Franco dos Santos, Jadson Diogo Pereira Bezerra, Pedro Henrique Félix de Oliveira, Cristina Maria de Souza Motta, Erika Valente de Medeiros, Karen Broque Evangelista do </t>
  </si>
  <si>
    <t xml:space="preserve">MicoBioma do Pantanal: Da descoberta de novas espécies de fungos à inovação biotecnológica para o aumento da resiliência agrícola frente às mudanças climáticas </t>
  </si>
  <si>
    <t>Química Orgânica</t>
  </si>
  <si>
    <t>14:46:25</t>
  </si>
  <si>
    <t>14:46:37</t>
  </si>
  <si>
    <t>0998575641927604</t>
  </si>
  <si>
    <t>lima.gesiane12@gmail.com</t>
  </si>
  <si>
    <t>- Instituto Nacional de Pesquisa do Pantanal: (Servidor público - Tecnologista - gestão de laboratórios)</t>
  </si>
  <si>
    <t>402390/2026-1</t>
  </si>
  <si>
    <t>51948770059</t>
  </si>
  <si>
    <t>Giovanna Machado</t>
  </si>
  <si>
    <t>http://lattes.cnpq.br/2869680994075940</t>
  </si>
  <si>
    <t xml:space="preserve">Giovanna Machado, Elcio Liberato Pires, Claudio Abreu de França, Júlia Furtado Campos, André Luís de França Dias, Mércia Liane de Oliveira, Carine Emile Menezes Lagrange, Alex de Meireles Neris, Brenand Anjos dos Santos Souza, </t>
  </si>
  <si>
    <t>Plataforma Integrada de Materiais Avançados para a Transição Energética, Segurança Hídrica e Biomateriais para o  Nordeste Brasileiro.</t>
  </si>
  <si>
    <t>20:24:02</t>
  </si>
  <si>
    <t>20:24:12</t>
  </si>
  <si>
    <t>Comité Interamericano de Sociedade de Microscopía Electrónica</t>
  </si>
  <si>
    <t>CIASEM</t>
  </si>
  <si>
    <t>Estados Unidos</t>
  </si>
  <si>
    <t>2869680994075940</t>
  </si>
  <si>
    <t>giovanna.machado@cetene.gov.br</t>
  </si>
  <si>
    <t>- Universidade Federal de Pernambuco: (Colaborator - Professor pernanente do programa de PG-UFPE)
- Centro de Tecnologia Estratégica do Nordeste: (Servidor público - pesquisador titular)
- Conselho Nacional de Desenvolvimento Científico e Tecnológico: (Membro de comitê assessor)
- Conselho Nacional de Desenvolvimento Científico e Tecnológico: (Membro de comitê assessor)
- Fundação de Apoio à Pesquisa do Distrito Federal: (Membro de comitê assessor)
- Fundação de Amparo à Ciência e Tecnologia do Estado de Pernambuco: (Membro de comitê assessor)
- Fundação de Amparo à Pesquisa do Estado da Bahia: (Membro de comitê assessor)
- ACADEMIA PERNAMBUCANA  DE CIENCIA: (Membro de comitê assessor)
- Centro Nacional de Pesquisa em Energia e Materiais: (Membro de comitê assessor)
- Centro Nacional de Pesquisa em Energia e Materiais: (Membro de comitê assessor)
- Comité Interamericano de Sociedade de Microscopía Electrónica: (Servidor público - Secretaria)
- Sociedade Brasileira de Microscopia e Microanálise: (PRESIDENTE DA SBMM - PRESIDENTE DA SBMM)
- MINISTERIO DE CIENCIA TECNOLOGIA E INOVAÇAO: (Membro de comitê assessor)
- MINISTERIO DE CIENCIA TECNOLOGIA E INOVAÇAO: (Membro de comitê assessor)
- SBPMAT: (Membro de comitê assessor)</t>
  </si>
  <si>
    <t>402115/2026-0</t>
  </si>
  <si>
    <t>07066922840</t>
  </si>
  <si>
    <t>Guadalupe do Nascimento Campos</t>
  </si>
  <si>
    <t>http://lattes.cnpq.br/1595148914809576</t>
  </si>
  <si>
    <t xml:space="preserve">Guadalupe do Nascimento Campos, Marcus Granato, Cláudia Penha dos Santos, Aline Rocha de Souza Ferreira de Castro, Maria Lucia de Niemeyer Matheus Loureiro, Alena Mayo Iñiguez, Antonieta Middea, Fernando Jose Gomes </t>
  </si>
  <si>
    <t>Preservação do Patrimônio Cultural Metálico: Pesquisa, Conservação e Acondicionamento.</t>
  </si>
  <si>
    <t>22:09:11</t>
  </si>
  <si>
    <t>09:53:36</t>
  </si>
  <si>
    <t>1595148914809576</t>
  </si>
  <si>
    <t>guadalupecampos@mast.br</t>
  </si>
  <si>
    <t>- Museu de Astronomia e Ciências Afins: (PROFESSOR_VISITANTE - Pesquisadora Visitante)
- Museu de Astronomia e Ciências Afins: (Professora - Professora)
- Museu de Astronomia e Ciências Afins: (Servidor público - Pesquisadora Associada)
- Museu de Astronomia e Ciências Afins: (COLABORADOR - Professora)
- Museu de Astronomia e Ciências Afins: (Servidor público - Coordenadora)
- Casa da Moeda do Brasil: (Consultora - Arqueóloga e Museóloga Conservadora)
- Museu da História e Cultura Afro-brasileira: (Comissão Científica - Conselho Científico Curatorial)
- Museu Imperial: (Consultora - Coordenação de Projeto Arqueológico)</t>
  </si>
  <si>
    <t>402087/2026-7</t>
  </si>
  <si>
    <t>82574197704</t>
  </si>
  <si>
    <t>Heloisa Meireles Gesteira</t>
  </si>
  <si>
    <t>http://lattes.cnpq.br/6279701912425584</t>
  </si>
  <si>
    <t xml:space="preserve">Heloisa Meireles Gesteira, Alfredo Tiomno Tolmasquim, Ricardo Cabral de Freitas, Fernando José Bandeira de Figueiredo, Antonio Carlos de Souza Martins, Alda Lucia Heizer, Daniel Coutinho Rocha, Ivo Antonio Almico, Gizeli </t>
  </si>
  <si>
    <t>Portal de História da Ciência e da Tecnologia (PHCT): ciências de observatório, cultura visual e configuração do Brasil.</t>
  </si>
  <si>
    <t>21:47:54</t>
  </si>
  <si>
    <t>09:51:49</t>
  </si>
  <si>
    <t>6279701912425584</t>
  </si>
  <si>
    <t>heloisagesteira@mast.br</t>
  </si>
  <si>
    <t>- Pontificia: (Professor horista - Professor agregado)
- Museu de Astronomia e Ciências Afins: (Servidor público - Pesquisador Titular)
- Universidade Federal do Estado do Rio de Janeiro: (COLABORADOR - Professor do PPGHIS)
- Universidade Federal da Bahia: (em branco)</t>
  </si>
  <si>
    <t>402039/2026-2</t>
  </si>
  <si>
    <t>09394135740</t>
  </si>
  <si>
    <t>Heráclio Duarte Tavares</t>
  </si>
  <si>
    <t>http://lattes.cnpq.br/6156355609451020</t>
  </si>
  <si>
    <t>Heráclio Duarte Tavares, Antonio Augusto Passos Videira, Antônio Carlos Fontes dos Santos, Iva Gurgel, Alexandre Bagdonas Henrique</t>
  </si>
  <si>
    <t>A formação do Brasil nuclear nas décadas de 1940 e 1950</t>
  </si>
  <si>
    <t>13:08:15</t>
  </si>
  <si>
    <t>09:48:53</t>
  </si>
  <si>
    <t>6156355609451020</t>
  </si>
  <si>
    <t>heracliodt@hotmail.com</t>
  </si>
  <si>
    <t>- Museu de Astronomia e Ciências Afins: (Servidor público - Pesquisador Classe C, Padrão I)
- Ministério da Ciência, Tecnologia e Inovações: (em branco)
- Universidade Federal do Estado do Rio de Janeiro: (COLABORADOR - Professor credenciado)</t>
  </si>
  <si>
    <t>401952/2026-6</t>
  </si>
  <si>
    <t>08580865492</t>
  </si>
  <si>
    <t>Iara Tamires Rodrigues Cavalcante</t>
  </si>
  <si>
    <t>http://lattes.cnpq.br/2339092949617916</t>
  </si>
  <si>
    <t xml:space="preserve">Iara Tamires Rodrigues Cavalcante, Geovergue Rodrigues de Medeiros, Jucilene Silva Araújo, Thiago Luis Alves Campos de Araújo, Edson Mauro Santos, Juliana Silva de Oliveira, Wandrick Hauss de Sousa, Joao Paulo de Farias </t>
  </si>
  <si>
    <t>Desenvolvimento de dietas totais peletizadas a partir de bioinsumos do Semiárido: inovação em processamento e segurança forrageira para a ovinocultura</t>
  </si>
  <si>
    <t>13:34:18</t>
  </si>
  <si>
    <t>13:34:24</t>
  </si>
  <si>
    <t>2339092949617916</t>
  </si>
  <si>
    <t>iaratrcavalcante@gmail.com</t>
  </si>
  <si>
    <t>- Fundação de Amparo à Ciência e Tecnologia do Estado de Pernambuco: (Bolsista - Pesquisadora)
- Instituto Nacional do Semiárido: (Servidor público - Pesquisadora Adjunta)</t>
  </si>
  <si>
    <t>402231/2026-0</t>
  </si>
  <si>
    <t>23653597870</t>
  </si>
  <si>
    <t>Ignacio Sánchez Gendriz</t>
  </si>
  <si>
    <t>http://lattes.cnpq.br/6338710569530857</t>
  </si>
  <si>
    <t xml:space="preserve">Ignacio Sánchez Gendriz, Linilson Rodrigues Padovese, Luiz Affonso Henderson Guedes de Oliveira, Ivanovitch Medeiros Dantas da Silva, Filipe Marques Chaves de Arruda, Wolfgang Harand, José Marcos dos Santos Oliveira, </t>
  </si>
  <si>
    <t>Modelos Fundacionais na Borda para Análise Inteligente de Dados de Sensores em Aplicações Estratégicas para o Nordeste do Brasil</t>
  </si>
  <si>
    <t>20:56:38</t>
  </si>
  <si>
    <t>10:00:33</t>
  </si>
  <si>
    <t>6338710569530857</t>
  </si>
  <si>
    <t>ignaciogendriz@gmail.com</t>
  </si>
  <si>
    <t>- Centro de Tecnologias Estratégicas do Nordeste: (Servidor público - Pesquisador Adjunto)
- Universidade Federal do ABC: (em branco)
- Centro de Biologia Marinha da USP: (em branco)</t>
  </si>
  <si>
    <t>402388/2026-7</t>
  </si>
  <si>
    <t>08329029425</t>
  </si>
  <si>
    <t>Julia Morais Fernandes</t>
  </si>
  <si>
    <t>http://lattes.cnpq.br/8060189333626922</t>
  </si>
  <si>
    <t xml:space="preserve">Julia Morais Fernandes, Antonia Carla de Jesus Oliveira, Ana Carla da Silva Santos, Adriana Soares de Carvalho, José Marcos dos Santos Oliveira, Bianca Galúcio Pereira Araújo, Jocélio de Oliveira, Ignacio Sánchez Gendriz, Laureen </t>
  </si>
  <si>
    <t>Plataforma integrada de bioprospecção e valorização de recursos vegetais e resíduos agroindustriais para obtenção de extratos bioativos, ingredientes funcionais e bioinsumos aplicáveis às cadeias de valor do Nordeste brasileiro</t>
  </si>
  <si>
    <t>20:17:51</t>
  </si>
  <si>
    <t>20:17:59</t>
  </si>
  <si>
    <t>8060189333626922</t>
  </si>
  <si>
    <t>fernandesjm@outlook.com</t>
  </si>
  <si>
    <t>- Centro de Tecnologias Estratégicas do Nordeste: (SERVIDOR_PUBLICO - Pesquisador)</t>
  </si>
  <si>
    <t>402394/2026-7</t>
  </si>
  <si>
    <t>12434475752</t>
  </si>
  <si>
    <t>Júlia Silveira de Araújo</t>
  </si>
  <si>
    <t>http://lattes.cnpq.br/4750551157169967</t>
  </si>
  <si>
    <t xml:space="preserve">Júlia Silveira de Araújo, Gesiane da Silva Lima, Walter Lins Barbosa Júnior, Andre Mesquita Marques, Wesley Jonatar Alves da Cruz, Leonardo Felipe Bairos Moreira, Flávia Gonçalves Fernandes, Marinêz Isaac Marques, Mariana </t>
  </si>
  <si>
    <t>Estratégias de comunicação pública e popularização da ciência: desenvolvimento de um modelo institucional para o Instituto Nacional de Pesquisa do Pantanal (INPP)</t>
  </si>
  <si>
    <t>21:01:57</t>
  </si>
  <si>
    <t>21:02:03</t>
  </si>
  <si>
    <t>4750551157169967</t>
  </si>
  <si>
    <t>juliasilveira.araujo@gmail.com</t>
  </si>
  <si>
    <t>- Conversion: (Freelancer - Redatora SEO freelancer)
- Editora Globo: (Freelancer - Redatora freelancer)
- Ministério da Ciência, Tecnologia e Inovação: (Servidor público - Analista em Ciência e Tecnologia/Comunicação)</t>
  </si>
  <si>
    <t>402092/2026-0</t>
  </si>
  <si>
    <t>01398477583</t>
  </si>
  <si>
    <t>Juliana de Oliveira Carneiro</t>
  </si>
  <si>
    <t>http://lattes.cnpq.br/6351394167523001</t>
  </si>
  <si>
    <t xml:space="preserve">Juliana de Oliveira Carneiro, Lourenca Santiago Ribeiro, Marília Abigail Meneses de Carvalho, Geovergue Rodrigues de Medeiros, Newton Carlos Santos, Ana Paula Trindade Rocha, Vinícius Andrade de Carvalho Rocha, Caique </t>
  </si>
  <si>
    <t>Desenvolvimento de queijo funcional misto utilizando coagulante vegetal obtido da flora da Caatinga como estratégia de fortalecimento para o Semiárido brasileiro.</t>
  </si>
  <si>
    <t>11:53:43</t>
  </si>
  <si>
    <t>09:52:09</t>
  </si>
  <si>
    <t>6351394167523001</t>
  </si>
  <si>
    <t>julycarneiro@hotmail.com</t>
  </si>
  <si>
    <t>- Instituto Nacional do Semiárido: (Servidor público - Tecnologista)</t>
  </si>
  <si>
    <t>401978/2026-5</t>
  </si>
  <si>
    <t>01541209524</t>
  </si>
  <si>
    <t>Juliana Hipólito de Sousa</t>
  </si>
  <si>
    <t>http://lattes.cnpq.br/1843831280195803</t>
  </si>
  <si>
    <t xml:space="preserve">Juliana Hipólito de Sousa, Gustavo Heringer, Blandina Felipe Viana, Danilo Boscolo, João Victor Andrade de Lacerda, Leopoldo Cavaleri Gerhardinger, Juliana Lazzarotto Freitas, Mariane da Cruz Kaizer, Rene Faustino Gabriel Junior, </t>
  </si>
  <si>
    <t>Ciência Cidadã para Conservação da Biodiversidade da Mata Atlântica: Monitoramento Participativo, Síntese Integrativa e Engajamento Social</t>
  </si>
  <si>
    <t>16:02:20</t>
  </si>
  <si>
    <t>16:02:32</t>
  </si>
  <si>
    <t>1843831280195803</t>
  </si>
  <si>
    <t>juliana.hipolito@inma.gov.br</t>
  </si>
  <si>
    <t>- Universidade Federal da Bahia: (COLABORADOR - Professora)
- Instituto Nacional de Pesquisas da Amazônia: (COLABORADOR - PROFESSOR_TITULAR)
- Instituto Nacional de Pesquisas da Amazônia: (COLABORADOR - PROFESSOR_TITULAR)
- INCT em Estudos Inter- e Transdisciplinares em Ecologia e Evolução: (Pesquisador - Pesquisadora colaboradora)
- Academia Brasileira de Ciências: (Representante dos afiliados - Representante)
- Rede Brasileira de Interações Planta-Polinizador: (COLABORADOR - Comitê gestor)
- Instituto Nacional da Mata Atlântica: (Servidor público - Pesquisadora)
- Instituto de Pesquisa Jardim Botânico do Rio de Janeiro: (em branco)
- Universidade Federal do Paraná: (em branco)
- Universidade de São Paulo: (em branco)</t>
  </si>
  <si>
    <t>402349/2026-1</t>
  </si>
  <si>
    <t>12407327756</t>
  </si>
  <si>
    <t>Juliana Marques da Silva</t>
  </si>
  <si>
    <t>http://lattes.cnpq.br/6893642697260226</t>
  </si>
  <si>
    <t>Juliana Marques da Silva, Maria Raquel Lisboa Costa Marques, Dário Augusto Borges Oliveira, Raphael Bezerra da Silva Uchôa, Victor Rafael Limeira da Silva</t>
  </si>
  <si>
    <t>História da Ciência e recursos naturais no Brasil do século XX: um estudo a partir de acervos e infraestruturas digitais de pesquisa</t>
  </si>
  <si>
    <t>14:48:28</t>
  </si>
  <si>
    <t>14:48:40</t>
  </si>
  <si>
    <t>6893642697260226</t>
  </si>
  <si>
    <t>julianamarques@mast.br</t>
  </si>
  <si>
    <t>- Fundação Getúlio Vargas: (COLABORADOR - Professora de Pós-Graduação)
- Museu de Astronomia e Ciências Afins: (Servidor público - Analista em Ciência e Tecnologia)</t>
  </si>
  <si>
    <t>402149/2026-2</t>
  </si>
  <si>
    <t>02086345925</t>
  </si>
  <si>
    <t>Luciano Fraga</t>
  </si>
  <si>
    <t>http://lattes.cnpq.br/6549869827105994</t>
  </si>
  <si>
    <t>Luciano Fraga, Orlando Verducci Junior, Denis Varise Bernardes, João Gabriel Luppi Foster, Fábio Rafael Herpich, Henrique Tannús de Moura Carvalho</t>
  </si>
  <si>
    <t>Capacitação Institucional para o Observatório Inteligente do LNA: Dados Astronômicos, Processamento Científico, Robotização e Inteligência Artificial</t>
  </si>
  <si>
    <t>10:55:48</t>
  </si>
  <si>
    <t>09:55:41</t>
  </si>
  <si>
    <t>6549869827105994</t>
  </si>
  <si>
    <t>lfraga@lna.br</t>
  </si>
  <si>
    <t>- Laboratório Nacional de Astrofísica: (Servidor público - Pesquisador)</t>
  </si>
  <si>
    <t>402292/2026-0</t>
  </si>
  <si>
    <t>14662211786</t>
  </si>
  <si>
    <t>Marcela Vitor Alvaro</t>
  </si>
  <si>
    <t>http://lattes.cnpq.br/5811675602024933</t>
  </si>
  <si>
    <t>Marcela Vitor Alvaro, Fabíola Simões Rodrigues da Fonseca, Eugênio Reis Neto, Luisa Medeiros Massarani, Marcelle Pita de Sousa do Carmo, Douglas Falcão Silva</t>
  </si>
  <si>
    <t>Os públicos do Museu de Astronomia e Ciências Afins e suas percepções sobre as atividades educativas da instituição</t>
  </si>
  <si>
    <t>19:26:39</t>
  </si>
  <si>
    <t>10:04:12</t>
  </si>
  <si>
    <t>5811675602024933</t>
  </si>
  <si>
    <t>marcelalvaro@mast.br</t>
  </si>
  <si>
    <t>- Universidade Federal do Rio de Janeiro: (Bolsista - Bolsista)
- Museu de Astronomia e Ciências Afins: (Servidor público - Tecnologista)</t>
  </si>
  <si>
    <t>402075/2026-9</t>
  </si>
  <si>
    <t>01230056718</t>
  </si>
  <si>
    <t>Marcio Ferreira Rangel</t>
  </si>
  <si>
    <t>http://lattes.cnpq.br/8746315302380257</t>
  </si>
  <si>
    <t>Marcio Ferreira Rangel, Aline Rocha de Souza Ferreira de Castro, Cláudia Penha dos Santos, João Henrique Ribeiro Barbosa, Márcia Cristina Alves, Maria Karla Belo da Silva Tavares, Cristiane Teixeira de Oliveira</t>
  </si>
  <si>
    <t>A construção e a formação de coleções museológicas</t>
  </si>
  <si>
    <t>16:22:10</t>
  </si>
  <si>
    <t>09:51:07</t>
  </si>
  <si>
    <t>8746315302380257</t>
  </si>
  <si>
    <t>mfrangel@bol.com.br</t>
  </si>
  <si>
    <t>- Museu de Astronomia e Ciências Afins: (Pesquisador Títular)
- Museu de Astronomia e Ciências Afins: (Servidor público - Membro do Conselho Acadêmico)
- Museu de Astronomia e Ciências Afins: (Servidor público - Coordenador de Museologia)
- Museu de Astronomia e Ciências Afins: (Servidor público - Diretor do Museu de Astronomia - MAST)
- Museu de Astronomia e Ciências Afins: (Servidor público - Diretor do Museu de Astronomia - MAST)
- Museu de Astronomia e Ciências Afins: (Membro de comitê assessor)
- Universidade Federal do Estado do Rio de Janeiro: (COLABORADOR - Pesquisador)
- Universidade Federal do Estado do Rio de Janeiro: (Servidor público - Professor Adjunto III)
- Universidade Federal do Estado do Rio de Janeiro: (Servidor público - Professor de Quadro Permanente do PPG-PMUS)
- Universidade Federal do Estado do Rio de Janeiro: (Servidor público - Professor Adjunto III)
- Ministério da Cultura: (Membro de comitê assessor)
- Ministério da Cultura: (Membro de comitê assessor)
- Fundação de Apoio ao Desenvolvimento da  Computação Científica: (Conselheiro - Membro do Conselho Curador)
- Instituto Nacional da Mata Atlântica: (Membro de comitê assessor)
- Ministério de Ciência, Tecnologia e Inovação: (Membro de comitê assessor)
- Ministério de Ciência, Tecnologia e Inovação: (Membro de comitê assessor)</t>
  </si>
  <si>
    <t>402273/2026-5</t>
  </si>
  <si>
    <t>15:37:53</t>
  </si>
  <si>
    <t>10:03:09</t>
  </si>
  <si>
    <t>402028/2026-0</t>
  </si>
  <si>
    <t>60810267365</t>
  </si>
  <si>
    <t>Maria do Socorro do Nascimento Amorim</t>
  </si>
  <si>
    <t>http://lattes.cnpq.br/4723581934935078</t>
  </si>
  <si>
    <t>Maria do Socorro do Nascimento Amorim, Ulisses Denache Vieira Souza, Janilson José Alves Viegas, Antonio José Silva Oliveira</t>
  </si>
  <si>
    <t xml:space="preserve">Laboratório de Impressão 3D e Cultura Maker para Desenvolvimento Científico, Tecnológico e Educacional </t>
  </si>
  <si>
    <t xml:space="preserve">Universidade Federal do Maranhão </t>
  </si>
  <si>
    <t>UFMA</t>
  </si>
  <si>
    <t>08:23:21</t>
  </si>
  <si>
    <t>08:23:29</t>
  </si>
  <si>
    <t>4723581934935078</t>
  </si>
  <si>
    <t>socorro.6000@gmail.com</t>
  </si>
  <si>
    <t>- Colégio Universitário- UFMA: (Servidor público - Professora de Física)
- Universidade Federal do Maranhão: (Bolsista - Estudante de Doutorado)
- Universidade Federal do Maranhão: (Servidor público - Professor de Física EBTT)</t>
  </si>
  <si>
    <t>401864/2026-0</t>
  </si>
  <si>
    <t>08084176498</t>
  </si>
  <si>
    <t>Maria Helena de Sousa</t>
  </si>
  <si>
    <t>http://lattes.cnpq.br/1152574843813275</t>
  </si>
  <si>
    <t xml:space="preserve">Maria Helena de Sousa, Caique Silveira Martins da Fonseca, Carlos Alberto Lins Cassimiro, Marília Abigail Meneses de Carvalho, Raquel Assunção Oliveira, Amanda Tavares de Melo Diniz, Valdemir da Silva Brito, Saulo André dos </t>
  </si>
  <si>
    <t>Transição energética industrial do Semiárido: avaliação de biomassas residuais, poligeração e descarbonização</t>
  </si>
  <si>
    <t>Energia de Biomassa</t>
  </si>
  <si>
    <t>12:47:25</t>
  </si>
  <si>
    <t>12:47:40</t>
  </si>
  <si>
    <t>1152574843813275</t>
  </si>
  <si>
    <t>helenaa_7@hotmail.com</t>
  </si>
  <si>
    <t>- Instituto Nacional do Semiárido: (Servidor público - Pesquisadora)</t>
  </si>
  <si>
    <t>402407/2026-1</t>
  </si>
  <si>
    <t>01314315447</t>
  </si>
  <si>
    <t>Mariana Medeiros Batista</t>
  </si>
  <si>
    <t>http://lattes.cnpq.br/9968256068572098</t>
  </si>
  <si>
    <t xml:space="preserve">Mariana Medeiros Batista, Gabriela de Azevedo Reis, Marília Abigail Meneses de Carvalho, Josefa Morgana Viturino de Almeida, Lourenca Santiago Ribeiro, Moisés Saraiva de Luna, Rita Andréa da Silva Costa, Jucilene Silva Araújo, </t>
  </si>
  <si>
    <t>Fortalecimento da Capacidade Técnico-Científica e Institucional do INSA em Tecnologias de Saneamento Rural e Reúso para Produção Agrícola no Semiárido Brasileiro</t>
  </si>
  <si>
    <t>Saneamento Ambiental</t>
  </si>
  <si>
    <t>23:17:54</t>
  </si>
  <si>
    <t>23:18:03</t>
  </si>
  <si>
    <t>9968256068572098</t>
  </si>
  <si>
    <t>marianabatista@ufam.edu.br</t>
  </si>
  <si>
    <t>- Instituto Nacional do Semiárido: (Servidor público - Tecnologista em Recursos Hídricos)</t>
  </si>
  <si>
    <t>402363/2026-4</t>
  </si>
  <si>
    <t>10703111469</t>
  </si>
  <si>
    <t>Marília Abigail Meneses de Carvalho</t>
  </si>
  <si>
    <t>http://lattes.cnpq.br/2536735601614526</t>
  </si>
  <si>
    <t xml:space="preserve">Marília Abigail Meneses de Carvalho, Daniel Pereira Miranda, Monique Barreto Santos, Maria Helena de Sousa, Raquel Assunção Oliveira, Gabriela de Azevedo Reis, Iara Tamires Rodrigues Cavalcante, Semirames do </t>
  </si>
  <si>
    <t xml:space="preserve">LabInos INSA/Laboratório de Inovação Social do INSA: Hub de Convergência Tecnológica, Prospecção bidirecional e Inovação Aberta para a Autonomia, Soberania Territorial e Desenvolvimento do Semiárido.  </t>
  </si>
  <si>
    <t>17:23:56</t>
  </si>
  <si>
    <t>17:24:03</t>
  </si>
  <si>
    <t>2536735601614526</t>
  </si>
  <si>
    <t>marilia.batista@insa.gov.br</t>
  </si>
  <si>
    <t>- Instituto Nacional do Semiárido: (Servidor público - Tecnologista em Inovação)</t>
  </si>
  <si>
    <t>402296/2026-5</t>
  </si>
  <si>
    <t>79821600425</t>
  </si>
  <si>
    <t>Maristela de Fátima Simplicio de Santana</t>
  </si>
  <si>
    <t>http://lattes.cnpq.br/7372555287261239</t>
  </si>
  <si>
    <t xml:space="preserve">Maristela de Fátima Simplicio de Santana, Nataly Albuquerque dos Santos, Angela Maria Tribuzy de Magalhães Cordeiro, Patrícia Pinheiro Fernandes Vieira, Juliana de Oliveira Carneiro, Monique Barreto Santos, Cristiani Viegas </t>
  </si>
  <si>
    <t>RECASA Rede de Cactáceas do Semiárido: prospecção, bioeconomia circular e capacitação institucional para sistemas alimentares resilientes</t>
  </si>
  <si>
    <t>12:08:32</t>
  </si>
  <si>
    <t>10:04:37</t>
  </si>
  <si>
    <t>7372555287261239</t>
  </si>
  <si>
    <t>maristela.santana@insa.gov.br</t>
  </si>
  <si>
    <t>- Instituto Nacional do Semiárido: (Servidor público - Tecnologista Pleno)
- Instituto Nacional do Semiárido: (Servidor público - Tecnologista Pleno)
- Empresa Brasileira de Pesquisa Agropecuária: (em branco)
- Instituto Nacional do Semiárido: (Servidor público - Tecnologista Pleno)</t>
  </si>
  <si>
    <t>402212/2026-6</t>
  </si>
  <si>
    <t>08995502827</t>
  </si>
  <si>
    <t>Marta de Almeida</t>
  </si>
  <si>
    <t>http://lattes.cnpq.br/6629483491494571</t>
  </si>
  <si>
    <t>Marta de Almeida, Nicholas Andueza, Bianca da Silva Ferreira, Rogério Pereira Bistene, José Luiz de Araujo Quental, Maria Raquel Lisboa Costa Marques, Agda Lima Brito, Sayd Barbosa Mansur</t>
  </si>
  <si>
    <t xml:space="preserve">Vozes da Ciência no Brasil </t>
  </si>
  <si>
    <t>21:10:03</t>
  </si>
  <si>
    <t>09:59:22</t>
  </si>
  <si>
    <t>6629483491494571</t>
  </si>
  <si>
    <t>marta@mast.br</t>
  </si>
  <si>
    <t>- Museu de Astronomia e Ciências Afins: (ativo permanente - pesquisadora associada)
- Fundação de Amparo à Pesquisa do Estado de São Paulo: (Membro de comitê assessor)
- Universidade Federal da Bahia: (em branco)</t>
  </si>
  <si>
    <t>402175/2026-3</t>
  </si>
  <si>
    <t>02723845427</t>
  </si>
  <si>
    <t>Mércia Liane de Oliveira</t>
  </si>
  <si>
    <t>http://lattes.cnpq.br/1013769906008954</t>
  </si>
  <si>
    <t>Mércia Liane de Oliveira, Nereide Stela Santos Magalhães, Marcia Helena de Oliveira, Giovanna Machado, José Marcos dos Santos Oliveira, Jana Messias Sandes, Elcio Liberato Pires</t>
  </si>
  <si>
    <t>Plataforma NATURAE: Nanocarreadores lipídicos vegetais utilizando materiais avançados para uso tópico com impactos na bioeconomia</t>
  </si>
  <si>
    <t>14:22:54</t>
  </si>
  <si>
    <t>09:57:12</t>
  </si>
  <si>
    <t>1013769906008954</t>
  </si>
  <si>
    <t>mercia.oliveira@cetene.gov.br</t>
  </si>
  <si>
    <t>402035/2026-7</t>
  </si>
  <si>
    <t>83449558749</t>
  </si>
  <si>
    <t>Moema de Rezende Vergara</t>
  </si>
  <si>
    <t>http://lattes.cnpq.br/0546747669223193</t>
  </si>
  <si>
    <t>Moema de Rezende Vergara, Marina Andrea Rieznik, Larissa Campos de Medeiros, Juliana Marques da Silva, Thiago Lima Nicodemo</t>
  </si>
  <si>
    <t>Políticas de Ciência, Tecnologia e Inovação no Brasil democrático: história, instituições e memória (1985-2025)</t>
  </si>
  <si>
    <t>21:31:46</t>
  </si>
  <si>
    <t>09:48:32</t>
  </si>
  <si>
    <t>0546747669223193</t>
  </si>
  <si>
    <t>moema@mast.br</t>
  </si>
  <si>
    <t>- Museu de Astronomia e Ciências Afins: (Servidor público - Pesquisador Titular)
- Museu de Astronomia e Ciências Afins: (Servidor público - Conselho Permanente de Exposições/MAST)
- Museu de Astronomia e Ciências Afins: (Servidor público - Conselho Acadêmico MAST)
- Museu de Astronomia e Ciências Afins: (Servidor público - Coordenação do PCI/MAST)
- Museu de Astronomia e Ciências Afins: (Servidor público - pesquisadora titular)
- Universidade Federal do Estado do Rio de Janeiro: (OUTRO - professor do quadro permanente)
- Universidade Federal da Bahia: (COLABORADOR - Professo colaborador do PPGEFHC)
- Sociedade Brasileira de História da Ciência: (COLABORADOR - Membro do Conselho Científico)</t>
  </si>
  <si>
    <t>401103/2026-9</t>
  </si>
  <si>
    <t>04166100998</t>
  </si>
  <si>
    <t>Paula Fernandes de Siqueira Machado</t>
  </si>
  <si>
    <t>http://lattes.cnpq.br/6192564133849711</t>
  </si>
  <si>
    <t>Ferramenta de Monitoramento Preditivo dos Parâmetros de Qualidade, Fitossanitários e Contaminantes das Principais Commodities do Agronegócio Brasileiro.</t>
  </si>
  <si>
    <t>Padrões, Legislação e Fiscalização de Alimentos</t>
  </si>
  <si>
    <t xml:space="preserve"> Instituto Científico e Tecnológico de Agronegócios</t>
  </si>
  <si>
    <t>ICTA</t>
  </si>
  <si>
    <t>11:32:00</t>
  </si>
  <si>
    <t>16:47:31</t>
  </si>
  <si>
    <t>6192564133849711</t>
  </si>
  <si>
    <t>paula@intecso.com.br</t>
  </si>
  <si>
    <t>- EMBRAPA: (Membro de comitê assessor)
- INTECSO - SOLUÇÕES E INOVAÇÕES EM AGRONEGÓCIOS: (Sócia fundadora - Diretora)
- Instituto Científico e Tecnológico de Agronegócios: (CELETISTA - PRESIDENTE)</t>
  </si>
  <si>
    <t>402249/2026-7</t>
  </si>
  <si>
    <t>12125573601</t>
  </si>
  <si>
    <t>Paulo Henrique Silveira Cardoso</t>
  </si>
  <si>
    <t>http://lattes.cnpq.br/3536607808928027</t>
  </si>
  <si>
    <t xml:space="preserve">Paulo Henrique Silveira Cardoso, Alexandre Pereira de Bakker, Rennan Cabral Nascimento, Raquel Assunção Oliveira, Iara Tamires Rodrigues Cavalcante, Marília Abigail Meneses de Carvalho, Kalline de Almeida Alves </t>
  </si>
  <si>
    <t>Biotecnologia de base orgânica e manejo conservacionista: dinâmica biogeoquímica e recuperação de solos degradados em experimento de longa duração no semiárido</t>
  </si>
  <si>
    <t>10:25:07</t>
  </si>
  <si>
    <t>10:01:50</t>
  </si>
  <si>
    <t>3536607808928027</t>
  </si>
  <si>
    <t>paulohenrique.sc@hotmail.com</t>
  </si>
  <si>
    <t>402313/2026-7</t>
  </si>
  <si>
    <t>36879578888</t>
  </si>
  <si>
    <t>Paulo Sergio Minatel Gonella Silva</t>
  </si>
  <si>
    <t>http://lattes.cnpq.br/6613842448953407</t>
  </si>
  <si>
    <t xml:space="preserve">Paulo Sergio Minatel Gonella Silva, Thiago Mahlmann Vitoriano Lopes Muniz, Chaim Jose Lasmar, Thais Helena Condez, Elton John de Lírio, Danilo Pacheco Cordeiro, João Victor Andrade de Lacerda, Cássia Helena Pereira Lima, </t>
  </si>
  <si>
    <t>Ecossistemas abertos da Mata Atlântica: biodiversidade, acervos científicos e subsídios para conservação</t>
  </si>
  <si>
    <t>11:19:53</t>
  </si>
  <si>
    <t>11:20:03</t>
  </si>
  <si>
    <t>6613842448953407</t>
  </si>
  <si>
    <t>pmgonella@gmail.com</t>
  </si>
  <si>
    <t>- Instituto Nacional da Mata Atlântica: (COLABORADOR - Supervisor do Projeto PCI 4)
- Instituto Nacional da Mata Atlântica: (Servidor público - Pesquisador Adjunto)</t>
  </si>
  <si>
    <t>402259/2026-2</t>
  </si>
  <si>
    <t>07182108402</t>
  </si>
  <si>
    <t>Pedro Henrique de Faria Barbosa</t>
  </si>
  <si>
    <t>http://lattes.cnpq.br/6292735721174310</t>
  </si>
  <si>
    <t>Pedro Henrique de Faria Barbosa, Filipe Marques Chaves de Arruda, Ignacio Sánchez Gendriz, Fernanda Bezerra Cavalcanti Marques, Vinícius Braga de Andrade, Gabriela Arruda de Assunção, Jaime Travassos Sarinho</t>
  </si>
  <si>
    <t>JULG.AI - Plataforma Nacional de Inteligência Artificial Generativa para Ampliação do Acesso à Justiça Federal e Apoio à Prestação Jurisdicional em Demandas Previdenciárias</t>
  </si>
  <si>
    <t>14:36:49</t>
  </si>
  <si>
    <t>10:02:21</t>
  </si>
  <si>
    <t>6292735721174310</t>
  </si>
  <si>
    <t>pedrohfb@hotmail.com</t>
  </si>
  <si>
    <t>- Universidade Federal de Pernambuco: (COLABORADOR - Docente do PPGDH)
- Centro de Tecnologias Estratégicas do Nordeste: (SERVIDOR_PUBLICO - Analista em C  T - Direito)</t>
  </si>
  <si>
    <t>402283/2026-0</t>
  </si>
  <si>
    <t>04846730689</t>
  </si>
  <si>
    <t>Pedro Lage Viana</t>
  </si>
  <si>
    <t>http://lattes.cnpq.br/8375441896375273</t>
  </si>
  <si>
    <t xml:space="preserve">Pedro Lage Viana, Gustavo Heringer, Elton John de Lírio, Paulo Sergio Minatel Gonella Silva, Taís Rizzo Moreira, Joelcio Freitas, Thiago Mafra Batista, Chaim Jose Lasmar, Juliana Hipólito de Sousa, Mariane da Cruz Kaizer, Clarissa </t>
  </si>
  <si>
    <t>Monitoramento integrado da Mata Atlântica central: implementação de novas ferramentas no estudo de longo prazo da biodiversidade</t>
  </si>
  <si>
    <t>10:03:03</t>
  </si>
  <si>
    <t>10:03:46</t>
  </si>
  <si>
    <t>8375441896375273</t>
  </si>
  <si>
    <t>pedro.viana@inma.gov.br</t>
  </si>
  <si>
    <t>- Universidade Federal Rural da Amazônia: (PROFESSOR_VISITANTE - Professor Pós Graduação)
- Instituto Nacional da Mata Atlântica: (Servidor público - Pesquisador Titular)
- Instituto Nacional da Mata Atlântica: (Servidor público - Curador do Herbário MBML)</t>
  </si>
  <si>
    <t>402364/2026-0</t>
  </si>
  <si>
    <t>50934538700</t>
  </si>
  <si>
    <t>Priscila Faulhaber Barbosa</t>
  </si>
  <si>
    <t>http://lattes.cnpq.br/0627069259285805</t>
  </si>
  <si>
    <t xml:space="preserve">Priscila Faulhaber Barbosa, Fabíola Simões Rodrigues da Fonseca, Victor Rafael Limeira da Silva, Juliana Marques da Silva, Bruno César Brulon Soares, Alejandro Martín López, Thiago Sevilhano Puglieri, Raphael Bezerra da Silva </t>
  </si>
  <si>
    <t>A fronteira na história da antropologia.Digitalizanado o pensamento Magüta</t>
  </si>
  <si>
    <t>17:24:54</t>
  </si>
  <si>
    <t>17:25:04</t>
  </si>
  <si>
    <t>0627069259285805</t>
  </si>
  <si>
    <t>pfaulhaber2016@gmail.com</t>
  </si>
  <si>
    <t>- Universidade Federal do Pará: (COLABORADOR - colaborador)
- Universidade Federal do Amazonas: (Professor do corpo permanente - Pesquisadora do MAST/MCT)
- Universidade Federal do Amazonas: (COLABORADOR - Pesquisadora do MAST/MCT)
- Universidade Federal do Amazonas: (Servidor público - Professor Colaborador do PPGAS)
- Conselho Nacional de Desenvolvimento Científico e Tecnológico: (Membro de comitê assessor)
- Sociedad Interamericana de Astronomía Cultural: (Servidor público - Membro efetivo)
- Sociedad Interamericana de Astronomía Cultural: (Servidor público - editor do boletim informativo Baweta)
- Universidade Federal do Estado do Rio de Janeiro: (Professor do Corpo Permanente - Convênio UNIRIO/MAST)
- Museu de Astronomia e Ciências Afins: (Servidor público - Pesquisador Titular)</t>
  </si>
  <si>
    <t>402140/2026-5</t>
  </si>
  <si>
    <t>77174631215</t>
  </si>
  <si>
    <t>Raphael Bezerra da Silva Uchôa</t>
  </si>
  <si>
    <t>http://lattes.cnpq.br/6343185019117667</t>
  </si>
  <si>
    <t xml:space="preserve">Raphael Bezerra da Silva Uchôa, Priscila Faulhaber Barbosa, Juliana Marques da Silva, Nelson Rodrigues Sanjad, Alda Lucia Heizer, Maria Raquel Lisboa Costa Marques, Everaldo Pereira Frade, Karen Gomes Shiratori, Emanuele </t>
  </si>
  <si>
    <t>Ciência, Etnociências e Redes de Extração na Amazônia do Século XX: Arquivos, Acervos e Soberania Nacional</t>
  </si>
  <si>
    <t>07:52:37</t>
  </si>
  <si>
    <t>09:55:09</t>
  </si>
  <si>
    <t>6343185019117667</t>
  </si>
  <si>
    <t>raphaeluchoa@mast.br</t>
  </si>
  <si>
    <t>- Centro Simão Mathias de Estudos em História da Ciência: (Pesquisador - Pesquisa)
- Centre for Global Knowledge Studies: (Research associate - Pesquisa)
- Universidade de Coimbra: (Bolsista - Pesquisador)
- Museu de Astronomia e Ciências Afins: (Servidor público - Pesquisador)</t>
  </si>
  <si>
    <t>401885/2026-7</t>
  </si>
  <si>
    <t>10071524436</t>
  </si>
  <si>
    <t>Raquel Assunção Oliveira</t>
  </si>
  <si>
    <t>http://lattes.cnpq.br/8213296308094058</t>
  </si>
  <si>
    <t xml:space="preserve">Raquel Assunção Oliveira, Ana Gretel Echazú Böschemeier, Inés Rosso, Breno da Silva Carvalho, Paula Apolinário Zagui, Júnia Mara Dias Martins, Ricardo da Cunha Correia Lima, Lourenca Santiago Ribeiro, Marília Abigail Meneses </t>
  </si>
  <si>
    <t>Fuá: feiras urbanas, comunicação e popularização dos saberes do Semiárido em confluência</t>
  </si>
  <si>
    <t>Relações Públicas e Propaganda</t>
  </si>
  <si>
    <t>17:42:04</t>
  </si>
  <si>
    <t>19:28:53</t>
  </si>
  <si>
    <t>8213296308094058</t>
  </si>
  <si>
    <t>raquelassuncao@live.com</t>
  </si>
  <si>
    <t>- Instituto Nacional do Semiárido: (Servidor público - Pesquisadora Adjunta)
- Global Fishing Watch: (em branco)</t>
  </si>
  <si>
    <t>402339/2026-6</t>
  </si>
  <si>
    <t>05432113473</t>
  </si>
  <si>
    <t>Renato Lima Dantas</t>
  </si>
  <si>
    <t>http://lattes.cnpq.br/3733124992560617</t>
  </si>
  <si>
    <t xml:space="preserve">Renato Lima Dantas, Lucicléia Barros de Vasconcelos Torres, Matheus Augusto de Bittencourt Pasquali, Shênia Santos Monteiro, Daniel Pereira Miranda, Lourenca Santiago Ribeiro, Monique Barreto Santos, Marília Abigail </t>
  </si>
  <si>
    <t>BIOPROSPECÇÃO DE FRUTOS DE CACTÁCEAS DO SEMIÁRIDO A PARTIR DO SABER TRADICIONAL VISANDO À IDENTIFICAÇÃO E AO DESENVOLVIMENTO DE INGREDIENTES FUNCIONAIS E BIOPRODUTOS</t>
  </si>
  <si>
    <t>Química, Física, Fisico-Química e Bioquímica dos Alim. e das Mat-</t>
  </si>
  <si>
    <t>12:47:16</t>
  </si>
  <si>
    <t>12:47:38</t>
  </si>
  <si>
    <t>3733124992560617</t>
  </si>
  <si>
    <t>renatoldantas@gmail.com</t>
  </si>
  <si>
    <t>- Instituto Nacional do Semiárido: (Servidor público - Tecnologista em Biodiversidade)</t>
  </si>
  <si>
    <t>402346/2026-2</t>
  </si>
  <si>
    <t>09476058439</t>
  </si>
  <si>
    <t>Renato Pereira Lima</t>
  </si>
  <si>
    <t>http://lattes.cnpq.br/1735273258357820</t>
  </si>
  <si>
    <t xml:space="preserve">Renato Pereira Lima, Jucilene Silva Araújo, Semíramis Rabelo Ramalho Ramos, Naysa Flávia Ferreira do Nascimento, Dilma Maria de Brito Melo Trovão, Lânia Isis Ferreira Alves, João Almeida e Silva, Mateus de Lima </t>
  </si>
  <si>
    <t>Pesquisa, inovação digital e inclusão produtiva para o fortalecimento de cadeias agroextrativistas de Spondias no Semiárido brasileiro</t>
  </si>
  <si>
    <t>13:36:28</t>
  </si>
  <si>
    <t>13:36:36</t>
  </si>
  <si>
    <t>1735273258357820</t>
  </si>
  <si>
    <t>renato.lima@insa.gov.br</t>
  </si>
  <si>
    <t>- Instituto Nacional do Semiárido: (Servidor público - Tecnologista em Ciência e Tecnologia)</t>
  </si>
  <si>
    <t>402142/2026-8</t>
  </si>
  <si>
    <t>09064876410</t>
  </si>
  <si>
    <t>Rennan Cabral Nascimento</t>
  </si>
  <si>
    <t>http://lattes.cnpq.br/5916790861002578</t>
  </si>
  <si>
    <t xml:space="preserve">Rennan Cabral Nascimento, Aldrin Martin Pérez Marin, Josefa Morgana Viturino de Almeida, Paulo Henrique Silveira Cardoso, Marília Abigail Meneses de Carvalho, Raquel Assunção Oliveira, Yuri Jacques Agra Bezerra da Silva, John </t>
  </si>
  <si>
    <t>Modelagem integrada de carbono e da erosão no Semiárido brasileiro: abordagens emergentes para mitigação da desertificação e insegurança hídrica</t>
  </si>
  <si>
    <t>Manejo e Conservação do Solo</t>
  </si>
  <si>
    <t>09:31:54</t>
  </si>
  <si>
    <t>09:55:16</t>
  </si>
  <si>
    <t>5916790861002578</t>
  </si>
  <si>
    <t>rennancabral2@gmail.com</t>
  </si>
  <si>
    <t>- Universidade Federal do Piauí: (Bolsista - Desenvolvimento Cientifico Regional - CNPq)
- Instituto Nacional do Semiárido: (Servidor público - Pesquisador)</t>
  </si>
  <si>
    <t>402234/2026-0</t>
  </si>
  <si>
    <t>11323318704</t>
  </si>
  <si>
    <t>Ricardo Cabral de Freitas</t>
  </si>
  <si>
    <t>http://lattes.cnpq.br/9163002621872050</t>
  </si>
  <si>
    <t>Ricardo Cabral de Freitas, Fabíola Simões Rodrigues da Fonseca, Heloisa Meireles Gesteira, Randy Rodrigo Gonçalves dos Santos</t>
  </si>
  <si>
    <t>O céu tropical e suas intempéries: o Rio de Janeiro e a produção de saberes sobre o clima nas redes atlânticas, séc. XVIII-XX</t>
  </si>
  <si>
    <t>16:10:55</t>
  </si>
  <si>
    <t>10:00:47</t>
  </si>
  <si>
    <t>9163002621872050</t>
  </si>
  <si>
    <t>ricardocabral@mast.br</t>
  </si>
  <si>
    <t>- Museu de Astronomia e Ciências Afins: (Servidor público - Pesquisador)</t>
  </si>
  <si>
    <t>402122/2026-7</t>
  </si>
  <si>
    <t>08310124473</t>
  </si>
  <si>
    <t>Victor Rafael Limeira da Silva</t>
  </si>
  <si>
    <t>http://lattes.cnpq.br/3512450976457383</t>
  </si>
  <si>
    <t>Victor Rafael Limeira da Silva, Priscila Faulhaber Barbosa, Juliana Marques da Silva, Tainã Moura Alcântara</t>
  </si>
  <si>
    <t>Expedições no Brasil do século XX: Política científica, coleções etnográficas das culturas tecnológicas indígenas e as relações transnacionais de ciências e museus</t>
  </si>
  <si>
    <t>12:37:49</t>
  </si>
  <si>
    <t>09:54:00</t>
  </si>
  <si>
    <t>3512450976457383</t>
  </si>
  <si>
    <t>victorrafael@mast.br</t>
  </si>
  <si>
    <t>- Museu de Astronomia e Ciências Afins: (Servidor público - Pesquisador Padrão I, Classe A)
- Universidade Federal do Estado do Rio de Janeiro: (Docente PPGH UNIRIO-MAST - Docente Permanente)</t>
  </si>
  <si>
    <t>402288/2026-2</t>
  </si>
  <si>
    <t>01544274467</t>
  </si>
  <si>
    <t>Walter Lins Barbosa Júnior</t>
  </si>
  <si>
    <t>http://lattes.cnpq.br/2536101767444787</t>
  </si>
  <si>
    <t xml:space="preserve">Walter Lins Barbosa Júnior, Flávia Gonçalves Fernandes, Luciano Nakazato, Marcia Hueb, Filipe Dantas-Torres, Eduardo de Castro Ferreira, Alexsandra Rodrigues de Mendonca Favacho, Elis Dionisio da Silva, André da Silva </t>
  </si>
  <si>
    <t>Abordagem de Saúde Única para diagnóstico das leishmanioses em populações ribeirinhas do Pantanal</t>
  </si>
  <si>
    <t>03:32:26</t>
  </si>
  <si>
    <t>10:04:02</t>
  </si>
  <si>
    <t>2536101767444787</t>
  </si>
  <si>
    <t>walter.lins@inpp.gov.br</t>
  </si>
  <si>
    <t>- Instituto Nacional de Pesquisa do Pantanal: (Servidor público - Pesquisador adjunto)</t>
  </si>
  <si>
    <t>401946/2026-6</t>
  </si>
  <si>
    <t>02783294117</t>
  </si>
  <si>
    <t>Wesley Jonatar Alves da Cruz</t>
  </si>
  <si>
    <t>http://lattes.cnpq.br/5225011489953659</t>
  </si>
  <si>
    <t xml:space="preserve">Wesley Jonatar Alves da Cruz, Catia Nunes da Cunha, Geraldo Alves Damasceno Junior, Immaculada Oliveras Menor, Maria Antonia Carniello, Leandro Schlemmer Brasil, Raquel de Oliveira Santos, Stela Rosa Amaral </t>
  </si>
  <si>
    <t>Capacitação e inovação em ecofisiologia e fluxos ecossistêmicos em áreas úmidas do Pantanal</t>
  </si>
  <si>
    <t>Ecofisiologia Vegetal</t>
  </si>
  <si>
    <t>11:15:15</t>
  </si>
  <si>
    <t>11:15:29</t>
  </si>
  <si>
    <t>5225011489953659</t>
  </si>
  <si>
    <t>wesleyjonatar@gmail.com</t>
  </si>
  <si>
    <t>- Instituto Nacional de Pesquisa do Pantanal: (Servidor público - Pesquisador Adjunto I)</t>
  </si>
  <si>
    <t>402365/2026-7</t>
  </si>
  <si>
    <t>01539667421</t>
  </si>
  <si>
    <t>Wolfgang Harand</t>
  </si>
  <si>
    <t>http://lattes.cnpq.br/3627883035710562</t>
  </si>
  <si>
    <t>Wolfgang Harand, Ignacio Sánchez Gendriz, José Marcos dos Santos Oliveira, Julia Morais Fernandes, James Correia de Melo, Maria Fernanda Pimentel Avelar, Jocélio de Oliveira, Larissa Araújo Rolim, Fernanda Araújo Honorato</t>
  </si>
  <si>
    <t>Plataforma EXSUBIS -  Extração Sustentável de Bioativos com Solventes verdes</t>
  </si>
  <si>
    <t>Engenharia de Separações e Termodinâmica</t>
  </si>
  <si>
    <t>17:37:24</t>
  </si>
  <si>
    <t>17:37:29</t>
  </si>
  <si>
    <t>3627883035710562</t>
  </si>
  <si>
    <t>wolfgang@harand.at</t>
  </si>
  <si>
    <t>402174/2026-7</t>
  </si>
  <si>
    <t>70252392167</t>
  </si>
  <si>
    <t>Yolice Patricia Moreno Ruiz</t>
  </si>
  <si>
    <t>http://lattes.cnpq.br/2379338626418079</t>
  </si>
  <si>
    <t xml:space="preserve">Yolice Patricia Moreno Ruiz, Adriana Soares de Carvalho, Ana Natalia Fragoso de Almeida, Antonia Carla de Jesus Oliveira, James Correia de Melo, Elcio Liberato Pires, Naiana Santos da Cruz Santana Neves, Andre Galembeck, Ana </t>
  </si>
  <si>
    <t>Conversão Nanotecnológica e Energética de Lodo Industrial Têxtil em Nanomateriais Funcionais e H2 Verde</t>
  </si>
  <si>
    <t>18:56:08</t>
  </si>
  <si>
    <t>09:57:08</t>
  </si>
  <si>
    <t>2379338626418079</t>
  </si>
  <si>
    <t>yolice.ruiz@cetene.gov.br</t>
  </si>
  <si>
    <t>- Centro de Tecnologias Estratégicas do Nordeste: (Servidor público - Pesquisadora)
- Universidade Franciscana: (em branco)</t>
  </si>
  <si>
    <t>402147/2026-0</t>
  </si>
  <si>
    <t>66749883753</t>
  </si>
  <si>
    <t>Adriana Olinto Balleste</t>
  </si>
  <si>
    <t>http://lattes.cnpq.br/6309346327752872</t>
  </si>
  <si>
    <t>Adriana Olinto Balleste, Salomé Strauch, Ana Cristina Valentino Maia Leite, Cláudio José Silva Ribeiro, Alexandre de Souza Costa, Ronnie Fagundes de Brito, Rodrigo Freire de Oliveira, Dalton Lopes Martins</t>
  </si>
  <si>
    <t>Conectando Sons e Saberes: Inteligência Artificial, Interoperabilidade, preservação digital e difusão de acervos brasileiros no Museu Virtual de Instrumentos Musicais</t>
  </si>
  <si>
    <t>18:16:17</t>
  </si>
  <si>
    <t>09:55:34</t>
  </si>
  <si>
    <t>6309346327752872</t>
  </si>
  <si>
    <t>adriballeste@ibict.br</t>
  </si>
  <si>
    <t>- Universidade Federal do Estado do Rio de Janeiro: (COLABORADOR - professora)
- Instituto Brasileiro de Informação em Ciência e Tecnologia: (Servidor público - tecnico)</t>
  </si>
  <si>
    <t>401450/2026-0</t>
  </si>
  <si>
    <t>47039205904</t>
  </si>
  <si>
    <t>Zuleica Carmen Castilhos</t>
  </si>
  <si>
    <t>http://lattes.cnpq.br/4819448229037090</t>
  </si>
  <si>
    <t xml:space="preserve">Zuleica Carmen Castilhos, Lillian Maria Borges Domingos, Evelyn Vanesa Mendoza Sillerico Crisostomo, Thainá de Lima Farinchon, Daisy Alves Oliva, Leonardo Erick de Oliveira Correa, Randielly Barbosa Soares, Liuvanderson </t>
  </si>
  <si>
    <t>Capacitação Institucional do Laboratório de Especiação de Mercúrio Ambiental para Avaliação Ecossistêmica em Territórios com Mineração</t>
  </si>
  <si>
    <t>09:44:16</t>
  </si>
  <si>
    <t>09:44:27</t>
  </si>
  <si>
    <t>4819448229037090</t>
  </si>
  <si>
    <t>zuleica.castilhos@cnpq.br</t>
  </si>
  <si>
    <t>- Centro de Tecnologia Mineral: (SERVIDOR_PUBLICO - Tecnolgista Senior H II)</t>
  </si>
  <si>
    <t>402398/2026-2</t>
  </si>
  <si>
    <t>82359032887</t>
  </si>
  <si>
    <t>Adalberto Luis Val</t>
  </si>
  <si>
    <t>http://lattes.cnpq.br/2747150211073176</t>
  </si>
  <si>
    <t xml:space="preserve">Adalberto Luis Val, Neusa Hamada, Renan Diego Amanajás Lima da Silva, Jeane Marcelle Cavalcante do Nascimento, Rafael Mendonça Duarte, Susana Braz Mota, Layon Oreste Demarchi, Aline Lopes, Jonatas da Silva </t>
  </si>
  <si>
    <t>Amazônia em Chamas: Consequências do Fogo para Áreas Úmidas e Biota Aquática</t>
  </si>
  <si>
    <t>22:18:32</t>
  </si>
  <si>
    <t>22:18:54</t>
  </si>
  <si>
    <t>2747150211073176</t>
  </si>
  <si>
    <t>dalval@inpa.gov.br</t>
  </si>
  <si>
    <t>- Instituto Nacional de Pesquisas da Amazônia: (Servidor público - Especilista de Nivel Superior A-III)
- Sociedade Brasileira para o Progresso da Ciência - São Paulo: (COLABORADOR - Membro do Conselho)
- Coordenação de Aperfeiçoamento de Pessoal de Nível Superior: (Membro de comitê assessor)
- Universidade Federal do Amazonas: (COLABORADOR - Professor colaborador)
- American Fisheries Society Physiology Section: (COLABORADOR - Membro de Comissão)
- Universidade do Estado do Amazonas: (Servidor público)
- Fundação Amazonas Sustentável: (Membro consultor - Membro consultor)
- Academia Brasileira de Ciências: (Membro titular da ABC - Membro titular da ABC)
- Instituto de Desenvolvimento Sustentável Mamirauá: (Comitê Administrativo - Membro do Comitê Administrativo)
- Fundação de Amparo a Pesquisa do Estado do Amazonas: (Consultor Ad-hoc - Consultor Ad-hoc)
- (CAPES) Coordenação de Aperfeiçoamento de Pessoal de Nível Superior: (Membro de comitê assessor)
- Université Laval: (PROFESSOR_VISITANTE - Professor Adjunto da Escola de Pós-graduação)
- Universidade Federal de Ouro Preto: (em branco)
- Universidade Federal Rural de Pernambuco: (em branco)</t>
  </si>
  <si>
    <t>402266/2026-9</t>
  </si>
  <si>
    <t>03560943833</t>
  </si>
  <si>
    <t>Ademar Benévolo Lugão</t>
  </si>
  <si>
    <t>http://lattes.cnpq.br/8256644098407834</t>
  </si>
  <si>
    <t>Ademar Benévolo Lugão, Murilo Álison Vigilato Rodrigues, Mara Tânia Silva Alcântara, Esther Miranda Fracaro da Silva, Davi Jardim Martins</t>
  </si>
  <si>
    <t xml:space="preserve"> Curativos avançados de baixo custo para o SUS por meio da radiação ionizante - Projeto CURASUS</t>
  </si>
  <si>
    <t>16:55:22</t>
  </si>
  <si>
    <t>10:02:44</t>
  </si>
  <si>
    <t>8256644098407834</t>
  </si>
  <si>
    <t>ablugao@ipen.br</t>
  </si>
  <si>
    <t>- Instituto de Pesquisas Energéticas e Nucleares: (SERVIDOR_PUBLICO - Gerente Adjunto)
- Instituto de Pesquisas Energéticas e Nucleares (CNEN/IPEN): (em branco)</t>
  </si>
  <si>
    <t>402319/2026-5</t>
  </si>
  <si>
    <t>31161219072</t>
  </si>
  <si>
    <t>Ademir José Zattera</t>
  </si>
  <si>
    <t>http://lattes.cnpq.br/5764983862728793</t>
  </si>
  <si>
    <t xml:space="preserve">Ademir José Zattera, Alcides Lopes Leao, Ivana Cesarino Leão, Marcelo Godinho, Matheus Poletto, Francisco Teloken, Lídia Kunz Lazzari, Heitor Luiz Ornaghi Junior, Marielen Longhi, Charles Antonio Ost, Patricia Rocio </t>
  </si>
  <si>
    <t xml:space="preserve">Utilização de biochar funcionalizado de resíduos agroindustriais e black mass oriundo da reciclagem de baterias para o desenvolvimento de eletrodos avançados em sistemas de armazenamento de energia </t>
  </si>
  <si>
    <t>Uso Eficiente de Energia</t>
  </si>
  <si>
    <t>Universidade de Caxias do Sul</t>
  </si>
  <si>
    <t>UCS</t>
  </si>
  <si>
    <t>11:29:08</t>
  </si>
  <si>
    <t>11:29:16</t>
  </si>
  <si>
    <t>5764983862728793</t>
  </si>
  <si>
    <t>ajzatter@ucs.br</t>
  </si>
  <si>
    <t>- Universidade de Caxias do Sul: (PROFESSOR_TITULAR)
- FUNDACAO DE AMPARO A PESQUISA DO ESTADO DO RIO GRANDE DO SUL: (Membro de comitê assessor)
- FUNDACAO DE AMPARO A PESQUISA DO ESTADO DO RIO GRANDE DO SUL: (Membro de comitê assessor)
- Universidade do Vale do Taquari - UNIVATES: (em branco)</t>
  </si>
  <si>
    <t>402110/2026-9</t>
  </si>
  <si>
    <t>95468706091</t>
  </si>
  <si>
    <t>Adriana Seixas</t>
  </si>
  <si>
    <t>http://lattes.cnpq.br/8098683325472892</t>
  </si>
  <si>
    <t>Adriana Seixas, Bruno de Souza Mayer, Marcelo Gryczak, Marcelo Gosmann, Carlo Frederico Moro, Cesar Liberato Petzhold, Guilherme Marcondes Klafke</t>
  </si>
  <si>
    <t>Plataforma Biotecnológica para o Desenvolvimento e Validação de Carrapaticida à Base de Acacia mearnsii para o Controle de Rhipicephalus microplus na pecuária brasileira"</t>
  </si>
  <si>
    <t>FUNDACAO UNIVERSIDADE FEDERAL DE CIENCIAS DA SAUDE DE PORTO ALEGRE</t>
  </si>
  <si>
    <t>UFCSPA</t>
  </si>
  <si>
    <t>17:33:33</t>
  </si>
  <si>
    <t>09:53:17</t>
  </si>
  <si>
    <t>8098683325472892</t>
  </si>
  <si>
    <t>adrismueller@gmail.com</t>
  </si>
  <si>
    <t>- FUNDACAO UNIVERSIDADE FEDERAL DE CIENCIAS DA SAUDE DE PORTO ALEGRE: (Professor Adjunto)
- Universidade Federal de Minas Gerais: (Pesquisador colaborador - Centro de Inovação em Inteligência Artificial)</t>
  </si>
  <si>
    <t>402242/2026-2</t>
  </si>
  <si>
    <t>09844937191</t>
  </si>
  <si>
    <t>Adalberto Fazzio</t>
  </si>
  <si>
    <t>http://lattes.cnpq.br/2714004273523549</t>
  </si>
  <si>
    <t>Adalberto Fazzio, James Moraes de Almeida, Amauri Jardim de Paula, Felipe David Crasto de Lima, Gabriel Ravanhani Schleder, Valéria Spolon Marangoni, Daniel Roberto Cassar</t>
  </si>
  <si>
    <t>Design Computacional de Solventes e Ligantes para Recuperação Seletiva de Terras Raras em Argilas Brasileiras: Simulação Multiescala, Mineração de Dados por Modelos de Linguagem e Otimização por Aprendizado Ativo</t>
  </si>
  <si>
    <t>21:16:29</t>
  </si>
  <si>
    <t>10:01:23</t>
  </si>
  <si>
    <t>2714004273523549</t>
  </si>
  <si>
    <t>adalberto.fazzio@gmail.com</t>
  </si>
  <si>
    <t>- Academia Brasileira de Ciências: (Membro - Membro Titular)
- Sociedade Brasileira de Física: (Membro do Conselho - Membro do Conselho)
- American Physical Society: (Membro - Membro)
- Coordenação de Aperfeiçoamento de Pessoal de Nível Superior: (Membro do Conselho Superior - Membro do Conselho Superior)
- Fundação de Amparo à Pesquisa do Estado de São Paulo: (Assessor Ad Hoc - Assessor Ad Hoc)
- Conselho Nacional de Desenvolvimento Científico e Tecnológico: (Assessor Ad Hoc - Assessor Ad Hoc)
- Academia de Ciências do Estado de Sâo Paulo: (Membro Titular - Membro Titular)
- The World Academy of Sciences: (Fellow - Fellow)
- American Chemical Society: (Membro - Membro)
- Materials Research Society: (Membro - Membro)
- Centro Nacional de Pesquisa em Energia e Materiais: (CELETISTA - Diretor da Ilum Escola de Ciência)</t>
  </si>
  <si>
    <t>402279/2026-3</t>
  </si>
  <si>
    <t>51936682400</t>
  </si>
  <si>
    <t>Alex Sandro Gomes</t>
  </si>
  <si>
    <t>http://lattes.cnpq.br/7188784344595649</t>
  </si>
  <si>
    <t>Alex Sandro Gomes, Lucas Calado Jofilsan, Hermano Perrelli de Moura</t>
  </si>
  <si>
    <t>Implementação de Sound Nudges em Recursos Educacionais Digitais: Uma Investigação sobre Engajamento Cognitivo</t>
  </si>
  <si>
    <t>Tecnologia Educacional</t>
  </si>
  <si>
    <t>08:18:22</t>
  </si>
  <si>
    <t>10:03:33</t>
  </si>
  <si>
    <t>7188784344595649</t>
  </si>
  <si>
    <t>asg@cin.ufpe.br</t>
  </si>
  <si>
    <t>- Universidade Federal de Pernambuco: (Civil servant - Full Professor)
- Coordenação de Aperfeiçoamento de Pessoal de Nível Superior: (Membro de comitê assessor)
- Viitra Inovações Tecnológicas: (PROFESSOR_VISITANTE - Consultor Tecnologia Educacional)
- Sociedade Brasileira de Computação - Porto Alegre: (Membro do Conselho 2017-2021 - Membro do Conselho)
- Associação Brasileira de Educação a Distância: (PROFESSOR_VISITANTE - Membro do Conselho)
- Associação dos Amigos do Museu da Cidade do Recife: (em branco)
- GNOMON BRASIL TECNOLOGIAS E SERVICOS LTDA.: (Sócio - Sócio Fundador)
- Facultad de Filosofía: (em branco)
- EnsineMe: (Membro do Conselho Consultivo - Membro do Conselho Consultivo)
- SUPER NINA LTDA: (em branco)
- Associação Brasileira de Pesquisadores/as Negros/a: (em branco)
- Pontifícia Universidade Católica de São Paulo: (em branco)</t>
  </si>
  <si>
    <t>402207/2026-2</t>
  </si>
  <si>
    <t>07530554735</t>
  </si>
  <si>
    <t>Alexandra de Oliveira Matias</t>
  </si>
  <si>
    <t>http://lattes.cnpq.br/5468609130074056</t>
  </si>
  <si>
    <t>Alexandra de Oliveira Matias, Thiago Pereira Santos, Ana Carolina Do Amaral Chaves, Annibal José Roris Rodriguez Scavarda do Carmo, Sandra Chagas da Costa Feliciano, Wesley Souza da Silva, Claudia Gonçalves Coelho</t>
  </si>
  <si>
    <t>ECOSSISTEMAS ONTOLÓGICOS E INTELIGÊNCIA ARTIFICIAL EXPLICÁVEL NA SAÚDE DIGITAL: Visão Computacional e Semiótica Peirceana para Interoperabilidade no SUS</t>
  </si>
  <si>
    <t>Política, Planejamento, Gestão e Avaliação</t>
  </si>
  <si>
    <t>20:58:24</t>
  </si>
  <si>
    <t>09:59:05</t>
  </si>
  <si>
    <t>5468609130074056</t>
  </si>
  <si>
    <t>alexandraufrj@hotmail.com</t>
  </si>
  <si>
    <t>- Universidade Federal do Rio de Janeiro: (Servidor público - E204)
- Universidade Federal Fluminense: (Bolsista - Pesquisa e desenvolvimento)</t>
  </si>
  <si>
    <t>401907/2026-0</t>
  </si>
  <si>
    <t>05971662775</t>
  </si>
  <si>
    <t>Alexey Maylybaev</t>
  </si>
  <si>
    <t>http://lattes.cnpq.br/9108471025746879</t>
  </si>
  <si>
    <t xml:space="preserve">Alexey Maylybaev, Claudio Landim, Milton David Jara Valenzuela, Paulo Najberg Orenstein, Robert David Morris, Augusto Quadros Teixeira, Hubert Marie Lacoin, Marcelo Soares Campos, Benar Fux Svaiter, Mikhail Vladimir </t>
  </si>
  <si>
    <t>Matemática de Sistemas Complexos: Fundamentos, Modelagem e Inteligência Artificial</t>
  </si>
  <si>
    <t>13:49:04</t>
  </si>
  <si>
    <t>13:49:16</t>
  </si>
  <si>
    <t>9108471025746879</t>
  </si>
  <si>
    <t>alexei@impa.br</t>
  </si>
  <si>
    <t>- Instituto Nacional de Matemática Pura e Aplicada: (CELETISTA - Pesquisador Titular)</t>
  </si>
  <si>
    <t>402108/2026-4</t>
  </si>
  <si>
    <t>08940438701</t>
  </si>
  <si>
    <t>Caetano Christophe Rosado Penna</t>
  </si>
  <si>
    <t>http://lattes.cnpq.br/9032233782082915</t>
  </si>
  <si>
    <t>Caetano Christophe Rosado Penna, Kilma Gonçalves Cezar, Caroline Nascimento Pereira, Marcos Dalsecco Braga Arcuri, Alessandra de Moura Brandao, Egmar Alves da Rocha</t>
  </si>
  <si>
    <t>Soberania Tecnológica Brasileira: marcos normativos, tecnologias críticas e cenários geopolíticos para o Sistema Nacional de CT&amp;I</t>
  </si>
  <si>
    <t>Centro de Gestão e Estudos Estratégicos</t>
  </si>
  <si>
    <t>CGEE</t>
  </si>
  <si>
    <t>17:56:39</t>
  </si>
  <si>
    <t>09:53:10</t>
  </si>
  <si>
    <t>9032233782082915</t>
  </si>
  <si>
    <t>caetano.penna@gmail.com</t>
  </si>
  <si>
    <t>- Fundação Carlos Chagas Filho de Amparo à Pesquisa do Estado do RJ: (Membro de comitê assessor)
- Delft University of Technology: (Docente - Professor Assistente)
- Centro de Gestão e Estudos Estratégicos: (CELETISTA - Diretor)</t>
  </si>
  <si>
    <t>401960/2026-9</t>
  </si>
  <si>
    <t>68827288104</t>
  </si>
  <si>
    <t>Concepta Margaret McManus Pimentel</t>
  </si>
  <si>
    <t>http://lattes.cnpq.br/6052239712915301</t>
  </si>
  <si>
    <t xml:space="preserve">Concepta Margaret McManus Pimentel, César Augusto Costa, Fábio Augusto Melo Assunção, Sofia Cristina Adjuto Daher, César Prazeres Fraga Pereira, Stephany Lima de Oliveira, José Salomão Oliveira Silva, Marcia Soares da </t>
  </si>
  <si>
    <t>Laboratório de Inteligência Estratégica, Gestão do Conhecimento e Transformação Digital para Políticas de CT&amp;I</t>
  </si>
  <si>
    <t>15:04:56</t>
  </si>
  <si>
    <t>15:05:02</t>
  </si>
  <si>
    <t>6052239712915301</t>
  </si>
  <si>
    <t>connie@cgee.org.br</t>
  </si>
  <si>
    <t>- Universidade de Brasília: (Servidor público - Professora Emerito)
- Conselho Nacional de Desenvolvimento Científico e Tecnológico: (Pesquisador - Bolsa de Pesquisa)
- Conselho Nacional de Desenvolvimento Científico e Tecnológico: (Servidor público - Membro de  Comissão Temática do CCT)
- Fundação de Estudos Pesquisa em Medicina Veterinária: (Consultor ad hoc - Consultor ad hoc)
- Fundação de Apoio e Desenvolvimento do Ensino, Ciência e Tecnologia do MS: (consultor da hoc - consultor da hoc)
- Serviço Brasileiro de Apoio às Micro e Pequenas Empresas: (consultor - Consultor)
- Fundação de Apoio à Pesquisa do Distrito Federal: (Consultor Ad hoc - Consultor Ad hoc)
- Fundação de Apoio à Pesquisa do Distrito Federal: (Membro de comitê assessor)
- Ministério do Meio Ambiente e da Amazonia Legal: (COLABORADOR - Parecerista)
- Empresa Brasileira de Pesquisa Agropecuária: (COLABORADOR - OUTRO)
- Ministério da Ciência, Tecnologia e Inovações: (COLABORADOR - Consultor ad-hoc)
- Ministério da Ciência, Tecnologia e Inovações: (Servidor público - Membro de Comissão)
- Centro de Energia Nuclear na Agricultura/USP: (COLABORADOR - Pesquisa)
- Sociedade Brasileira de Zootecnia: (Membro - Membro)
- Universidade Federal de Santa Maria: (Consultor Adhoc - Consultor Adhoc)
- Universidade Federal Rural do Rio de Janeiro: (COLABORADOR - OUTRO)
- Food and Agricultural Organization of the United Nations: (COLABORADOR - Consultor Regional)
- Food and Agricultural Organization of the United Nations: (Colaborator - Consultant)
- Universidade Federal de Goiás: (PROFESSOR_VISITANTE - OUTRO)
- Universidad de Córdoba - Espanha: (Consultora ad hoc - Consultora ad hoc)
- Instituto de Zootecnia do Governo do Estado de São Paulo: (Consultor Ad hoc - Consultor Ad hoc)
- Universidade Federal Rural de Pernambuco: (COLABORADOR - Consultor Ad hoc)
- Universidade Estadual de Londrina: (COLABORADOR - Assessor Externo)
- Genetics and Molecular Biology: (Scientific Journal Referee)
- Coordenação de Aperfeiçoamento de Pessoal de Nível Superior: (Colaborator - Consultor Ad-hoc)
- Coordenação de Aperfeiçoamento de Pessoal de Nível Superior: (Membro de comitê assessor)
- Coordenação de Aperfeiçoamento de Pessoal de Nível Superior: (Membro de comitê assessor)
- Universidade Federal de Minas Gerais: (Colaborator - Researcher)
- Universidade Federal do Paraná: (Colaborator - Consultor)
- Small Ruminant Research: (COLABORADOR - Scientific Journal Referee)
- Small Ruminant Research: (Journal Editor - Editoral Board)
- Fundação de Amparo à Pesquisa do Estado de Mato Grosso: (Consultor ad hoc - Consultor ad hoc)
- Fundação Cearense de Apoio ao Desenvolvimento Científico e Tecnológico: (COLABORADOR - Consultor ad hoc)
- FUNDACAO DE AMPARO A PESQUISA DO ESTADO DO RIO GRANDE DO SUL: (COLABORADOR - Cosnultor Ad-hoc)
- Fundação Araucária de Apoio ao Desenvolvimento Científico e Tecnológico: (COLABORADOR - Consultor Ad hoc)
- Fundação de Amparo à Pesquisa do Estado de São Paulo: (Colaborator - Consultor ad hoc)
- Archives of Veterinary Science: (Scientific Journal Referee)
- Tropical Animal Health and Production: (Editor - Journal Editor)
- Tropical Animal Health and Production: (COLABORADOR - Revisor)
- Revista Caatinga (UFERSA. Impresso): (Scientific Journal Referee)
- FUNDACAO AMAZONIA DE AMPARO A ESTUDOS E PESQUISAS - FAPESPA: (Consultor adhoc - Consultira adhoc)
- Animal Production science: (Scientific Journal Referee)
- Fundação de Amparo à Pesquisa do Estado de Minas Gerais: (Colaborator - COnsultor ad-hoc)
- CSIRO Livestock Industries: (Colaborator - Consultor ad hoc)
- International Journal of Biometeorology (Print): (Scientific Journal Referee)
- Agricultural Science Research Journal: (Scientific Journal Referee)
- Actas Ilberoamericanas de Conservación Animal: (Scientific Journal Referee)
- Iranian Journal of Applied Animal Science: (Scientific Journal Referee)
- International Research Journal of Agricultural Science and Soil Science: (Scientific Journal Referee)
- Journal of Animal Science: (Scientific Journal Referee)
- Livestock Science (Print): (Scientific Journal Referee - Revisor Ad hoc)
- Reproduction, Fertility and Development: (Scientific Journal Referee)
- Universitat Autònoma de Barcelona - UAB: (em branco)
- Ministério de Agricultura: (Membro de comitê assessor)
- Ministério de Agricultura: (Membro de comitê assessor)
- Embrapa: (em branco)
- Journal of Animal Behaviour and Biometeorology: (Editor - Editor)
- Journal of Animal Behaviour and Biometeorology: (Editor - Editorial Board)
- Universidade de São Paulo: (COLABORADOR - Orientador de Pósgraduação)
- Universidade de São Paulo: (COLABORADOR - Pesquisador Colaborador)
- Ministério de Ciência, Tecnologia, Inovação, e Comunicações: (Membro de Comissão - Membro de Comissão)
- Ministério de Ciência, Tecnologia, Inovação, e Comunicações: (CELETISTA - Head of Delegation)
- Academia Brasileira de Ciências: (Membro de Comissão - Membro de Comissão)
- National Research Foundation: (Membro de comitê assessor)
- Forum de Próreitores de Pós-graduação: (Servidor público - Presidente de Grupo de Trabalho)
- University of Arizona: (em branco)
- Conselho Nacional de Educação: (Membro de comitê assessor)
- Friedrich-Alexander-Universitat-Erlangen-Nurnberg: (PROFESSOR_VISITANTE - Advisory Board of the Bavarian Academic Cente)
- Global Research Council: (Servidor público - Membro de Working Group in Multilateral Engag)
- Fundação Oswaldo Cruz (DF): (em branco)
- Fundação Oswaldo Cruz: (Bolsista - Outra)
- Scientific Electronic Library Online EspañolEnglish: (Servidor público - Membro do Conselho Superior)
- Global Research Council: (Membro de comitê assessor)
- Academy of Science for a World in development: (Membro de comitê assessor)
- Transatlantic Platform: (Membro de comitê assessor)
- Regional Leaders Summit: (Membro de Conselho - Membro de Comissão)
- Centro de Gestão e Estudos Estratégicos: (CELETISTA - Diretor)</t>
  </si>
  <si>
    <t>402068/2026-2</t>
  </si>
  <si>
    <t>07695174807</t>
  </si>
  <si>
    <t>Edson Roberto Leite</t>
  </si>
  <si>
    <t>http://lattes.cnpq.br/1025598529469393</t>
  </si>
  <si>
    <t>Edson Roberto Leite, Cristina Cordoba, Gabriel Ravanhani Schleder</t>
  </si>
  <si>
    <t>Compreensão da Interface Metal-Cerâmica em Escala Atômica: Uma Abordagem Conectando Teoria e Experimento</t>
  </si>
  <si>
    <t>13:52:29</t>
  </si>
  <si>
    <t>09:50:45</t>
  </si>
  <si>
    <t>1025598529469393</t>
  </si>
  <si>
    <t>edson.leite@lnnano.cnpem.br</t>
  </si>
  <si>
    <t>- Universidade Federal de São Carlos: (SERVIDOR_PUBLICO - PROFESSOR_TITULAR)
- Centro Nacional de Pesquisa em Energia e Materiais: (CELETISTA - Diretor Científico)
- Petrobras S.A.: (COLABORADOR - Pesquisador)
- Petrobras S.A.: (COLABORADOR - Coordenador do projeto de Nanotecnologia)
- Springer Science+ Business Media, LLC (New York): (Editor - Editor for the Latin America of the (JNR))
- Universidade Estadual de Campinas: (em branco)</t>
  </si>
  <si>
    <t>402160/2026-6</t>
  </si>
  <si>
    <t>08301531797</t>
  </si>
  <si>
    <t>Emiliano Esterci Ramalho</t>
  </si>
  <si>
    <t>http://lattes.cnpq.br/2967335387598605</t>
  </si>
  <si>
    <t>Emiliano Esterci Ramalho, Louise Maranhão de Melo, Kelly Cristhyna Torralvo, Miriam Marmontel, Hilda Isabel Chávez Pérez, Cassia Santos Camillo, Ana Júlia Lenz</t>
  </si>
  <si>
    <t>Fortalecimento institucional para a geração de conhecimento sobre dinâmica populacional e ecologia para a conservação de espécies ameaçadas de felinos, mamíferos aquáticos e quelônios na Amazônia.</t>
  </si>
  <si>
    <t>23:15:32</t>
  </si>
  <si>
    <t>09:56:17</t>
  </si>
  <si>
    <t>2967335387598605</t>
  </si>
  <si>
    <t>eeramalho@gmail.com</t>
  </si>
  <si>
    <t>- Wildlife Conservation Society: (COLABORADOR - Pesquisador colaborador)
- Instituto de Desenvolvimento Sustentável Mamirauá: (CELETISTA - Diretor Técnico-Científico)
- Associação para Conservação dos Carnívoros Neotropicais: (associado efetivo - associado efetivo)
- International Union For Conservation Of Nature And Natural Resources-Sui: (COLABORADOR - Pesquisador colaborador)</t>
  </si>
  <si>
    <t>402125/2026-6</t>
  </si>
  <si>
    <t>70971854220</t>
  </si>
  <si>
    <t>Fernando Nazareno Nascimento Farias</t>
  </si>
  <si>
    <t>http://lattes.cnpq.br/9102110853958370</t>
  </si>
  <si>
    <t xml:space="preserve">Fernando Nazareno Nascimento Farias, Diego Medeiros de Abreu, Adriano da Silva Ferreira, Fiterlinge Martins de Sousa, Lucas Bondan, José Ferreira de Rezende, Antonio Jorge Gomes Abelém, Lucas Borges de Oliveira, Marcos </t>
  </si>
  <si>
    <t xml:space="preserve"> Arquitetura Multidomínio para Redes Quanticamente Seguras</t>
  </si>
  <si>
    <t>Sistemas de telecomunicações</t>
  </si>
  <si>
    <t>16:52:54</t>
  </si>
  <si>
    <t>09:54:09</t>
  </si>
  <si>
    <t>9102110853958370</t>
  </si>
  <si>
    <t>fernnf@gmail.com</t>
  </si>
  <si>
    <t>- Rede Nacional de Ensino e Pesquisa: (CELETISTA - Coordenador de P, D &amp; I)</t>
  </si>
  <si>
    <t>402198/2026-3</t>
  </si>
  <si>
    <t>24520713153</t>
  </si>
  <si>
    <t>Helder Lima de Queiroz</t>
  </si>
  <si>
    <t>http://lattes.cnpq.br/3131281054700225</t>
  </si>
  <si>
    <t>Helder Lima de Queiroz, Ana Cláudia Torres Gonçalves, Dávila Suelen Souza Corrêa, Alexandre Pucci Hercos, Adriano Augusto Vilhena Martins</t>
  </si>
  <si>
    <t>Manejo de Recursos Pesqueiros: Conservação e Segurança Alimentar para Populações e Comunidades Tradicionais da Amazônia Brasileira</t>
  </si>
  <si>
    <t xml:space="preserve">Instituto Juruá </t>
  </si>
  <si>
    <t>IJ</t>
  </si>
  <si>
    <t>17:57:58</t>
  </si>
  <si>
    <t>09:58:33</t>
  </si>
  <si>
    <t>3131281054700225</t>
  </si>
  <si>
    <t>helder@mamiraua.org.br</t>
  </si>
  <si>
    <t>- Instituto de Desenvolvimento Sustentável Mamirauá: (CELETISTA - Pesquisador Titular (PPT))</t>
  </si>
  <si>
    <t>402251/2026-1</t>
  </si>
  <si>
    <t>70620377291</t>
  </si>
  <si>
    <t>Heloísa Corrêa Pereira</t>
  </si>
  <si>
    <t>http://lattes.cnpq.br/9438051432168198</t>
  </si>
  <si>
    <t xml:space="preserve">Heloísa Corrêa Pereira, Patricia Carvalho Rosa, Dávila Suelen Souza Corrêa, Maria Cecilia Rosinski Lima Gomes, Ayan Santos Fleischmann, Luke Thomas Wyn Parry, Eduardo José Marandola Junior, Jamille da Silva Lima-Payaya, </t>
  </si>
  <si>
    <t>Governança socioambiental e sociobioeconomia na Amazônia: capacitação institucional para gestão territorial e inovação social</t>
  </si>
  <si>
    <t>PROGRAMA BASICO DE SOCIOLOGIA</t>
  </si>
  <si>
    <t>Sociologia Rural</t>
  </si>
  <si>
    <t>23:53:13</t>
  </si>
  <si>
    <t>10:01:56</t>
  </si>
  <si>
    <t>9438051432168198</t>
  </si>
  <si>
    <t>helo.santarem@gmail.com</t>
  </si>
  <si>
    <t>- Instituto de Desenvolvimento Sustentável Mamirauá: (CELETISTA - Pesquisador titular)</t>
  </si>
  <si>
    <t>402199/2026-0</t>
  </si>
  <si>
    <t>26812790893</t>
  </si>
  <si>
    <t>João Valsecchi do Amaral</t>
  </si>
  <si>
    <t>http://lattes.cnpq.br/8353254163114394</t>
  </si>
  <si>
    <t xml:space="preserve">João Valsecchi do Amaral, Darlene Gris, Alexandre Pucci Hercos, Louise Maranhão de Melo, Jean Carlo de Quadros, Maíra da Rocha, Rayssa Bernardi Guinato, Gabriela Oliveira de Souza, Emanuelle Raiol Pinto, Daniela Barretto </t>
  </si>
  <si>
    <t>Ciência para a Promoção e Fortalecimento da Sociobioeconomia na Amazônica: Uso e Manejo de Recursos Naturais a partir do Território</t>
  </si>
  <si>
    <t>12:30:23</t>
  </si>
  <si>
    <t>09:58:36</t>
  </si>
  <si>
    <t>8353254163114394</t>
  </si>
  <si>
    <t>joao.valsecchi@mamiraua.org.br</t>
  </si>
  <si>
    <t>- Instituto de Desenvolvimento Sustentável Mamirauá: (Contratado - Coordenador de Monitoramento)</t>
  </si>
  <si>
    <t>401284/2026-3</t>
  </si>
  <si>
    <t>05247563760</t>
  </si>
  <si>
    <t>Jorge Vitorio Bacellar dos Santos Pereira</t>
  </si>
  <si>
    <t>http://lattes.cnpq.br/2558900431930326</t>
  </si>
  <si>
    <t xml:space="preserve">Jorge Vitorio Bacellar dos Santos Pereira, Jose Felipe Linares Ramirez, Felipe Ferreira Gonçalves, Joao Pedro Goncalves Ramos, Pavel Petrov, Carolina Bhering de Araujo, Eduardo de Sequeira Esteves, Olivier Martin, Franco </t>
  </si>
  <si>
    <t>Pesquisa Matemática de Fronteira no IMPA: análise, geometrias, sistemas dinâmicos e  representações</t>
  </si>
  <si>
    <t>Geometria e Topologia</t>
  </si>
  <si>
    <t>10:56:41</t>
  </si>
  <si>
    <t>10:56:54</t>
  </si>
  <si>
    <t>2558900431930326</t>
  </si>
  <si>
    <t>jvp@impa.br</t>
  </si>
  <si>
    <t>- Instituto Nacional de Matemática Pura e Aplicada: (CELETISTA - Pesquisador)
- Fundação Carlos Chagas Filho de Amparo à Pesquisa do Estado do RJ: (Membro de comitê assessor)
- Conselho Nacional de Desenvolvimento Científico e Tecnológico: (Membro de comitê assessor)</t>
  </si>
  <si>
    <t>402236/2026-2</t>
  </si>
  <si>
    <t>06613196606</t>
  </si>
  <si>
    <t>José Augusto Gerolin Gávea</t>
  </si>
  <si>
    <t>http://lattes.cnpq.br/0414358532917624</t>
  </si>
  <si>
    <t>José Augusto Gerolin Gávea, Bruno de Mendonça Braga, Vinicius Gripp Barros Ramos</t>
  </si>
  <si>
    <t>Desenvolvimento de Métodos Matemáticos e Computacionais para Tecnologias Quânticas: aplicações em materiais quânticos e machine learning</t>
  </si>
  <si>
    <t>09:56:44</t>
  </si>
  <si>
    <t>10:00:58</t>
  </si>
  <si>
    <t>0414358532917624</t>
  </si>
  <si>
    <t>gerolin@impa.br</t>
  </si>
  <si>
    <t>- University of Ottawa: (CELETISTA - Canada Research Chair (Tier II))
- University of Ottawa: (SERVIDOR_PUBLICO - Associate Professor)
- Instituto Nacional de Matemática Pura e Aplicada: (CELETISTA - Professor)</t>
  </si>
  <si>
    <t>402065/2026-3</t>
  </si>
  <si>
    <t>01110293763</t>
  </si>
  <si>
    <t>Jose Henrique de Lima Correa Dieguez Barreiro</t>
  </si>
  <si>
    <t>http://lattes.cnpq.br/2611216993299534</t>
  </si>
  <si>
    <t>Jose Henrique de Lima Correa Dieguez Barreiro, Anna Beatriz de Aguiar Bergo Coelho, Ana Geórgia Damasceno Barbosa, Henrique Daniel Ferraz, Rafael De Tommaso do Valle, Felipe Lopes da Silva Nascimento</t>
  </si>
  <si>
    <t>Gestão da Inovação em ICTs: A RNP como laboratório para o desenvolvimento de modelos de gestão de transferência de tecnologia e inovação aberta.</t>
  </si>
  <si>
    <t>18:32:58</t>
  </si>
  <si>
    <t>09:50:34</t>
  </si>
  <si>
    <t>2611216993299534</t>
  </si>
  <si>
    <t>henrique.dieguez@rnp.br</t>
  </si>
  <si>
    <t>- Rede Nacional de Ensino e Pesquisa: (Servidor Cedido - Assessor de PDI)
- Fundação Getúlio Vargas (FGV) - Escola de Políticas Públicas e Governo (DF): (COLABORADOR - Professor)</t>
  </si>
  <si>
    <t>402386/2026-4</t>
  </si>
  <si>
    <t>75414902887</t>
  </si>
  <si>
    <t>Jose Maria de Camargo Barros</t>
  </si>
  <si>
    <t>http://lattes.cnpq.br/2485632086517052</t>
  </si>
  <si>
    <t>Jose Maria de Camargo Barros, Scandar Gasperazzo Ignatius, Otávio Coaracy Brasil Gandolfo, Adriano Galindo Leal, Rodrigo Serafim, José Ricardo de Oliveira, Rubens Vieira</t>
  </si>
  <si>
    <t>Quantificação da Influência da Laterização na Rigidez em Pequenas Deformações de Solos Tropicais: fundamentos científicos, investigação experimental e aplicações em engenharia geotécnica</t>
  </si>
  <si>
    <t>Mecânicas dos Solos</t>
  </si>
  <si>
    <t>Instituto de Pesquisas Tecnológicas do Estado de São Paulo</t>
  </si>
  <si>
    <t>IPT</t>
  </si>
  <si>
    <t>19:52:48</t>
  </si>
  <si>
    <t>19:52:57</t>
  </si>
  <si>
    <t>2485632086517052</t>
  </si>
  <si>
    <t>jmcbarros@gmail.com</t>
  </si>
  <si>
    <t>- Instituto de Pesquisas Tecnológicas do Estado de São Paulo: (Celetista formal - PESQUISADOR III)
- Universidade Estadual de Londrina: (COLABORADOR - Assessor da Editora da UEL)
- Fundação de Amparo à Pesquisa do Estado de São Paulo: (Membro de comitê assessor)
- Coordenação de Aperfeiçoamento de Pessoal de Nível Superior: (Membro de comitê assessor)
- Fundação de Amparo à Ciência e Tecnologia do Estado de Pernambuco: (Membro de comitê assessor)</t>
  </si>
  <si>
    <t>401038/2026-2</t>
  </si>
  <si>
    <t>06807789858</t>
  </si>
  <si>
    <t>José Maurício Sforcin</t>
  </si>
  <si>
    <t>http://lattes.cnpq.br/5885528105039995</t>
  </si>
  <si>
    <t>José Maurício Sforcin, Mariana da Silva Honorio, Emilly Camargo Lopes, Gislane Lelis Vilela de Oliveira, Paulo Henrique Fonseca do Carmo, Ana Carla dos Santos Wanderley, Maria Clara Santos</t>
  </si>
  <si>
    <t>INOVAÇÃO NO TRATAMENTO DA LEUCEMIA:  AÇÃO DA GEOPRÓPOLIS E DO ÁCIDO ANACÁRDICO SOBRE CÉLULAS DE LEUCEMIA MIELOIDE AGUDA E CÉLULAS IMUNES HUMANAS</t>
  </si>
  <si>
    <t>Etnofarmacologia</t>
  </si>
  <si>
    <t>15:05:36</t>
  </si>
  <si>
    <t>15:05:42</t>
  </si>
  <si>
    <t>5885528105039995</t>
  </si>
  <si>
    <t>jose.m.sforcin@unesp.br</t>
  </si>
  <si>
    <t>- Universidade Estadual Paulista Júlio de Mesquita Filho: (Servidor público - PROFESSOR_TITULAR)
- INSTITUTO DE BIOCIÊNCIAS DE BOTUCATU: (em branco)</t>
  </si>
  <si>
    <t>Critério 1</t>
  </si>
  <si>
    <t>Parecer Critério 1</t>
  </si>
  <si>
    <t>Pré-seleção</t>
  </si>
  <si>
    <t>Parecer Pré-seleção</t>
  </si>
  <si>
    <t>Sim</t>
  </si>
  <si>
    <t>Atestou-se que a instituição de Execução é vinculada ao MCTI e atende ao item 3.3 da Chamada Pública. O pesquisador anexou o documento formal de ateste do item 3.2.2. O Proponente enviou sua proposta à Faixa adequada à sua Instituição de Pesquisa.</t>
  </si>
  <si>
    <t>Esta proposta, portanto, atende aos requisitos normativos da Chamada 12/2026 - Programa PCI.</t>
  </si>
  <si>
    <t>Não</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</si>
  <si>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do ABC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</si>
  <si>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Esta proposta, portanto, não atendeu aos requisitos normativos definidos na Chamada 12/2026 - Programa PCI e, portanto, encontra-se desenquadrada tecnicamente para prosseguir para o julgamento.</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</si>
  <si>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da Integração Latino-Americana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</si>
  <si>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Evandro Chagas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</si>
  <si>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de Ouro Preto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</si>
  <si>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de Pesquisas Energéticas e Nucleares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</si>
  <si>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de Brasília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</si>
  <si>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Centro de Desenvolvimento da Tecnologia Nuclear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</si>
  <si>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de Biologia do Exécito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</si>
  <si>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de Roraima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</si>
  <si>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anexou o documento formal de ateste do item 3.2.2. O Proponente enviou sua proposta à Faixa adequada à sua Instituição de Pesquisa. Conforme item 3.2.1, alínea d, o proponente deve ter vínculo celetista ou estatutário com a instituição de execução do projeto. Nesta proposta, não foi possível confirmar o vínculo por meio do Currículo Lattes. Dessa forma, ou ele é inexistente, ou proponente desatendeu ao item 3.2.1, alínea a, que exige que o Currículo Lattes esteja atualizado até a data limite para submissão da proposta. Assim, pedidos de reconsideração somente serão acatados se restar comprovada a existência do vínculo no Lattes Congelado durante a submissão da proposta e comprovada a existência desse vínculo.</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</si>
  <si>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Fundação Oswaldo Cruz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</si>
  <si>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de São Paulo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 Conforme item 3.2.1, alínea d, o proponente deve ter vínculo celetista ou estatutário com a instituição de execução do projeto. Nesta proposta, não foi possível confirmar o vínculo por meio do Currículo Lattes. Dessa forma, ou ele é inexistente, ou proponente desatendeu ao item 3.2.1, alínea a, que exige que o Currículo Lattes esteja atualizado até a data limite para submissão da proposta. Assim, pedidos de reconsideração somente serão acatados se restar comprovada a existência do vínculo no Lattes Congelado durante a submissão da proposta e comprovada a existência desse vínculo.</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</si>
  <si>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do Rio de Janeiro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</si>
  <si>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Rural da Amazônia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</si>
  <si>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Federal de Educação Ciência e Tecnologia de Rondônia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</si>
  <si>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Empresa Brasileira de Pesquisa Agropecuária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</si>
  <si>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Faculdade de Medicina do ABC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</si>
  <si>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do Rio de Janeiro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 Conforme item 3.2.1, alínea d, o proponente deve ter vínculo celetista ou estatutário com a instituição de execução do projeto. Nesta proposta, não foi possível confirmar o vínculo por meio do Currículo Lattes. Dessa forma, ou ele é inexistente, ou proponente desatendeu ao item 3.2.1, alínea a, que exige que o Currículo Lattes esteja atualizado até a data limite para submissão da proposta. Assim, pedidos de reconsideração somente serão acatados se restar comprovada a existência do vínculo no Lattes Congelado durante a submissão da proposta e comprovada a existência desse vínculo.</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</si>
  <si>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de Viçosa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</si>
  <si>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da Bahia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 Conforme item 3.2.1, alínea d, o proponente deve ter vínculo celetista ou estatutário com a instituição de execução do projeto. Nesta proposta, não foi possível confirmar o vínculo por meio do Currículo Lattes. Dessa forma, ou ele é inexistente, ou proponente desatendeu ao item 3.2.1, alínea a, que exige que o Currículo Lattes esteja atualizado até a data limite para submissão da proposta. Assim, pedidos de reconsideração somente serão acatados se restar comprovada a existência do vínculo no Lattes Congelado durante a submissão da proposta e comprovada a existência desse vínculo.</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</si>
  <si>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do Estado do Amazonas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</si>
  <si>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SENAI CIMATEC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</si>
  <si>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Nacional de Pesquisas da Amazônia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</si>
  <si>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Centro Brasileiro de Pesquisas Físicas foi cadastrada na proposta como uma das elegíveis (ver FAQ) e se comprovado que essa foi assinada eletronicamente, com assinatura oficial e validável, pelo diretor da instituição de execução da proposta. A Centro Brasileiro de Pesquisas Físicas pertence à Faixa 2, que não corresponde à Faixa de sua proposta, o que implica em seu desenquadramento. Conforme item 4.4.4 somente é admitida uma única proposta por Faixa. Dessa forma, conforme instruções do FAQ, para eventual pedido de reconsideração, é necessária declaração oficial do RH de sua Instituição atestando o número de servidores, conforme item 4.4.2 e 4.4.4 da Chamada Pública.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</si>
  <si>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da Paraíba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</si>
  <si>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COMISSAO NACIONAL DE ENERGIA NUCLEAR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</si>
  <si>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de Pernambuco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</si>
  <si>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Nacional de Metrologia, Qualidade e Tecnologia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 Conforme item 3.2.1, alínea d, o proponente deve ter vínculo celetista ou estatutário com a instituição de execução do projeto. Nesta proposta, não foi possível confirmar o vínculo por meio do Currículo Lattes. Dessa forma, ou ele é inexistente, ou proponente desatendeu ao item 3.2.1, alínea a, que exige que o Currículo Lattes esteja atualizado até a data limite para submissão da proposta. Assim, pedidos de reconsideração somente serão acatados se restar comprovada a existência do vínculo no Lattes Congelado durante a submissão da proposta e comprovada a existência desse vínculo.</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</si>
  <si>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Estadual Paulista Júlio de Mesquita Filho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</si>
  <si>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de Sergipe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</si>
  <si>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do Paraná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</si>
  <si>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Fluminense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</si>
  <si>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do Ceará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 Conforme item 3.2.1, alínea d, o proponente deve ter vínculo celetista ou estatutário com a instituição de execução do projeto. Nesta proposta, não foi possível confirmar o vínculo por meio do Currículo Lattes. Dessa forma, ou ele é inexistente, ou proponente desatendeu ao item 3.2.1, alínea a, que exige que o Currículo Lattes esteja atualizado até a data limite para submissão da proposta. Assim, pedidos de reconsideração somente serão acatados se restar comprovada a existência do vínculo no Lattes Congelado durante a submissão da proposta e comprovada a existência desse vínculo.</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</si>
  <si>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do Vale do Rio dos Sinos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</si>
  <si>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de Santa Catarina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</si>
  <si>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do Estado de Santa Catarina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</si>
  <si>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Faculdade de Letras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 Conforme item 3.2.1, alínea d, o proponente deve ter vínculo celetista ou estatutário com a instituição de execução do projeto. Nesta proposta, não foi possível confirmar o vínculo por meio do Currículo Lattes. Dessa forma, ou ele é inexistente, ou proponente desatendeu ao item 3.2.1, alínea a, que exige que o Currículo Lattes esteja atualizado até a data limite para submissão da proposta. Assim, pedidos de reconsideração somente serão acatados se restar comprovada a existência do vínculo no Lattes Congelado durante a submissão da proposta e comprovada a existência desse vínculo.</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</si>
  <si>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do Estado do Rio Grande do Norte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</si>
  <si>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de Sorocaba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</si>
  <si>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do Amapá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</si>
  <si>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Faculdade de Engenharia de Guaratinguetá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</si>
  <si>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Museu Paraense Emílio Goeldi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</si>
  <si>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de São Paulo foi cadastrada na proposta como uma das elegíveis (ver FAQ) e se comprovado que essa foi assinada eletronicamente, com assinatura oficial e validável, pelo diretor da instituição de execução da proposta. A Universidade Federal de São Paulo pertence à Faixa 2, que não corresponde à Faixa de sua proposta, o que implica em seu desenquadramento. Conforme item 4.4.4 somente é admitida uma única proposta por Faixa. Dessa forma, conforme instruções do FAQ, para eventual pedido de reconsideração, é necessária declaração oficial do RH de sua Instituição atestando o número de servidores, conforme item 4.4.2 e 4.4.4 da Chamada Pública.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</si>
  <si>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Federal de Educação, Ciência e Tecnologia de Goiás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</si>
  <si>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Centro Federal de Educação Tecnológica de Minas Gerais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</si>
  <si>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de Pernambuco foi cadastrada na proposta como uma das elegíveis (ver FAQ) e se comprovado que essa foi assinada eletronicamente, com assinatura oficial e validável, pelo diretor da instituição de execução da proposta. A Universidade Federal de Pernambuco pertence à Faixa 4, que não corresponde à Faixa de sua proposta, o que implica em seu desenquadramento. Conforme item 4.4.4 somente é admitida uma única proposta por Faixa. Dessa forma, conforme instruções do FAQ, para eventual pedido de reconsideração, é necessária declaração oficial do RH de sua Instituição atestando o número de servidores, conforme item 4.4.2 e 4.4.4 da Chamada Pública.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</si>
  <si>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Rural do Semi-Árido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</si>
  <si>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do Pará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</si>
  <si>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Porto Digital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</si>
  <si>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Fundação Oswaldo Cruz foi cadastrada na proposta como uma das elegíveis (ver FAQ) e se comprovado que essa foi assinada eletronicamente, com assinatura oficial e validável, pelo diretor da instituição de execução da proposta. A Fundação Oswaldo Cruz pertence à Faixa 3, que não corresponde à Faixa de sua proposta, o que implica em seu desenquadramento. Conforme item 4.4.4 somente é admitida uma única proposta por Faixa. Dessa forma, conforme instruções do FAQ, para eventual pedido de reconsideração, é necessária declaração oficial do RH de sua Instituição atestando o número de servidores, conforme item 4.4.2 e 4.4.4 da Chamada Pública.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</si>
  <si>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Centro Nacional de Pesquisa em Energia e Materiais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</si>
  <si>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Nacional de Pesquisas Oceânicas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</si>
  <si>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de Pernambuco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</si>
  <si>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do Rio Grande do Sul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</si>
  <si>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de São João Del-Rei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</si>
  <si>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Fundação Oswaldo Cruz Piauí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</si>
  <si>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FUNDACAO PARQUE TECNOLOGICO DE SANTOS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 Conforme item 3.2.1, alínea d, o proponente deve ter vínculo celetista ou estatutário com a instituição de execução do projeto. Nesta proposta, não foi possível confirmar o vínculo por meio do Currículo Lattes. Dessa forma, ou ele é inexistente, ou proponente desatendeu ao item 3.2.1, alínea a, que exige que o Currículo Lattes esteja atualizado até a data limite para submissão da proposta. Assim, pedidos de reconsideração somente serão acatados se restar comprovada a existência do vínculo no Lattes Congelado durante a submissão da proposta e comprovada a existência desse vínculo.</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</si>
  <si>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Nacional do Semiárido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</si>
  <si>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Nacional de Tecnologia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</si>
  <si>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Centro Brasileiro de Pesquisas Físicas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</si>
  <si>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de São Paulo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</si>
  <si>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Laboratório Nacional de Computação Científica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</si>
  <si>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Instituição foi cadastrada na proposta como uma das elegíveis (ver FAQ) e se comprovado que essa foi assinada eletronicamente, com assinatura oficial e validável, pelo diretor da instituição de execução da proposta. A Instituição pertence à Faixa Desconhecida, que não corresponde à Faixa de sua proposta, o que implica em seu desenquadramento. Conforme item 4.4.4 somente é admitida uma única proposta por Faixa. Dessa forma, conforme instruções do FAQ, para eventual pedido de reconsideração, é necessária declaração oficial do RH de sua Instituição atestando o número de servidores, conforme item 4.4.2 e 4.4.4 da Chamada Pública. Conforme item 3.2.1, alínea d, o proponente deve ter vínculo celetista ou estatutário com a instituição de execução do projeto. Nesta proposta, não foi possível confirmar o vínculo por meio do Currículo Lattes. Dessa forma, ou ele é inexistente, ou proponente desatendeu ao item 3.2.1, alínea a, que exige que o Currículo Lattes esteja atualizado até a data limite para submissão da proposta. Assim, pedidos de reconsideração somente serão acatados se restar comprovada a existência do vínculo no Lattes Congelado durante a submissão da proposta e comprovada a existência desse vínculo.</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</si>
  <si>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Brasileiro de Informação em Ciência e Tecnologia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</si>
  <si>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anexou o documento formal de ateste do item 3.2.2. A Instituto de Engenharia Nuclear pertence à Faixa 3, que não corresponde à Faixa de sua proposta, o que implica em seu desenquadramento. Conforme item 4.4.4 somente é admitida uma única proposta por Faixa. Dessa forma, conforme instruções do FAQ, para eventual pedido de reconsideração, é necessária declaração oficial do RH de sua Instituição atestando o número de servidores, conforme item 4.4.2 e 4.4.4 da Chamada Pública.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</si>
  <si>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Faculdade de Odontologia de Araraquara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</si>
  <si>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Centro de Desenvolvimento da Tecnologia Nuclear foi cadastrada na proposta como uma das elegíveis (ver FAQ) e se comprovado que essa foi assinada eletronicamente, com assinatura oficial e validável, pelo diretor da instituição de execução da proposta. A Centro de Desenvolvimento da Tecnologia Nuclear pertence à Faixa 3, que não corresponde à Faixa de sua proposta, o que implica em seu desenquadramento. Conforme item 4.4.4 somente é admitida uma única proposta por Faixa. Dessa forma, conforme instruções do FAQ, para eventual pedido de reconsideração, é necessária declaração oficial do RH de sua Instituição atestando o número de servidores, conforme item 4.4.2 e 4.4.4 da Chamada Pública.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</si>
  <si>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Federal de Mato Grosso do Sul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</si>
  <si>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Brasileiro de Informação em Ciência e Tecnologia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 Conforme item 3.2.1, alínea d, o proponente deve ter vínculo celetista ou estatutário com a instituição de execução do projeto. Nesta proposta, não foi possível confirmar o vínculo por meio do Currículo Lattes. Dessa forma, ou ele é inexistente, ou proponente desatendeu ao item 3.2.1, alínea a, que exige que o Currículo Lattes esteja atualizado até a data limite para submissão da proposta. Assim, pedidos de reconsideração somente serão acatados se restar comprovada a existência do vínculo no Lattes Congelado durante a submissão da proposta e comprovada a existência desse vínculo.</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</si>
  <si>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Federal de Santa Catarina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</si>
  <si>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COMISSAO NACIONAL DE ENERGIA NUCLEAR foi cadastrada na proposta como uma das elegíveis (ver FAQ) e se comprovado que essa foi assinada eletronicamente, com assinatura oficial e validável, pelo diretor da instituição de execução da proposta. A COMISSAO NACIONAL DE ENERGIA NUCLEAR pertence à Faixa 3, que não corresponde à Faixa de sua proposta, o que implica em seu desenquadramento. Conforme item 4.4.4 somente é admitida uma única proposta por Faixa. Dessa forma, conforme instruções do FAQ, para eventual pedido de reconsideração, é necessária declaração oficial do RH de sua Instituição atestando o número de servidores, conforme item 4.4.2 e 4.4.4 da Chamada Pública.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</si>
  <si>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São Francisco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</si>
  <si>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de Pesquisa Jardim Botânico do Rio de Janeiro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</si>
  <si>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Federal do Ceará - Campus Juazeiro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</si>
  <si>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de Uberlândia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</si>
  <si>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Federal de Educação, Ciência e Tecnologia do Rio Grande do Norte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</si>
  <si>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Atestou-se que a instituição de Execução é vinculada ao MCTI e atende ao item 3.3 da Chamada Pública.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Museu de Astronomia e Ciências Afins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</si>
  <si>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do Maranhão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</si>
  <si>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Científico e Tecnológico de Agronegócios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</si>
  <si>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de Caxias do Sul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 Conforme item 3.2.1, alínea d, o proponente deve ter vínculo celetista ou estatutário com a instituição de execução do projeto. Nesta proposta, não foi possível confirmar o vínculo por meio do Currículo Lattes. Dessa forma, ou ele é inexistente, ou proponente desatendeu ao item 3.2.1, alínea a, que exige que o Currículo Lattes esteja atualizado até a data limite para submissão da proposta. Assim, pedidos de reconsideração somente serão acatados se restar comprovada a existência do vínculo no Lattes Congelado durante a submissão da proposta e comprovada a existência desse vínculo.</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</si>
  <si>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FUNDACAO UNIVERSIDADE FEDERAL DE CIENCIAS DA SAUDE DE PORTO ALEGRE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 Conforme item 3.2.1, alínea d, o proponente deve ter vínculo celetista ou estatutário com a instituição de execução do projeto. Nesta proposta, não foi possível confirmar o vínculo por meio do Currículo Lattes. Dessa forma, ou ele é inexistente, ou proponente desatendeu ao item 3.2.1, alínea a, que exige que o Currículo Lattes esteja atualizado até a data limite para submissão da proposta. Assim, pedidos de reconsideração somente serão acatados se restar comprovada a existência do vínculo no Lattes Congelado durante a submissão da proposta e comprovada a existência desse vínculo.</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</si>
  <si>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de Pernambuco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 Conforme item 3.2.1, alínea d, o proponente deve ter vínculo celetista ou estatutário com a instituição de execução do projeto. Nesta proposta, não foi possível confirmar o vínculo por meio do Currículo Lattes. Dessa forma, ou ele é inexistente, ou proponente desatendeu ao item 3.2.1, alínea a, que exige que o Currículo Lattes esteja atualizado até a data limite para submissão da proposta. Assim, pedidos de reconsideração somente serão acatados se restar comprovada a existência do vínculo no Lattes Congelado durante a submissão da proposta e comprovada a existência desse vínculo.</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</si>
  <si>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Federal do Rio de Janeiro foi cadastrada na proposta como uma das elegíveis (ver FAQ) e se comprovado que essa foi assinada eletronicamente, com assinatura oficial e validável, pelo diretor da instituição de execução da proposta. A Universidade Federal do Rio de Janeiro pertence à Faixa 3, que não corresponde à Faixa de sua proposta, o que implica em seu desenquadramento. Conforme item 4.4.4 somente é admitida uma única proposta por Faixa. Dessa forma, conforme instruções do FAQ, para eventual pedido de reconsideração, é necessária declaração oficial do RH de sua Instituição atestando o número de servidores, conforme item 4.4.2 e 4.4.4 da Chamada Pública.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</si>
  <si>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Instituto de Pesquisas Tecnológicas do Estado de São Paulo foi cadastrada na proposta como uma das elegíveis (ver FAQ) e se comprovado que essa foi assinada eletronicamente, com assinatura oficial e validável, pelo diretor da instituição de execução da proposta. O Proponente enviou sua proposta à Faixa adequada à sua Instituição de Pesquisa.</t>
  </si>
  <si>
    <t>Conforme o item 3.3 da Chamada Pública, a Instituição de Execução deve ser uma ICT vinculada ao MCTI. O item 3.3.1.1 indica o que significa essa vinculação. Foi observado que a Instituição de Execução não é vinculada ao MCTI. Observa-se que as instituições vinculadas ao MCTI foram nominalmente listadas no FAQ. A menos que reste comprovado por meio de documentação oficial emitida pela instituição, de que a Instituição de Execução é vinculada ao MCTI e não a qualquer outro Ministério, estado ou órgão, sua reconsideração não será acatada. Observa-se que Universidades não são vinculadas ao MCTI. O pesquisador não anexou o documento conforme exigido pelos itens 3.2.2 da Chamada Pública. Conforme item 3.2.2.2, a ausência do item implica no indeferimento da proposta. Observa-se que o documento deve ter sido emitido por uma das instituições listadas no FAQ da Chamada Pública (ser elegível conforme o item 3.3) e ter sido assinada pelo Diretor da Instituição. Dessa forma, pedidos de reconsideração somente serão aceitos se for comprovado que a Universidade Estadual Paulista Júlio de Mesquita Filho foi cadastrada na proposta como uma das elegíveis (ver FAQ) e se comprovado que essa foi assinada eletronicamente, com assinatura oficial e validável, pelo diretor da instituição de execução da proposta. A Universidade Estadual Paulista Júlio de Mesquita Filho pertence à Faixa 3, que não corresponde à Faixa de sua proposta, o que implica em seu desenquadramento. Conforme item 4.4.4 somente é admitida uma única proposta por Faixa. Dessa forma, conforme instruções do FAQ, para eventual pedido de reconsideração, é necessária declaração oficial do RH de sua Instituição atestando o número de servidores, conforme item 4.4.2 e 4.4.4 da Chamada Pública.</t>
  </si>
  <si>
    <t>pré-seleção</t>
  </si>
  <si>
    <t>igual</t>
  </si>
  <si>
    <t>Sendo Avaliada?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</si>
</sst>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3" x14ac:knownFonts="1">
    <font>
      <sz val="11"/>
      <color theme="1"/>
      <name val="Calibri"/>
      <family val="2"/>
      <scheme val="minor"/>
    </font>
    <font>
      <u/>
      <sz val="11"/>
      <color theme="10"/>
      <name val="Calibri"/>
      <family val="2"/>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xf numFmtId="164" fontId="0" fillId="0" borderId="0" xfId="0" applyNumberFormat="1"/>
    <xf numFmtId="0" fontId="1" fillId="0" borderId="0" xfId="1" applyAlignment="1" applyProtection="1"/>
    <xf numFmtId="165" fontId="0" fillId="0" borderId="0" xfId="0" applyNumberFormat="1"/>
    <xf numFmtId="0" fontId="0" fillId="2" borderId="0" xfId="0" applyFill="1"/>
    <xf numFmtId="0" fontId="2" fillId="0" borderId="0" xfId="0" applyFont="1"/>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redecnpq-my.sharepoint.com/personal/alberto_silva_cnpq_br/Documents/Chamadas/PCI/2026/Comit&#234;%20Julgador/Alocacao-Projetos.xlsx" TargetMode="External"/><Relationship Id="rId1" Type="http://schemas.openxmlformats.org/officeDocument/2006/relationships/externalLinkPath" Target="Alocacao-Projet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ilha1"/>
      <sheetName val="Planilha2"/>
    </sheetNames>
    <sheetDataSet>
      <sheetData sheetId="0">
        <row r="1">
          <cell r="A1" t="str">
            <v>Total / pessoa</v>
          </cell>
        </row>
        <row r="2">
          <cell r="A2" t="str">
            <v xml:space="preserve">Processo </v>
          </cell>
        </row>
        <row r="3">
          <cell r="A3" t="str">
            <v>402218/2026-4</v>
          </cell>
        </row>
        <row r="4">
          <cell r="A4" t="str">
            <v>401965/2026-0</v>
          </cell>
        </row>
        <row r="5">
          <cell r="A5" t="str">
            <v>402310/2026-8</v>
          </cell>
        </row>
        <row r="6">
          <cell r="A6" t="str">
            <v>402354/2026-5</v>
          </cell>
        </row>
        <row r="7">
          <cell r="A7" t="str">
            <v>401285/2026-0</v>
          </cell>
        </row>
        <row r="8">
          <cell r="A8" t="str">
            <v>401938/2026-3</v>
          </cell>
        </row>
        <row r="9">
          <cell r="A9" t="str">
            <v>402308/2026-3</v>
          </cell>
        </row>
        <row r="10">
          <cell r="A10" t="str">
            <v>402295/2026-9</v>
          </cell>
        </row>
        <row r="11">
          <cell r="A11" t="str">
            <v>402321/2026-0</v>
          </cell>
        </row>
        <row r="12">
          <cell r="A12" t="str">
            <v>402179/2026-9</v>
          </cell>
        </row>
        <row r="13">
          <cell r="A13" t="str">
            <v>402186/2026-5</v>
          </cell>
        </row>
        <row r="14">
          <cell r="A14" t="str">
            <v>402096/2026-6</v>
          </cell>
        </row>
        <row r="15">
          <cell r="A15" t="str">
            <v>402403/2026-6</v>
          </cell>
        </row>
        <row r="16">
          <cell r="A16" t="str">
            <v>402193/2026-1</v>
          </cell>
        </row>
        <row r="17">
          <cell r="A17" t="str">
            <v>402059/2026-3</v>
          </cell>
        </row>
        <row r="18">
          <cell r="A18" t="str">
            <v>402241/2026-6</v>
          </cell>
        </row>
        <row r="19">
          <cell r="A19" t="str">
            <v>402168/2026-7</v>
          </cell>
        </row>
        <row r="20">
          <cell r="A20" t="str">
            <v>402188/2026-8</v>
          </cell>
        </row>
        <row r="21">
          <cell r="A21" t="str">
            <v>402161/2026-2</v>
          </cell>
        </row>
        <row r="22">
          <cell r="A22" t="str">
            <v>402391/2026-8</v>
          </cell>
        </row>
        <row r="23">
          <cell r="A23" t="str">
            <v>402111/2026-5</v>
          </cell>
        </row>
        <row r="24">
          <cell r="A24" t="str">
            <v>402164/2026-1</v>
          </cell>
        </row>
        <row r="25">
          <cell r="A25" t="str">
            <v>401999/2026-2</v>
          </cell>
        </row>
        <row r="26">
          <cell r="A26" t="str">
            <v>402087/2026-7</v>
          </cell>
        </row>
        <row r="27">
          <cell r="A27" t="str">
            <v>402328/2026-4</v>
          </cell>
        </row>
        <row r="28">
          <cell r="A28" t="str">
            <v>402056/2026-4</v>
          </cell>
        </row>
        <row r="29">
          <cell r="A29" t="str">
            <v>402152/2026-3</v>
          </cell>
        </row>
        <row r="30">
          <cell r="A30" t="str">
            <v>402070/2026-7</v>
          </cell>
        </row>
        <row r="31">
          <cell r="A31" t="str">
            <v>401947/2026-2</v>
          </cell>
        </row>
        <row r="32">
          <cell r="A32" t="str">
            <v>401966/2026-7</v>
          </cell>
        </row>
        <row r="33">
          <cell r="A33" t="str">
            <v>402260/2026-0</v>
          </cell>
        </row>
        <row r="34">
          <cell r="A34" t="str">
            <v>402247/2026-4</v>
          </cell>
        </row>
        <row r="35">
          <cell r="A35" t="str">
            <v>402002/2026-1</v>
          </cell>
        </row>
        <row r="36">
          <cell r="A36" t="str">
            <v>402083/2026-1</v>
          </cell>
        </row>
        <row r="37">
          <cell r="A37" t="str">
            <v>402245/2026-1</v>
          </cell>
        </row>
        <row r="38">
          <cell r="A38" t="str">
            <v>401903/2026-5</v>
          </cell>
        </row>
        <row r="39">
          <cell r="A39" t="str">
            <v>402217/2026-8</v>
          </cell>
        </row>
        <row r="40">
          <cell r="A40" t="str">
            <v>402343/2026-3</v>
          </cell>
        </row>
        <row r="41">
          <cell r="A41" t="str">
            <v>402082/2026-5</v>
          </cell>
        </row>
        <row r="42">
          <cell r="A42" t="str">
            <v>402166/2026-4</v>
          </cell>
        </row>
        <row r="43">
          <cell r="A43" t="str">
            <v>402060/2026-1</v>
          </cell>
        </row>
        <row r="44">
          <cell r="A44" t="str">
            <v>402128/2026-5</v>
          </cell>
        </row>
        <row r="45">
          <cell r="A45" t="str">
            <v>402299/2026-4</v>
          </cell>
        </row>
        <row r="46">
          <cell r="A46" t="str">
            <v>402013/2026-3</v>
          </cell>
        </row>
        <row r="47">
          <cell r="A47" t="str">
            <v>402267/2026-5</v>
          </cell>
        </row>
        <row r="48">
          <cell r="A48" t="str">
            <v>402333/2026-8</v>
          </cell>
        </row>
        <row r="49">
          <cell r="A49" t="str">
            <v>402046/2026-9</v>
          </cell>
        </row>
        <row r="50">
          <cell r="A50" t="str">
            <v>402194/2026-8</v>
          </cell>
        </row>
        <row r="51">
          <cell r="A51" t="str">
            <v>402262/2026-3</v>
          </cell>
        </row>
        <row r="52">
          <cell r="A52" t="str">
            <v>401991/2026-1</v>
          </cell>
        </row>
        <row r="53">
          <cell r="A53" t="str">
            <v>402113/2026-8</v>
          </cell>
        </row>
        <row r="54">
          <cell r="A54" t="str">
            <v>402023/2026-9</v>
          </cell>
        </row>
        <row r="55">
          <cell r="A55" t="str">
            <v>401968/2026-0</v>
          </cell>
        </row>
        <row r="56">
          <cell r="A56" t="str">
            <v>402361/2026-1</v>
          </cell>
        </row>
        <row r="57">
          <cell r="A57" t="str">
            <v>402173/2026-0</v>
          </cell>
        </row>
        <row r="58">
          <cell r="A58" t="str">
            <v>402066/2026-0</v>
          </cell>
        </row>
        <row r="59">
          <cell r="A59" t="str">
            <v>402272/2026-9</v>
          </cell>
        </row>
        <row r="60">
          <cell r="A60"/>
        </row>
        <row r="61">
          <cell r="A61" t="str">
            <v>402266/2026-9</v>
          </cell>
        </row>
        <row r="62">
          <cell r="A62" t="str">
            <v>402061/2026-8</v>
          </cell>
        </row>
        <row r="63">
          <cell r="A63" t="str">
            <v>401130/2026-6</v>
          </cell>
        </row>
        <row r="64">
          <cell r="A64" t="str">
            <v>402100/2026-3</v>
          </cell>
        </row>
        <row r="65">
          <cell r="A65" t="str">
            <v>401871/2026-6</v>
          </cell>
        </row>
        <row r="66">
          <cell r="A66" t="str">
            <v>402115/2026-0</v>
          </cell>
        </row>
        <row r="67">
          <cell r="A67" t="str">
            <v>402382/2026-9</v>
          </cell>
        </row>
        <row r="68">
          <cell r="A68" t="str">
            <v>401959/2026-0</v>
          </cell>
        </row>
        <row r="69">
          <cell r="A69" t="str">
            <v>401945/2026-0</v>
          </cell>
        </row>
        <row r="70">
          <cell r="A70" t="str">
            <v>401954/2026-9</v>
          </cell>
        </row>
        <row r="71">
          <cell r="A71" t="str">
            <v>402079/2026-4</v>
          </cell>
        </row>
        <row r="72">
          <cell r="A72" t="str">
            <v>402242/2026-2</v>
          </cell>
        </row>
        <row r="73">
          <cell r="A73" t="str">
            <v>402398/2026-2</v>
          </cell>
        </row>
        <row r="74">
          <cell r="A74" t="str">
            <v>402147/2026-0</v>
          </cell>
        </row>
        <row r="75">
          <cell r="A75" t="str">
            <v>402184/2026-2</v>
          </cell>
        </row>
        <row r="76">
          <cell r="A76" t="str">
            <v>402197/2026-7</v>
          </cell>
        </row>
        <row r="77">
          <cell r="A77" t="str">
            <v>401922/2026-0</v>
          </cell>
        </row>
        <row r="78">
          <cell r="A78" t="str">
            <v>402356/2026-8</v>
          </cell>
        </row>
        <row r="79">
          <cell r="A79" t="str">
            <v>401914/2026-7</v>
          </cell>
        </row>
        <row r="80">
          <cell r="A80" t="str">
            <v>401907/2026-0</v>
          </cell>
        </row>
        <row r="81">
          <cell r="A81" t="str">
            <v>402385/2026-8</v>
          </cell>
        </row>
        <row r="82">
          <cell r="A82" t="str">
            <v>402232/2026-7</v>
          </cell>
        </row>
        <row r="83">
          <cell r="A83" t="str">
            <v>402342/2026-7</v>
          </cell>
        </row>
        <row r="84">
          <cell r="A84" t="str">
            <v>402409/2026-4</v>
          </cell>
        </row>
        <row r="85">
          <cell r="A85" t="str">
            <v>402377/2026-5</v>
          </cell>
        </row>
        <row r="86">
          <cell r="A86" t="str">
            <v>402099/2026-5</v>
          </cell>
        </row>
        <row r="87">
          <cell r="A87" t="str">
            <v>402340/2026-4</v>
          </cell>
        </row>
        <row r="88">
          <cell r="A88" t="str">
            <v>401028/2026-7</v>
          </cell>
        </row>
        <row r="89">
          <cell r="A89" t="str">
            <v>402067/2026-6</v>
          </cell>
        </row>
        <row r="90">
          <cell r="A90" t="str">
            <v>401969/2026-6</v>
          </cell>
        </row>
        <row r="91">
          <cell r="A91" t="str">
            <v>401904/2026-1</v>
          </cell>
        </row>
        <row r="92">
          <cell r="A92" t="str">
            <v>402329/2026-0</v>
          </cell>
        </row>
        <row r="93">
          <cell r="A93" t="str">
            <v>402153/2026-0</v>
          </cell>
        </row>
        <row r="94">
          <cell r="A94" t="str">
            <v>402074/2026-2</v>
          </cell>
        </row>
        <row r="95">
          <cell r="A95" t="str">
            <v>401992/2026-8</v>
          </cell>
        </row>
        <row r="96">
          <cell r="A96" t="str">
            <v>402088/2026-3</v>
          </cell>
        </row>
        <row r="97">
          <cell r="A97" t="str">
            <v>401214/2026-5</v>
          </cell>
        </row>
        <row r="98">
          <cell r="A98" t="str">
            <v>402132/2026-2</v>
          </cell>
        </row>
        <row r="99">
          <cell r="A99" t="str">
            <v>401313/2026-3</v>
          </cell>
        </row>
        <row r="100">
          <cell r="A100" t="str">
            <v>402054/2026-1</v>
          </cell>
        </row>
        <row r="101">
          <cell r="A101" t="str">
            <v>402393/2026-0</v>
          </cell>
        </row>
        <row r="102">
          <cell r="A102" t="str">
            <v>402271/2026-2</v>
          </cell>
        </row>
        <row r="103">
          <cell r="A103" t="str">
            <v>402108/2026-4</v>
          </cell>
        </row>
        <row r="104">
          <cell r="A104" t="str">
            <v>402015/2026-6</v>
          </cell>
        </row>
        <row r="105">
          <cell r="A105" t="str">
            <v>402253/2026-4</v>
          </cell>
        </row>
        <row r="106">
          <cell r="A106" t="str">
            <v>402095/2026-0</v>
          </cell>
        </row>
        <row r="107">
          <cell r="A107" t="str">
            <v>402150/2026-0</v>
          </cell>
        </row>
        <row r="108">
          <cell r="A108" t="str">
            <v>402041/2026-7</v>
          </cell>
        </row>
        <row r="109">
          <cell r="A109" t="str">
            <v>401886/2026-3</v>
          </cell>
        </row>
        <row r="110">
          <cell r="A110" t="str">
            <v>402215/2026-5</v>
          </cell>
        </row>
        <row r="111">
          <cell r="A111" t="str">
            <v>402276/2026-4</v>
          </cell>
        </row>
        <row r="112">
          <cell r="A112" t="str">
            <v>402116/2026-7</v>
          </cell>
        </row>
        <row r="113">
          <cell r="A113" t="str">
            <v>402362/2026-8</v>
          </cell>
        </row>
        <row r="114">
          <cell r="A114" t="str">
            <v>402243/2026-9</v>
          </cell>
        </row>
        <row r="115">
          <cell r="A115" t="str">
            <v>402298/2026-8</v>
          </cell>
        </row>
        <row r="116">
          <cell r="A116" t="str">
            <v>402357/2026-4</v>
          </cell>
        </row>
        <row r="117">
          <cell r="A117" t="str">
            <v>401960/2026-9</v>
          </cell>
        </row>
        <row r="118">
          <cell r="A118" t="str">
            <v>401983/2026-9</v>
          </cell>
        </row>
        <row r="119">
          <cell r="A119" t="str">
            <v>402263/2026-0</v>
          </cell>
        </row>
        <row r="120">
          <cell r="A120" t="str">
            <v>401970/2026-4</v>
          </cell>
        </row>
        <row r="121">
          <cell r="A121" t="str">
            <v>402081/2026-9</v>
          </cell>
        </row>
        <row r="122">
          <cell r="A122" t="str">
            <v>402373/2026-0</v>
          </cell>
        </row>
        <row r="123">
          <cell r="A123" t="str">
            <v>402380/2026-6</v>
          </cell>
        </row>
        <row r="124">
          <cell r="A124" t="str">
            <v>401212/2026-2</v>
          </cell>
        </row>
        <row r="125">
          <cell r="A125" t="str">
            <v>402412/2026-5</v>
          </cell>
        </row>
        <row r="126">
          <cell r="A126" t="str">
            <v>401868/2026-5</v>
          </cell>
        </row>
        <row r="127">
          <cell r="A127" t="str">
            <v>402261/2026-7</v>
          </cell>
        </row>
        <row r="128">
          <cell r="A128" t="str">
            <v>402379/2026-8</v>
          </cell>
        </row>
        <row r="129">
          <cell r="A129" t="str">
            <v>402281/2026-8</v>
          </cell>
        </row>
        <row r="130">
          <cell r="A130" t="str">
            <v>401189/2026-0</v>
          </cell>
        </row>
        <row r="131">
          <cell r="A131" t="str">
            <v>402073/2026-6</v>
          </cell>
        </row>
        <row r="132">
          <cell r="A132" t="str">
            <v>402201/2026-4</v>
          </cell>
        </row>
        <row r="133">
          <cell r="A133" t="str">
            <v>401989/2026-7</v>
          </cell>
        </row>
        <row r="134">
          <cell r="A134" t="str">
            <v>402404/2026-2</v>
          </cell>
        </row>
        <row r="135">
          <cell r="A135" t="str">
            <v>402160/2026-6</v>
          </cell>
        </row>
        <row r="136">
          <cell r="A136" t="str">
            <v>402011/2026-0</v>
          </cell>
        </row>
        <row r="137">
          <cell r="A137" t="str">
            <v>402374/2026-6</v>
          </cell>
        </row>
        <row r="138">
          <cell r="A138" t="str">
            <v>402042/2026-3</v>
          </cell>
        </row>
        <row r="139">
          <cell r="A139" t="str">
            <v>402076/2026-5</v>
          </cell>
        </row>
        <row r="140">
          <cell r="A140" t="str">
            <v>401997/2026-0</v>
          </cell>
        </row>
        <row r="141">
          <cell r="A141" t="str">
            <v>402381/2026-2</v>
          </cell>
        </row>
        <row r="142">
          <cell r="A142" t="str">
            <v>402157/2026-5</v>
          </cell>
        </row>
        <row r="143">
          <cell r="A143" t="str">
            <v>401951/2026-0</v>
          </cell>
        </row>
        <row r="144">
          <cell r="A144" t="str">
            <v>401905/2026-8</v>
          </cell>
        </row>
        <row r="145">
          <cell r="A145" t="str">
            <v>402371/2026-7</v>
          </cell>
        </row>
        <row r="146">
          <cell r="A146" t="str">
            <v>402064/2026-7</v>
          </cell>
        </row>
        <row r="147">
          <cell r="A147" t="str">
            <v>402031/2026-1</v>
          </cell>
        </row>
        <row r="148">
          <cell r="A148" t="str">
            <v>401944/2026-3</v>
          </cell>
        </row>
        <row r="149">
          <cell r="A149" t="str">
            <v>402048/2026-1</v>
          </cell>
        </row>
        <row r="150">
          <cell r="A150" t="str">
            <v>402053/2026-5</v>
          </cell>
        </row>
        <row r="151">
          <cell r="A151" t="str">
            <v>402093/2026-7</v>
          </cell>
        </row>
        <row r="152">
          <cell r="A152" t="str">
            <v>402195/2026-4</v>
          </cell>
        </row>
        <row r="153">
          <cell r="A153" t="str">
            <v>402213/2026-2</v>
          </cell>
        </row>
        <row r="154">
          <cell r="A154" t="str">
            <v>402324/2026-9</v>
          </cell>
        </row>
        <row r="155">
          <cell r="A155" t="str">
            <v>401883/2026-4</v>
          </cell>
        </row>
        <row r="156">
          <cell r="A156" t="str">
            <v>402331/2026-5</v>
          </cell>
        </row>
        <row r="157">
          <cell r="A157" t="str">
            <v>402202/2026-0</v>
          </cell>
        </row>
        <row r="158">
          <cell r="A158" t="str">
            <v>402347/2026-9</v>
          </cell>
        </row>
        <row r="159">
          <cell r="A159" t="str">
            <v>402305/2026-4</v>
          </cell>
        </row>
        <row r="160">
          <cell r="A160" t="str">
            <v>401884/2026-0</v>
          </cell>
        </row>
        <row r="161">
          <cell r="A161" t="str">
            <v>402105/2026-5</v>
          </cell>
        </row>
        <row r="162">
          <cell r="A162" t="str">
            <v>402414/2026-8</v>
          </cell>
        </row>
        <row r="163">
          <cell r="A163" t="str">
            <v>402211/2026-0</v>
          </cell>
        </row>
        <row r="164">
          <cell r="A164" t="str">
            <v>402264/2026-6</v>
          </cell>
        </row>
        <row r="165">
          <cell r="A165" t="str">
            <v>402289/2026-9</v>
          </cell>
        </row>
        <row r="166">
          <cell r="A166" t="str">
            <v>402170/2026-1</v>
          </cell>
        </row>
        <row r="167">
          <cell r="A167" t="str">
            <v>402097/2026-2</v>
          </cell>
        </row>
        <row r="168">
          <cell r="A168" t="str">
            <v>402238/2026-5</v>
          </cell>
        </row>
        <row r="169">
          <cell r="A169" t="str">
            <v>402154/2026-6</v>
          </cell>
        </row>
        <row r="170">
          <cell r="A170" t="str">
            <v>401913/2026-0</v>
          </cell>
        </row>
        <row r="171">
          <cell r="A171" t="str">
            <v>402205/2026-0</v>
          </cell>
        </row>
        <row r="172">
          <cell r="A172" t="str">
            <v>402330/2026-9</v>
          </cell>
        </row>
        <row r="173">
          <cell r="A173" t="str">
            <v>401988/2026-0</v>
          </cell>
        </row>
        <row r="174">
          <cell r="A174" t="str">
            <v>402390/2026-1</v>
          </cell>
        </row>
        <row r="175">
          <cell r="A175" t="str">
            <v>402336/2026-7</v>
          </cell>
        </row>
        <row r="176">
          <cell r="A176" t="str">
            <v>402334/2026-4</v>
          </cell>
        </row>
        <row r="177">
          <cell r="A177" t="str">
            <v>401927/2026-1</v>
          </cell>
        </row>
        <row r="178">
          <cell r="A178" t="str">
            <v>402198/2026-3</v>
          </cell>
        </row>
        <row r="179">
          <cell r="A179" t="str">
            <v>402251/2026-1</v>
          </cell>
        </row>
        <row r="180">
          <cell r="A180" t="str">
            <v>401977/2026-9</v>
          </cell>
        </row>
        <row r="181">
          <cell r="A181" t="str">
            <v>402039/2026-2</v>
          </cell>
        </row>
        <row r="182">
          <cell r="A182" t="str">
            <v>402058/2026-7</v>
          </cell>
        </row>
        <row r="183">
          <cell r="A183" t="str">
            <v>402287/2026-6</v>
          </cell>
        </row>
        <row r="184">
          <cell r="A184" t="str">
            <v>402165/2026-8</v>
          </cell>
        </row>
        <row r="185">
          <cell r="A185" t="str">
            <v>401952/2026-6</v>
          </cell>
        </row>
        <row r="186">
          <cell r="A186" t="str">
            <v>402327/2026-8</v>
          </cell>
        </row>
        <row r="187">
          <cell r="A187" t="str">
            <v>402231/2026-0</v>
          </cell>
        </row>
        <row r="188">
          <cell r="A188" t="str">
            <v>402335/2026-0</v>
          </cell>
        </row>
        <row r="189">
          <cell r="A189" t="str">
            <v>402338/2026-0</v>
          </cell>
        </row>
        <row r="190">
          <cell r="A190" t="str">
            <v>402413/2026-1</v>
          </cell>
        </row>
        <row r="191">
          <cell r="A191" t="str">
            <v>402124/2026-0</v>
          </cell>
        </row>
        <row r="192">
          <cell r="A192" t="str">
            <v>402222/2026-1</v>
          </cell>
        </row>
        <row r="193">
          <cell r="A193" t="str">
            <v>401040/2026-7</v>
          </cell>
        </row>
        <row r="194">
          <cell r="A194" t="str">
            <v>402269/2026-8</v>
          </cell>
        </row>
        <row r="195">
          <cell r="A195" t="str">
            <v>402252/2026-8</v>
          </cell>
        </row>
        <row r="196">
          <cell r="A196" t="str">
            <v>402199/2026-0</v>
          </cell>
        </row>
        <row r="197">
          <cell r="A197" t="str">
            <v>401993/2026-4</v>
          </cell>
        </row>
        <row r="198">
          <cell r="A198" t="str">
            <v>402405/2026-9</v>
          </cell>
        </row>
        <row r="199">
          <cell r="A199" t="str">
            <v>401284/2026-3</v>
          </cell>
        </row>
        <row r="200">
          <cell r="A200" t="str">
            <v>402236/2026-2</v>
          </cell>
        </row>
        <row r="201">
          <cell r="A201" t="str">
            <v>402016/2026-2</v>
          </cell>
        </row>
        <row r="202">
          <cell r="A202" t="str">
            <v>401982/2026-2</v>
          </cell>
        </row>
        <row r="203">
          <cell r="A203" t="str">
            <v>402065/2026-3</v>
          </cell>
        </row>
        <row r="204">
          <cell r="A204" t="str">
            <v>402278/2026-7</v>
          </cell>
        </row>
        <row r="205">
          <cell r="A205" t="str">
            <v>402387/2026-0</v>
          </cell>
        </row>
        <row r="206">
          <cell r="A206" t="str">
            <v>402388/2026-7</v>
          </cell>
        </row>
        <row r="207">
          <cell r="A207" t="str">
            <v>401978/2026-5</v>
          </cell>
        </row>
        <row r="208">
          <cell r="A208" t="str">
            <v>402285/2026-3</v>
          </cell>
        </row>
        <row r="209">
          <cell r="A209" t="str">
            <v>402349/2026-1</v>
          </cell>
        </row>
        <row r="210">
          <cell r="A210" t="str">
            <v>402004/2026-4</v>
          </cell>
        </row>
        <row r="211">
          <cell r="A211" t="str">
            <v>402038/2026-6</v>
          </cell>
        </row>
        <row r="212">
          <cell r="A212" t="str">
            <v>402069/2026-9</v>
          </cell>
        </row>
        <row r="213">
          <cell r="A213" t="str">
            <v>401990/2026-5</v>
          </cell>
        </row>
        <row r="214">
          <cell r="A214" t="str">
            <v>402191/2026-9</v>
          </cell>
        </row>
        <row r="215">
          <cell r="A215" t="str">
            <v>402204/2026-3</v>
          </cell>
        </row>
        <row r="216">
          <cell r="A216" t="str">
            <v>402383/2026-5</v>
          </cell>
        </row>
        <row r="217">
          <cell r="A217" t="str">
            <v>402159/2026-8</v>
          </cell>
        </row>
        <row r="218">
          <cell r="A218" t="str">
            <v>402286/2026-0</v>
          </cell>
        </row>
        <row r="219">
          <cell r="A219" t="str">
            <v>402009/2026-6</v>
          </cell>
        </row>
        <row r="220">
          <cell r="A220" t="str">
            <v>402104/2026-9</v>
          </cell>
        </row>
        <row r="221">
          <cell r="A221" t="str">
            <v>402303/2026-1</v>
          </cell>
        </row>
        <row r="222">
          <cell r="A222" t="str">
            <v>402027/2026-4</v>
          </cell>
        </row>
        <row r="223">
          <cell r="A223" t="str">
            <v>402210/2026-3</v>
          </cell>
        </row>
        <row r="224">
          <cell r="A224" t="str">
            <v>402254/2026-0</v>
          </cell>
        </row>
        <row r="225">
          <cell r="A225" t="str">
            <v>402135/2026-1</v>
          </cell>
        </row>
        <row r="226">
          <cell r="A226" t="str">
            <v>402149/2026-2</v>
          </cell>
        </row>
        <row r="227">
          <cell r="A227" t="str">
            <v>402228/2026-0</v>
          </cell>
        </row>
        <row r="228">
          <cell r="A228" t="str">
            <v>401900/2026-6</v>
          </cell>
        </row>
        <row r="229">
          <cell r="A229" t="str">
            <v>401185/2026-5</v>
          </cell>
        </row>
        <row r="230">
          <cell r="A230" t="str">
            <v>401908/2026-7</v>
          </cell>
        </row>
        <row r="231">
          <cell r="A231" t="str">
            <v>402257/2026-0</v>
          </cell>
        </row>
        <row r="232">
          <cell r="A232" t="str">
            <v>402075/2026-9</v>
          </cell>
        </row>
        <row r="233">
          <cell r="A233" t="str">
            <v>402137/2026-4</v>
          </cell>
        </row>
        <row r="234">
          <cell r="A234" t="str">
            <v>401998/2026-6</v>
          </cell>
        </row>
        <row r="235">
          <cell r="A235" t="str">
            <v>401910/2026-1</v>
          </cell>
        </row>
        <row r="236">
          <cell r="A236" t="str">
            <v>402146/2026-3</v>
          </cell>
        </row>
        <row r="237">
          <cell r="A237" t="str">
            <v>401864/2026-0</v>
          </cell>
        </row>
        <row r="238">
          <cell r="A238" t="str">
            <v>401980/2026-0</v>
          </cell>
        </row>
        <row r="239">
          <cell r="A239" t="str">
            <v>402080/2026-2</v>
          </cell>
        </row>
        <row r="240">
          <cell r="A240" t="str">
            <v>402407/2026-1</v>
          </cell>
        </row>
        <row r="241">
          <cell r="A241" t="str">
            <v>402293/2026-6</v>
          </cell>
        </row>
        <row r="242">
          <cell r="A242" t="str">
            <v>402155/2026-2</v>
          </cell>
        </row>
        <row r="243">
          <cell r="A243" t="str">
            <v>402121/2026-0</v>
          </cell>
        </row>
        <row r="244">
          <cell r="A244" t="str">
            <v>402296/2026-5</v>
          </cell>
        </row>
        <row r="245">
          <cell r="A245" t="str">
            <v>402212/2026-6</v>
          </cell>
        </row>
        <row r="246">
          <cell r="A246" t="str">
            <v>401246/2026-4</v>
          </cell>
        </row>
        <row r="247">
          <cell r="A247" t="str">
            <v>402341/2026-0</v>
          </cell>
        </row>
        <row r="248">
          <cell r="A248" t="str">
            <v>402315/2026-0</v>
          </cell>
        </row>
        <row r="249">
          <cell r="A249" t="str">
            <v>402175/2026-3</v>
          </cell>
        </row>
        <row r="250">
          <cell r="A250" t="str">
            <v>401024/2026-1</v>
          </cell>
        </row>
        <row r="251">
          <cell r="A251" t="str">
            <v>402397/2026-6</v>
          </cell>
        </row>
        <row r="252">
          <cell r="A252" t="str">
            <v>402035/2026-7</v>
          </cell>
        </row>
        <row r="253">
          <cell r="A253" t="str">
            <v>401802/2026-4</v>
          </cell>
        </row>
        <row r="254">
          <cell r="A254" t="str">
            <v>402171/2026-8</v>
          </cell>
        </row>
        <row r="255">
          <cell r="A255" t="str">
            <v>402089/2026-0</v>
          </cell>
        </row>
        <row r="256">
          <cell r="A256" t="str">
            <v>401190/2026-9</v>
          </cell>
        </row>
        <row r="257">
          <cell r="A257" t="str">
            <v>401055/2026-4</v>
          </cell>
        </row>
        <row r="258">
          <cell r="A258" t="str">
            <v>401037/2026-6</v>
          </cell>
        </row>
        <row r="259">
          <cell r="A259" t="str">
            <v>402200/2026-8</v>
          </cell>
        </row>
        <row r="260">
          <cell r="A260" t="str">
            <v>401361/2026-8</v>
          </cell>
        </row>
        <row r="261">
          <cell r="A261" t="str">
            <v>402219/2026-0</v>
          </cell>
        </row>
        <row r="262">
          <cell r="A262" t="str">
            <v>402249/2026-7</v>
          </cell>
        </row>
        <row r="263">
          <cell r="A263" t="str">
            <v>402313/2026-7</v>
          </cell>
        </row>
        <row r="264">
          <cell r="A264" t="str">
            <v>402259/2026-2</v>
          </cell>
        </row>
        <row r="265">
          <cell r="A265" t="str">
            <v>402275/2026-8</v>
          </cell>
        </row>
        <row r="266">
          <cell r="A266" t="str">
            <v>402283/2026-0</v>
          </cell>
        </row>
        <row r="267">
          <cell r="A267" t="str">
            <v>402109/2026-0</v>
          </cell>
        </row>
        <row r="268">
          <cell r="A268" t="str">
            <v>402364/2026-0</v>
          </cell>
        </row>
        <row r="269">
          <cell r="A269" t="str">
            <v>402376/2026-9</v>
          </cell>
        </row>
        <row r="270">
          <cell r="A270" t="str">
            <v>401936/2026-0</v>
          </cell>
        </row>
        <row r="271">
          <cell r="A271" t="str">
            <v>402208/2026-9</v>
          </cell>
        </row>
        <row r="272">
          <cell r="A272" t="str">
            <v>402352/2026-2</v>
          </cell>
        </row>
        <row r="273">
          <cell r="A273" t="str">
            <v>401270/2026-2</v>
          </cell>
        </row>
        <row r="274">
          <cell r="A274" t="str">
            <v>402140/2026-5</v>
          </cell>
        </row>
        <row r="275">
          <cell r="A275" t="str">
            <v>401885/2026-7</v>
          </cell>
        </row>
        <row r="276">
          <cell r="A276" t="str">
            <v>401853/2026-8</v>
          </cell>
        </row>
        <row r="277">
          <cell r="A277" t="str">
            <v>402233/2026-3</v>
          </cell>
        </row>
        <row r="278">
          <cell r="A278" t="str">
            <v>402339/2026-6</v>
          </cell>
        </row>
        <row r="279">
          <cell r="A279" t="str">
            <v>402346/2026-2</v>
          </cell>
        </row>
        <row r="280">
          <cell r="A280" t="str">
            <v>401346/2026-9</v>
          </cell>
        </row>
        <row r="281">
          <cell r="A281" t="str">
            <v>402142/2026-8</v>
          </cell>
        </row>
        <row r="282">
          <cell r="A282" t="str">
            <v>402234/2026-0</v>
          </cell>
        </row>
        <row r="283">
          <cell r="A283" t="str">
            <v>401994/2026-0</v>
          </cell>
        </row>
        <row r="284">
          <cell r="A284" t="str">
            <v>401357/2026-0</v>
          </cell>
        </row>
        <row r="285">
          <cell r="A285" t="str">
            <v>402351/2026-6</v>
          </cell>
        </row>
        <row r="286">
          <cell r="A286" t="str">
            <v>402399/2026-9</v>
          </cell>
        </row>
        <row r="287">
          <cell r="A287" t="str">
            <v>402311/2026-4</v>
          </cell>
        </row>
        <row r="288">
          <cell r="A288" t="str">
            <v>401972/2026-7</v>
          </cell>
        </row>
        <row r="289">
          <cell r="A289" t="str">
            <v>402176/2026-0</v>
          </cell>
        </row>
        <row r="290">
          <cell r="A290" t="str">
            <v>401917/2026-6</v>
          </cell>
        </row>
        <row r="291">
          <cell r="A291" t="str">
            <v>402353/2026-9</v>
          </cell>
        </row>
        <row r="292">
          <cell r="A292" t="str">
            <v>402239/2026-1</v>
          </cell>
        </row>
        <row r="293">
          <cell r="A293" t="str">
            <v>402369/2026-2</v>
          </cell>
        </row>
        <row r="294">
          <cell r="A294" t="str">
            <v>402077/2026-1</v>
          </cell>
        </row>
        <row r="295">
          <cell r="A295" t="str">
            <v>401981/2026-6</v>
          </cell>
        </row>
        <row r="296">
          <cell r="A296" t="str">
            <v>402052/2026-9</v>
          </cell>
        </row>
        <row r="297">
          <cell r="A297" t="str">
            <v>401976/2026-2</v>
          </cell>
        </row>
        <row r="298">
          <cell r="A298" t="str">
            <v>402216/2026-1</v>
          </cell>
        </row>
        <row r="299">
          <cell r="A299" t="str">
            <v>401928/2026-8</v>
          </cell>
        </row>
        <row r="300">
          <cell r="A300" t="str">
            <v>402126/2026-2</v>
          </cell>
        </row>
        <row r="301">
          <cell r="A301" t="str">
            <v>402123/2026-3</v>
          </cell>
        </row>
        <row r="302">
          <cell r="A302" t="str">
            <v>402389/2026-3</v>
          </cell>
        </row>
        <row r="303">
          <cell r="A303" t="str">
            <v>402063/2026-0</v>
          </cell>
        </row>
        <row r="304">
          <cell r="A304" t="str">
            <v>402214/2026-9</v>
          </cell>
        </row>
        <row r="305">
          <cell r="A305" t="str">
            <v>402047/2026-5</v>
          </cell>
        </row>
        <row r="306">
          <cell r="A306" t="str">
            <v>402010/2026-4</v>
          </cell>
        </row>
        <row r="307">
          <cell r="A307" t="str">
            <v>402318/2026-9</v>
          </cell>
        </row>
        <row r="308">
          <cell r="A308" t="str">
            <v>402301/2026-9</v>
          </cell>
        </row>
        <row r="309">
          <cell r="A309" t="str">
            <v>401955/2026-5</v>
          </cell>
        </row>
        <row r="310">
          <cell r="A310" t="str">
            <v>402078/2026-8</v>
          </cell>
        </row>
        <row r="311">
          <cell r="A311" t="str">
            <v>401941/2026-4</v>
          </cell>
        </row>
        <row r="312">
          <cell r="A312" t="str">
            <v>401996/2026-3</v>
          </cell>
        </row>
        <row r="313">
          <cell r="A313" t="str">
            <v>401362/2026-4</v>
          </cell>
        </row>
        <row r="314">
          <cell r="A314" t="str">
            <v>402258/2026-6</v>
          </cell>
        </row>
        <row r="315">
          <cell r="A315" t="str">
            <v>402400/2026-7</v>
          </cell>
        </row>
        <row r="316">
          <cell r="A316" t="str">
            <v>402117/2026-3</v>
          </cell>
        </row>
        <row r="317">
          <cell r="A317" t="str">
            <v>401878/2026-0</v>
          </cell>
        </row>
        <row r="318">
          <cell r="A318" t="str">
            <v>401939/2026-0</v>
          </cell>
        </row>
        <row r="319">
          <cell r="A319" t="str">
            <v>402282/2026-4</v>
          </cell>
        </row>
        <row r="320">
          <cell r="A320" t="str">
            <v>402122/2026-7</v>
          </cell>
        </row>
        <row r="321">
          <cell r="A321" t="str">
            <v>402138/2026-0</v>
          </cell>
        </row>
        <row r="322">
          <cell r="A322" t="str">
            <v>401935/2026-4</v>
          </cell>
        </row>
        <row r="323">
          <cell r="A323" t="str">
            <v>402256/2026-3</v>
          </cell>
        </row>
        <row r="324">
          <cell r="A324" t="str">
            <v>402230/2026-4</v>
          </cell>
        </row>
        <row r="325">
          <cell r="A325" t="str">
            <v>401931/2026-9</v>
          </cell>
        </row>
        <row r="326">
          <cell r="A326" t="str">
            <v>402288/2026-2</v>
          </cell>
        </row>
        <row r="327">
          <cell r="A327" t="str">
            <v>401946/2026-6</v>
          </cell>
        </row>
        <row r="328">
          <cell r="A328" t="str">
            <v>402365/2026-7</v>
          </cell>
        </row>
        <row r="329">
          <cell r="A329" t="str">
            <v>402174/2026-7</v>
          </cell>
        </row>
        <row r="330">
          <cell r="A330" t="str">
            <v>401987/2026-4</v>
          </cell>
        </row>
        <row r="331">
          <cell r="A331" t="str">
            <v>401450/2026-0</v>
          </cell>
        </row>
        <row r="332">
          <cell r="A332" t="str">
            <v>402246/2026-8</v>
          </cell>
        </row>
        <row r="333">
          <cell r="A333" t="str">
            <v>402300/2026-2</v>
          </cell>
        </row>
        <row r="334">
          <cell r="A334" t="str">
            <v>402290/2026-7</v>
          </cell>
        </row>
        <row r="335">
          <cell r="A335" t="str">
            <v>402125/2026-6</v>
          </cell>
        </row>
        <row r="336">
          <cell r="A336" t="str">
            <v>402248/2026-0</v>
          </cell>
        </row>
        <row r="337">
          <cell r="A337" t="str">
            <v>402292/2026-0</v>
          </cell>
        </row>
        <row r="338">
          <cell r="A338" t="str">
            <v>402007/2026-3</v>
          </cell>
        </row>
        <row r="339">
          <cell r="A339" t="str">
            <v>402183/2026-6</v>
          </cell>
        </row>
        <row r="340">
          <cell r="A340" t="str">
            <v>402255/2026-7</v>
          </cell>
        </row>
        <row r="341">
          <cell r="A341" t="str">
            <v>402358/2026-0</v>
          </cell>
        </row>
        <row r="342">
          <cell r="A342" t="str">
            <v>402250/2026-5</v>
          </cell>
        </row>
        <row r="343">
          <cell r="A343" t="str">
            <v>402410/2026-2</v>
          </cell>
        </row>
      </sheetData>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lattes.cnpq.br/8623798867256227" TargetMode="External"/><Relationship Id="rId299" Type="http://schemas.openxmlformats.org/officeDocument/2006/relationships/hyperlink" Target="http://lattes.cnpq.br/2264731136781838" TargetMode="External"/><Relationship Id="rId21" Type="http://schemas.openxmlformats.org/officeDocument/2006/relationships/hyperlink" Target="http://lattes.cnpq.br/9527193250756102" TargetMode="External"/><Relationship Id="rId63" Type="http://schemas.openxmlformats.org/officeDocument/2006/relationships/hyperlink" Target="http://lattes.cnpq.br/0236607123089481" TargetMode="External"/><Relationship Id="rId159" Type="http://schemas.openxmlformats.org/officeDocument/2006/relationships/hyperlink" Target="http://lattes.cnpq.br/6124019896265890" TargetMode="External"/><Relationship Id="rId324" Type="http://schemas.openxmlformats.org/officeDocument/2006/relationships/hyperlink" Target="http://lattes.cnpq.br/1766582596876949" TargetMode="External"/><Relationship Id="rId366" Type="http://schemas.openxmlformats.org/officeDocument/2006/relationships/hyperlink" Target="http://lattes.cnpq.br/1582611321201876" TargetMode="External"/><Relationship Id="rId170" Type="http://schemas.openxmlformats.org/officeDocument/2006/relationships/hyperlink" Target="http://lattes.cnpq.br/2010495712225789" TargetMode="External"/><Relationship Id="rId226" Type="http://schemas.openxmlformats.org/officeDocument/2006/relationships/hyperlink" Target="http://lattes.cnpq.br/7235133419715845" TargetMode="External"/><Relationship Id="rId433" Type="http://schemas.openxmlformats.org/officeDocument/2006/relationships/hyperlink" Target="http://lattes.cnpq.br/3627883035710562" TargetMode="External"/><Relationship Id="rId268" Type="http://schemas.openxmlformats.org/officeDocument/2006/relationships/hyperlink" Target="http://lattes.cnpq.br/3070520203037882" TargetMode="External"/><Relationship Id="rId32" Type="http://schemas.openxmlformats.org/officeDocument/2006/relationships/hyperlink" Target="http://lattes.cnpq.br/3524890504250775" TargetMode="External"/><Relationship Id="rId74" Type="http://schemas.openxmlformats.org/officeDocument/2006/relationships/hyperlink" Target="http://lattes.cnpq.br/7275059047419031" TargetMode="External"/><Relationship Id="rId128" Type="http://schemas.openxmlformats.org/officeDocument/2006/relationships/hyperlink" Target="http://lattes.cnpq.br/3727492285903717" TargetMode="External"/><Relationship Id="rId335" Type="http://schemas.openxmlformats.org/officeDocument/2006/relationships/hyperlink" Target="http://lattes.cnpq.br/2605062132611045" TargetMode="External"/><Relationship Id="rId377" Type="http://schemas.openxmlformats.org/officeDocument/2006/relationships/hyperlink" Target="http://lattes.cnpq.br/7215012758742124" TargetMode="External"/><Relationship Id="rId5" Type="http://schemas.openxmlformats.org/officeDocument/2006/relationships/hyperlink" Target="http://lattes.cnpq.br/8983339131944366" TargetMode="External"/><Relationship Id="rId181" Type="http://schemas.openxmlformats.org/officeDocument/2006/relationships/hyperlink" Target="http://lattes.cnpq.br/9158221546122615" TargetMode="External"/><Relationship Id="rId237" Type="http://schemas.openxmlformats.org/officeDocument/2006/relationships/hyperlink" Target="http://lattes.cnpq.br/8885538459560305" TargetMode="External"/><Relationship Id="rId402" Type="http://schemas.openxmlformats.org/officeDocument/2006/relationships/hyperlink" Target="http://lattes.cnpq.br/4750551157169967" TargetMode="External"/><Relationship Id="rId279" Type="http://schemas.openxmlformats.org/officeDocument/2006/relationships/hyperlink" Target="http://lattes.cnpq.br/4044332658989430" TargetMode="External"/><Relationship Id="rId444" Type="http://schemas.openxmlformats.org/officeDocument/2006/relationships/hyperlink" Target="http://lattes.cnpq.br/9108471025746879" TargetMode="External"/><Relationship Id="rId43" Type="http://schemas.openxmlformats.org/officeDocument/2006/relationships/hyperlink" Target="http://lattes.cnpq.br/3978060547725760" TargetMode="External"/><Relationship Id="rId139" Type="http://schemas.openxmlformats.org/officeDocument/2006/relationships/hyperlink" Target="http://lattes.cnpq.br/9873289111461387" TargetMode="External"/><Relationship Id="rId290" Type="http://schemas.openxmlformats.org/officeDocument/2006/relationships/hyperlink" Target="http://lattes.cnpq.br/7670802354533485" TargetMode="External"/><Relationship Id="rId304" Type="http://schemas.openxmlformats.org/officeDocument/2006/relationships/hyperlink" Target="http://lattes.cnpq.br/6589062304969432" TargetMode="External"/><Relationship Id="rId346" Type="http://schemas.openxmlformats.org/officeDocument/2006/relationships/hyperlink" Target="http://lattes.cnpq.br/8537150955145617" TargetMode="External"/><Relationship Id="rId388" Type="http://schemas.openxmlformats.org/officeDocument/2006/relationships/hyperlink" Target="http://lattes.cnpq.br/0320191151647686" TargetMode="External"/><Relationship Id="rId85" Type="http://schemas.openxmlformats.org/officeDocument/2006/relationships/hyperlink" Target="http://lattes.cnpq.br/8188475000675337" TargetMode="External"/><Relationship Id="rId150" Type="http://schemas.openxmlformats.org/officeDocument/2006/relationships/hyperlink" Target="http://lattes.cnpq.br/5458887479371828" TargetMode="External"/><Relationship Id="rId192" Type="http://schemas.openxmlformats.org/officeDocument/2006/relationships/hyperlink" Target="http://lattes.cnpq.br/0138107410648104" TargetMode="External"/><Relationship Id="rId206" Type="http://schemas.openxmlformats.org/officeDocument/2006/relationships/hyperlink" Target="http://lattes.cnpq.br/9927877895574494" TargetMode="External"/><Relationship Id="rId413" Type="http://schemas.openxmlformats.org/officeDocument/2006/relationships/hyperlink" Target="http://lattes.cnpq.br/2536735601614526" TargetMode="External"/><Relationship Id="rId248" Type="http://schemas.openxmlformats.org/officeDocument/2006/relationships/hyperlink" Target="http://lattes.cnpq.br/4220588050780054" TargetMode="External"/><Relationship Id="rId455" Type="http://schemas.openxmlformats.org/officeDocument/2006/relationships/hyperlink" Target="http://lattes.cnpq.br/2611216993299534" TargetMode="External"/><Relationship Id="rId12" Type="http://schemas.openxmlformats.org/officeDocument/2006/relationships/hyperlink" Target="http://lattes.cnpq.br/0983858173807551" TargetMode="External"/><Relationship Id="rId108" Type="http://schemas.openxmlformats.org/officeDocument/2006/relationships/hyperlink" Target="http://lattes.cnpq.br/0157177135951013" TargetMode="External"/><Relationship Id="rId315" Type="http://schemas.openxmlformats.org/officeDocument/2006/relationships/hyperlink" Target="http://lattes.cnpq.br/3465698768324663" TargetMode="External"/><Relationship Id="rId357" Type="http://schemas.openxmlformats.org/officeDocument/2006/relationships/hyperlink" Target="http://lattes.cnpq.br/8376134230259399" TargetMode="External"/><Relationship Id="rId54" Type="http://schemas.openxmlformats.org/officeDocument/2006/relationships/hyperlink" Target="http://lattes.cnpq.br/7374917289764220" TargetMode="External"/><Relationship Id="rId96" Type="http://schemas.openxmlformats.org/officeDocument/2006/relationships/hyperlink" Target="http://lattes.cnpq.br/6939312723826719" TargetMode="External"/><Relationship Id="rId161" Type="http://schemas.openxmlformats.org/officeDocument/2006/relationships/hyperlink" Target="http://lattes.cnpq.br/7932825341116352" TargetMode="External"/><Relationship Id="rId217" Type="http://schemas.openxmlformats.org/officeDocument/2006/relationships/hyperlink" Target="http://lattes.cnpq.br/5238617779036336" TargetMode="External"/><Relationship Id="rId399" Type="http://schemas.openxmlformats.org/officeDocument/2006/relationships/hyperlink" Target="http://lattes.cnpq.br/2339092949617916" TargetMode="External"/><Relationship Id="rId259" Type="http://schemas.openxmlformats.org/officeDocument/2006/relationships/hyperlink" Target="http://lattes.cnpq.br/7533681983634233" TargetMode="External"/><Relationship Id="rId424" Type="http://schemas.openxmlformats.org/officeDocument/2006/relationships/hyperlink" Target="http://lattes.cnpq.br/6343185019117667" TargetMode="External"/><Relationship Id="rId23" Type="http://schemas.openxmlformats.org/officeDocument/2006/relationships/hyperlink" Target="http://lattes.cnpq.br/9857237626091379" TargetMode="External"/><Relationship Id="rId119" Type="http://schemas.openxmlformats.org/officeDocument/2006/relationships/hyperlink" Target="http://lattes.cnpq.br/3574740269353806" TargetMode="External"/><Relationship Id="rId270" Type="http://schemas.openxmlformats.org/officeDocument/2006/relationships/hyperlink" Target="http://lattes.cnpq.br/2391150803081508" TargetMode="External"/><Relationship Id="rId326" Type="http://schemas.openxmlformats.org/officeDocument/2006/relationships/hyperlink" Target="http://lattes.cnpq.br/8486882484125774" TargetMode="External"/><Relationship Id="rId65" Type="http://schemas.openxmlformats.org/officeDocument/2006/relationships/hyperlink" Target="http://lattes.cnpq.br/8077905004771803" TargetMode="External"/><Relationship Id="rId130" Type="http://schemas.openxmlformats.org/officeDocument/2006/relationships/hyperlink" Target="http://lattes.cnpq.br/2031076079310047" TargetMode="External"/><Relationship Id="rId368" Type="http://schemas.openxmlformats.org/officeDocument/2006/relationships/hyperlink" Target="http://lattes.cnpq.br/5790721699925597" TargetMode="External"/><Relationship Id="rId172" Type="http://schemas.openxmlformats.org/officeDocument/2006/relationships/hyperlink" Target="http://lattes.cnpq.br/0532549077612265" TargetMode="External"/><Relationship Id="rId228" Type="http://schemas.openxmlformats.org/officeDocument/2006/relationships/hyperlink" Target="http://lattes.cnpq.br/2167818328073525" TargetMode="External"/><Relationship Id="rId435" Type="http://schemas.openxmlformats.org/officeDocument/2006/relationships/hyperlink" Target="http://lattes.cnpq.br/6309346327752872" TargetMode="External"/><Relationship Id="rId281" Type="http://schemas.openxmlformats.org/officeDocument/2006/relationships/hyperlink" Target="http://lattes.cnpq.br/3896619537030413" TargetMode="External"/><Relationship Id="rId337" Type="http://schemas.openxmlformats.org/officeDocument/2006/relationships/hyperlink" Target="http://lattes.cnpq.br/1794801345183675" TargetMode="External"/><Relationship Id="rId34" Type="http://schemas.openxmlformats.org/officeDocument/2006/relationships/hyperlink" Target="http://lattes.cnpq.br/4289995849705434" TargetMode="External"/><Relationship Id="rId76" Type="http://schemas.openxmlformats.org/officeDocument/2006/relationships/hyperlink" Target="http://lattes.cnpq.br/4044332658989430" TargetMode="External"/><Relationship Id="rId141" Type="http://schemas.openxmlformats.org/officeDocument/2006/relationships/hyperlink" Target="http://lattes.cnpq.br/3165380752669036" TargetMode="External"/><Relationship Id="rId379" Type="http://schemas.openxmlformats.org/officeDocument/2006/relationships/hyperlink" Target="http://lattes.cnpq.br/9814607951325299" TargetMode="External"/><Relationship Id="rId7" Type="http://schemas.openxmlformats.org/officeDocument/2006/relationships/hyperlink" Target="http://lattes.cnpq.br/4652863024621768" TargetMode="External"/><Relationship Id="rId183" Type="http://schemas.openxmlformats.org/officeDocument/2006/relationships/hyperlink" Target="http://lattes.cnpq.br/2256880850002864" TargetMode="External"/><Relationship Id="rId239" Type="http://schemas.openxmlformats.org/officeDocument/2006/relationships/hyperlink" Target="http://lattes.cnpq.br/3501039874775221" TargetMode="External"/><Relationship Id="rId390" Type="http://schemas.openxmlformats.org/officeDocument/2006/relationships/hyperlink" Target="http://lattes.cnpq.br/3819488643372875" TargetMode="External"/><Relationship Id="rId404" Type="http://schemas.openxmlformats.org/officeDocument/2006/relationships/hyperlink" Target="http://lattes.cnpq.br/1843831280195803" TargetMode="External"/><Relationship Id="rId446" Type="http://schemas.openxmlformats.org/officeDocument/2006/relationships/hyperlink" Target="http://lattes.cnpq.br/6052239712915301" TargetMode="External"/><Relationship Id="rId250" Type="http://schemas.openxmlformats.org/officeDocument/2006/relationships/hyperlink" Target="http://lattes.cnpq.br/3814399624794416" TargetMode="External"/><Relationship Id="rId292" Type="http://schemas.openxmlformats.org/officeDocument/2006/relationships/hyperlink" Target="http://lattes.cnpq.br/9490636632029069" TargetMode="External"/><Relationship Id="rId306" Type="http://schemas.openxmlformats.org/officeDocument/2006/relationships/hyperlink" Target="http://lattes.cnpq.br/1391205251405727" TargetMode="External"/><Relationship Id="rId45" Type="http://schemas.openxmlformats.org/officeDocument/2006/relationships/hyperlink" Target="http://lattes.cnpq.br/8932748949591727" TargetMode="External"/><Relationship Id="rId87" Type="http://schemas.openxmlformats.org/officeDocument/2006/relationships/hyperlink" Target="http://lattes.cnpq.br/8899452024207330" TargetMode="External"/><Relationship Id="rId110" Type="http://schemas.openxmlformats.org/officeDocument/2006/relationships/hyperlink" Target="http://lattes.cnpq.br/1824181793460239" TargetMode="External"/><Relationship Id="rId348" Type="http://schemas.openxmlformats.org/officeDocument/2006/relationships/hyperlink" Target="http://lattes.cnpq.br/3566348909616710" TargetMode="External"/><Relationship Id="rId152" Type="http://schemas.openxmlformats.org/officeDocument/2006/relationships/hyperlink" Target="http://lattes.cnpq.br/5973449119553656" TargetMode="External"/><Relationship Id="rId194" Type="http://schemas.openxmlformats.org/officeDocument/2006/relationships/hyperlink" Target="http://lattes.cnpq.br/1991607303660971" TargetMode="External"/><Relationship Id="rId208" Type="http://schemas.openxmlformats.org/officeDocument/2006/relationships/hyperlink" Target="http://lattes.cnpq.br/8989199088323836" TargetMode="External"/><Relationship Id="rId415" Type="http://schemas.openxmlformats.org/officeDocument/2006/relationships/hyperlink" Target="http://lattes.cnpq.br/6629483491494571" TargetMode="External"/><Relationship Id="rId457" Type="http://schemas.openxmlformats.org/officeDocument/2006/relationships/hyperlink" Target="http://lattes.cnpq.br/5885528105039995" TargetMode="External"/><Relationship Id="rId261" Type="http://schemas.openxmlformats.org/officeDocument/2006/relationships/hyperlink" Target="http://lattes.cnpq.br/1179130742401967" TargetMode="External"/><Relationship Id="rId14" Type="http://schemas.openxmlformats.org/officeDocument/2006/relationships/hyperlink" Target="http://lattes.cnpq.br/7016638154017973" TargetMode="External"/><Relationship Id="rId56" Type="http://schemas.openxmlformats.org/officeDocument/2006/relationships/hyperlink" Target="http://lattes.cnpq.br/4281093837396621" TargetMode="External"/><Relationship Id="rId317" Type="http://schemas.openxmlformats.org/officeDocument/2006/relationships/hyperlink" Target="http://lattes.cnpq.br/3080181268936724" TargetMode="External"/><Relationship Id="rId359" Type="http://schemas.openxmlformats.org/officeDocument/2006/relationships/hyperlink" Target="http://lattes.cnpq.br/4332841435949533" TargetMode="External"/><Relationship Id="rId98" Type="http://schemas.openxmlformats.org/officeDocument/2006/relationships/hyperlink" Target="http://lattes.cnpq.br/2861685938046060" TargetMode="External"/><Relationship Id="rId121" Type="http://schemas.openxmlformats.org/officeDocument/2006/relationships/hyperlink" Target="http://lattes.cnpq.br/8045467824483966" TargetMode="External"/><Relationship Id="rId163" Type="http://schemas.openxmlformats.org/officeDocument/2006/relationships/hyperlink" Target="http://lattes.cnpq.br/3682223081169650" TargetMode="External"/><Relationship Id="rId219" Type="http://schemas.openxmlformats.org/officeDocument/2006/relationships/hyperlink" Target="http://lattes.cnpq.br/4067245164399178" TargetMode="External"/><Relationship Id="rId370" Type="http://schemas.openxmlformats.org/officeDocument/2006/relationships/hyperlink" Target="http://lattes.cnpq.br/9453481318889500" TargetMode="External"/><Relationship Id="rId426" Type="http://schemas.openxmlformats.org/officeDocument/2006/relationships/hyperlink" Target="http://lattes.cnpq.br/3733124992560617" TargetMode="External"/><Relationship Id="rId230" Type="http://schemas.openxmlformats.org/officeDocument/2006/relationships/hyperlink" Target="http://lattes.cnpq.br/9874436698730620" TargetMode="External"/><Relationship Id="rId25" Type="http://schemas.openxmlformats.org/officeDocument/2006/relationships/hyperlink" Target="http://lattes.cnpq.br/2348934439826171" TargetMode="External"/><Relationship Id="rId67" Type="http://schemas.openxmlformats.org/officeDocument/2006/relationships/hyperlink" Target="http://lattes.cnpq.br/8723849507527234" TargetMode="External"/><Relationship Id="rId272" Type="http://schemas.openxmlformats.org/officeDocument/2006/relationships/hyperlink" Target="http://lattes.cnpq.br/4615763566978537" TargetMode="External"/><Relationship Id="rId328" Type="http://schemas.openxmlformats.org/officeDocument/2006/relationships/hyperlink" Target="http://lattes.cnpq.br/2888737036015916" TargetMode="External"/><Relationship Id="rId132" Type="http://schemas.openxmlformats.org/officeDocument/2006/relationships/hyperlink" Target="http://lattes.cnpq.br/0040413891328104" TargetMode="External"/><Relationship Id="rId174" Type="http://schemas.openxmlformats.org/officeDocument/2006/relationships/hyperlink" Target="http://lattes.cnpq.br/1828624023785147" TargetMode="External"/><Relationship Id="rId381" Type="http://schemas.openxmlformats.org/officeDocument/2006/relationships/hyperlink" Target="http://lattes.cnpq.br/7503352128041702" TargetMode="External"/><Relationship Id="rId241" Type="http://schemas.openxmlformats.org/officeDocument/2006/relationships/hyperlink" Target="http://lattes.cnpq.br/4325989861878031" TargetMode="External"/><Relationship Id="rId437" Type="http://schemas.openxmlformats.org/officeDocument/2006/relationships/hyperlink" Target="http://lattes.cnpq.br/2747150211073176" TargetMode="External"/><Relationship Id="rId36" Type="http://schemas.openxmlformats.org/officeDocument/2006/relationships/hyperlink" Target="http://lattes.cnpq.br/2739863135439867" TargetMode="External"/><Relationship Id="rId283" Type="http://schemas.openxmlformats.org/officeDocument/2006/relationships/hyperlink" Target="http://lattes.cnpq.br/9545573609557707" TargetMode="External"/><Relationship Id="rId339" Type="http://schemas.openxmlformats.org/officeDocument/2006/relationships/hyperlink" Target="http://lattes.cnpq.br/7684068941160219" TargetMode="External"/><Relationship Id="rId78" Type="http://schemas.openxmlformats.org/officeDocument/2006/relationships/hyperlink" Target="http://lattes.cnpq.br/6677363162414640" TargetMode="External"/><Relationship Id="rId101" Type="http://schemas.openxmlformats.org/officeDocument/2006/relationships/hyperlink" Target="http://lattes.cnpq.br/4546620118003936" TargetMode="External"/><Relationship Id="rId143" Type="http://schemas.openxmlformats.org/officeDocument/2006/relationships/hyperlink" Target="http://lattes.cnpq.br/3678026099849524" TargetMode="External"/><Relationship Id="rId185" Type="http://schemas.openxmlformats.org/officeDocument/2006/relationships/hyperlink" Target="http://lattes.cnpq.br/5504050490149853" TargetMode="External"/><Relationship Id="rId350" Type="http://schemas.openxmlformats.org/officeDocument/2006/relationships/hyperlink" Target="http://lattes.cnpq.br/3395056316088979" TargetMode="External"/><Relationship Id="rId406" Type="http://schemas.openxmlformats.org/officeDocument/2006/relationships/hyperlink" Target="http://lattes.cnpq.br/6549869827105994" TargetMode="External"/><Relationship Id="rId9" Type="http://schemas.openxmlformats.org/officeDocument/2006/relationships/hyperlink" Target="http://lattes.cnpq.br/3393832875052048" TargetMode="External"/><Relationship Id="rId210" Type="http://schemas.openxmlformats.org/officeDocument/2006/relationships/hyperlink" Target="http://lattes.cnpq.br/2030746413373403" TargetMode="External"/><Relationship Id="rId392" Type="http://schemas.openxmlformats.org/officeDocument/2006/relationships/hyperlink" Target="http://lattes.cnpq.br/8941140624803701" TargetMode="External"/><Relationship Id="rId448" Type="http://schemas.openxmlformats.org/officeDocument/2006/relationships/hyperlink" Target="http://lattes.cnpq.br/2967335387598605" TargetMode="External"/><Relationship Id="rId252" Type="http://schemas.openxmlformats.org/officeDocument/2006/relationships/hyperlink" Target="http://lattes.cnpq.br/6373169065369486" TargetMode="External"/><Relationship Id="rId294" Type="http://schemas.openxmlformats.org/officeDocument/2006/relationships/hyperlink" Target="http://lattes.cnpq.br/5012034338598304" TargetMode="External"/><Relationship Id="rId308" Type="http://schemas.openxmlformats.org/officeDocument/2006/relationships/hyperlink" Target="http://lattes.cnpq.br/2541166906449841" TargetMode="External"/><Relationship Id="rId47" Type="http://schemas.openxmlformats.org/officeDocument/2006/relationships/hyperlink" Target="http://lattes.cnpq.br/1807128280652473" TargetMode="External"/><Relationship Id="rId89" Type="http://schemas.openxmlformats.org/officeDocument/2006/relationships/hyperlink" Target="http://lattes.cnpq.br/9454867287897965" TargetMode="External"/><Relationship Id="rId112" Type="http://schemas.openxmlformats.org/officeDocument/2006/relationships/hyperlink" Target="http://lattes.cnpq.br/0655717478478500" TargetMode="External"/><Relationship Id="rId154" Type="http://schemas.openxmlformats.org/officeDocument/2006/relationships/hyperlink" Target="http://lattes.cnpq.br/9500245604678806" TargetMode="External"/><Relationship Id="rId361" Type="http://schemas.openxmlformats.org/officeDocument/2006/relationships/hyperlink" Target="http://lattes.cnpq.br/6032627903788944" TargetMode="External"/><Relationship Id="rId196" Type="http://schemas.openxmlformats.org/officeDocument/2006/relationships/hyperlink" Target="http://lattes.cnpq.br/6717864186103246" TargetMode="External"/><Relationship Id="rId417" Type="http://schemas.openxmlformats.org/officeDocument/2006/relationships/hyperlink" Target="http://lattes.cnpq.br/0546747669223193" TargetMode="External"/><Relationship Id="rId16" Type="http://schemas.openxmlformats.org/officeDocument/2006/relationships/hyperlink" Target="http://lattes.cnpq.br/1597761083606654" TargetMode="External"/><Relationship Id="rId221" Type="http://schemas.openxmlformats.org/officeDocument/2006/relationships/hyperlink" Target="http://lattes.cnpq.br/3537386106760841" TargetMode="External"/><Relationship Id="rId263" Type="http://schemas.openxmlformats.org/officeDocument/2006/relationships/hyperlink" Target="http://lattes.cnpq.br/8820975403827849" TargetMode="External"/><Relationship Id="rId319" Type="http://schemas.openxmlformats.org/officeDocument/2006/relationships/hyperlink" Target="http://lattes.cnpq.br/8605833104600600" TargetMode="External"/><Relationship Id="rId58" Type="http://schemas.openxmlformats.org/officeDocument/2006/relationships/hyperlink" Target="http://lattes.cnpq.br/0122947337651561" TargetMode="External"/><Relationship Id="rId123" Type="http://schemas.openxmlformats.org/officeDocument/2006/relationships/hyperlink" Target="http://lattes.cnpq.br/4311312149706721" TargetMode="External"/><Relationship Id="rId330" Type="http://schemas.openxmlformats.org/officeDocument/2006/relationships/hyperlink" Target="http://lattes.cnpq.br/0155235005204514" TargetMode="External"/><Relationship Id="rId165" Type="http://schemas.openxmlformats.org/officeDocument/2006/relationships/hyperlink" Target="http://lattes.cnpq.br/6257407095226861" TargetMode="External"/><Relationship Id="rId372" Type="http://schemas.openxmlformats.org/officeDocument/2006/relationships/hyperlink" Target="http://lattes.cnpq.br/2651710548891030" TargetMode="External"/><Relationship Id="rId428" Type="http://schemas.openxmlformats.org/officeDocument/2006/relationships/hyperlink" Target="http://lattes.cnpq.br/5916790861002578" TargetMode="External"/><Relationship Id="rId232" Type="http://schemas.openxmlformats.org/officeDocument/2006/relationships/hyperlink" Target="http://lattes.cnpq.br/7058867464306125" TargetMode="External"/><Relationship Id="rId274" Type="http://schemas.openxmlformats.org/officeDocument/2006/relationships/hyperlink" Target="http://lattes.cnpq.br/4054756781423727" TargetMode="External"/><Relationship Id="rId27" Type="http://schemas.openxmlformats.org/officeDocument/2006/relationships/hyperlink" Target="http://lattes.cnpq.br/0153111515550957" TargetMode="External"/><Relationship Id="rId69" Type="http://schemas.openxmlformats.org/officeDocument/2006/relationships/hyperlink" Target="http://lattes.cnpq.br/4484010814909501" TargetMode="External"/><Relationship Id="rId134" Type="http://schemas.openxmlformats.org/officeDocument/2006/relationships/hyperlink" Target="http://lattes.cnpq.br/7422431150278976" TargetMode="External"/><Relationship Id="rId80" Type="http://schemas.openxmlformats.org/officeDocument/2006/relationships/hyperlink" Target="http://lattes.cnpq.br/3462281514752860" TargetMode="External"/><Relationship Id="rId176" Type="http://schemas.openxmlformats.org/officeDocument/2006/relationships/hyperlink" Target="http://lattes.cnpq.br/5874060645133862" TargetMode="External"/><Relationship Id="rId341" Type="http://schemas.openxmlformats.org/officeDocument/2006/relationships/hyperlink" Target="http://lattes.cnpq.br/9799841061508537" TargetMode="External"/><Relationship Id="rId383" Type="http://schemas.openxmlformats.org/officeDocument/2006/relationships/hyperlink" Target="http://lattes.cnpq.br/4132675095298173" TargetMode="External"/><Relationship Id="rId439" Type="http://schemas.openxmlformats.org/officeDocument/2006/relationships/hyperlink" Target="http://lattes.cnpq.br/5764983862728793" TargetMode="External"/><Relationship Id="rId201" Type="http://schemas.openxmlformats.org/officeDocument/2006/relationships/hyperlink" Target="http://lattes.cnpq.br/1106609472179988" TargetMode="External"/><Relationship Id="rId243" Type="http://schemas.openxmlformats.org/officeDocument/2006/relationships/hyperlink" Target="http://lattes.cnpq.br/9788036777085333" TargetMode="External"/><Relationship Id="rId285" Type="http://schemas.openxmlformats.org/officeDocument/2006/relationships/hyperlink" Target="http://lattes.cnpq.br/7978912234260055" TargetMode="External"/><Relationship Id="rId450" Type="http://schemas.openxmlformats.org/officeDocument/2006/relationships/hyperlink" Target="http://lattes.cnpq.br/3131281054700225" TargetMode="External"/><Relationship Id="rId38" Type="http://schemas.openxmlformats.org/officeDocument/2006/relationships/hyperlink" Target="http://lattes.cnpq.br/1122522095905469" TargetMode="External"/><Relationship Id="rId103" Type="http://schemas.openxmlformats.org/officeDocument/2006/relationships/hyperlink" Target="http://lattes.cnpq.br/0945374845574106" TargetMode="External"/><Relationship Id="rId310" Type="http://schemas.openxmlformats.org/officeDocument/2006/relationships/hyperlink" Target="http://lattes.cnpq.br/5303306968929483" TargetMode="External"/><Relationship Id="rId91" Type="http://schemas.openxmlformats.org/officeDocument/2006/relationships/hyperlink" Target="http://lattes.cnpq.br/4438233758931884" TargetMode="External"/><Relationship Id="rId145" Type="http://schemas.openxmlformats.org/officeDocument/2006/relationships/hyperlink" Target="http://lattes.cnpq.br/3629751361208856" TargetMode="External"/><Relationship Id="rId187" Type="http://schemas.openxmlformats.org/officeDocument/2006/relationships/hyperlink" Target="http://lattes.cnpq.br/2487238880227616" TargetMode="External"/><Relationship Id="rId352" Type="http://schemas.openxmlformats.org/officeDocument/2006/relationships/hyperlink" Target="http://lattes.cnpq.br/6962270981833062" TargetMode="External"/><Relationship Id="rId394" Type="http://schemas.openxmlformats.org/officeDocument/2006/relationships/hyperlink" Target="http://lattes.cnpq.br/0998575641927604" TargetMode="External"/><Relationship Id="rId408" Type="http://schemas.openxmlformats.org/officeDocument/2006/relationships/hyperlink" Target="http://lattes.cnpq.br/8746315302380257" TargetMode="External"/><Relationship Id="rId212" Type="http://schemas.openxmlformats.org/officeDocument/2006/relationships/hyperlink" Target="http://lattes.cnpq.br/7986090118599527" TargetMode="External"/><Relationship Id="rId254" Type="http://schemas.openxmlformats.org/officeDocument/2006/relationships/hyperlink" Target="http://lattes.cnpq.br/3780135653682423" TargetMode="External"/><Relationship Id="rId49" Type="http://schemas.openxmlformats.org/officeDocument/2006/relationships/hyperlink" Target="http://lattes.cnpq.br/3487620318253385" TargetMode="External"/><Relationship Id="rId114" Type="http://schemas.openxmlformats.org/officeDocument/2006/relationships/hyperlink" Target="http://lattes.cnpq.br/0536186820832325" TargetMode="External"/><Relationship Id="rId296" Type="http://schemas.openxmlformats.org/officeDocument/2006/relationships/hyperlink" Target="http://lattes.cnpq.br/7342921602652362" TargetMode="External"/><Relationship Id="rId60" Type="http://schemas.openxmlformats.org/officeDocument/2006/relationships/hyperlink" Target="http://lattes.cnpq.br/9103194900446781" TargetMode="External"/><Relationship Id="rId156" Type="http://schemas.openxmlformats.org/officeDocument/2006/relationships/hyperlink" Target="http://lattes.cnpq.br/5351330534364245" TargetMode="External"/><Relationship Id="rId198" Type="http://schemas.openxmlformats.org/officeDocument/2006/relationships/hyperlink" Target="http://lattes.cnpq.br/4392563013124607" TargetMode="External"/><Relationship Id="rId321" Type="http://schemas.openxmlformats.org/officeDocument/2006/relationships/hyperlink" Target="http://lattes.cnpq.br/1783107702895552" TargetMode="External"/><Relationship Id="rId363" Type="http://schemas.openxmlformats.org/officeDocument/2006/relationships/hyperlink" Target="http://lattes.cnpq.br/5526092970050695" TargetMode="External"/><Relationship Id="rId419" Type="http://schemas.openxmlformats.org/officeDocument/2006/relationships/hyperlink" Target="http://lattes.cnpq.br/3536607808928027" TargetMode="External"/><Relationship Id="rId223" Type="http://schemas.openxmlformats.org/officeDocument/2006/relationships/hyperlink" Target="http://lattes.cnpq.br/7170508510503648" TargetMode="External"/><Relationship Id="rId430" Type="http://schemas.openxmlformats.org/officeDocument/2006/relationships/hyperlink" Target="http://lattes.cnpq.br/3512450976457383" TargetMode="External"/><Relationship Id="rId18" Type="http://schemas.openxmlformats.org/officeDocument/2006/relationships/hyperlink" Target="http://lattes.cnpq.br/3805602544840562" TargetMode="External"/><Relationship Id="rId265" Type="http://schemas.openxmlformats.org/officeDocument/2006/relationships/hyperlink" Target="http://lattes.cnpq.br/7238865806827691" TargetMode="External"/><Relationship Id="rId125" Type="http://schemas.openxmlformats.org/officeDocument/2006/relationships/hyperlink" Target="http://lattes.cnpq.br/2376670019296363" TargetMode="External"/><Relationship Id="rId167" Type="http://schemas.openxmlformats.org/officeDocument/2006/relationships/hyperlink" Target="http://lattes.cnpq.br/1276172117264854" TargetMode="External"/><Relationship Id="rId332" Type="http://schemas.openxmlformats.org/officeDocument/2006/relationships/hyperlink" Target="http://lattes.cnpq.br/2376670019296363" TargetMode="External"/><Relationship Id="rId374" Type="http://schemas.openxmlformats.org/officeDocument/2006/relationships/hyperlink" Target="http://lattes.cnpq.br/5039690360728170" TargetMode="External"/><Relationship Id="rId71" Type="http://schemas.openxmlformats.org/officeDocument/2006/relationships/hyperlink" Target="http://lattes.cnpq.br/0948970682519019" TargetMode="External"/><Relationship Id="rId234" Type="http://schemas.openxmlformats.org/officeDocument/2006/relationships/hyperlink" Target="http://lattes.cnpq.br/8876141509346907" TargetMode="External"/><Relationship Id="rId2" Type="http://schemas.openxmlformats.org/officeDocument/2006/relationships/hyperlink" Target="http://lattes.cnpq.br/6603067354811112" TargetMode="External"/><Relationship Id="rId29" Type="http://schemas.openxmlformats.org/officeDocument/2006/relationships/hyperlink" Target="http://lattes.cnpq.br/8127213004748485" TargetMode="External"/><Relationship Id="rId255" Type="http://schemas.openxmlformats.org/officeDocument/2006/relationships/hyperlink" Target="http://lattes.cnpq.br/2791932279957633" TargetMode="External"/><Relationship Id="rId276" Type="http://schemas.openxmlformats.org/officeDocument/2006/relationships/hyperlink" Target="http://lattes.cnpq.br/1780625138295201" TargetMode="External"/><Relationship Id="rId297" Type="http://schemas.openxmlformats.org/officeDocument/2006/relationships/hyperlink" Target="http://lattes.cnpq.br/4438233758931884" TargetMode="External"/><Relationship Id="rId441" Type="http://schemas.openxmlformats.org/officeDocument/2006/relationships/hyperlink" Target="http://lattes.cnpq.br/2714004273523549" TargetMode="External"/><Relationship Id="rId40" Type="http://schemas.openxmlformats.org/officeDocument/2006/relationships/hyperlink" Target="http://lattes.cnpq.br/3827055876022373" TargetMode="External"/><Relationship Id="rId115" Type="http://schemas.openxmlformats.org/officeDocument/2006/relationships/hyperlink" Target="http://lattes.cnpq.br/4732077027196795" TargetMode="External"/><Relationship Id="rId136" Type="http://schemas.openxmlformats.org/officeDocument/2006/relationships/hyperlink" Target="http://lattes.cnpq.br/0846508761438062" TargetMode="External"/><Relationship Id="rId157" Type="http://schemas.openxmlformats.org/officeDocument/2006/relationships/hyperlink" Target="http://lattes.cnpq.br/8132074356628564" TargetMode="External"/><Relationship Id="rId178" Type="http://schemas.openxmlformats.org/officeDocument/2006/relationships/hyperlink" Target="http://lattes.cnpq.br/8161570393643833" TargetMode="External"/><Relationship Id="rId301" Type="http://schemas.openxmlformats.org/officeDocument/2006/relationships/hyperlink" Target="http://lattes.cnpq.br/6430879459326899" TargetMode="External"/><Relationship Id="rId322" Type="http://schemas.openxmlformats.org/officeDocument/2006/relationships/hyperlink" Target="http://lattes.cnpq.br/2207239537360072" TargetMode="External"/><Relationship Id="rId343" Type="http://schemas.openxmlformats.org/officeDocument/2006/relationships/hyperlink" Target="http://lattes.cnpq.br/9015008667871372" TargetMode="External"/><Relationship Id="rId364" Type="http://schemas.openxmlformats.org/officeDocument/2006/relationships/hyperlink" Target="http://lattes.cnpq.br/5618078551561118" TargetMode="External"/><Relationship Id="rId61" Type="http://schemas.openxmlformats.org/officeDocument/2006/relationships/hyperlink" Target="http://lattes.cnpq.br/7824447045520901" TargetMode="External"/><Relationship Id="rId82" Type="http://schemas.openxmlformats.org/officeDocument/2006/relationships/hyperlink" Target="http://lattes.cnpq.br/7078869287819893" TargetMode="External"/><Relationship Id="rId199" Type="http://schemas.openxmlformats.org/officeDocument/2006/relationships/hyperlink" Target="http://lattes.cnpq.br/0736407506472634" TargetMode="External"/><Relationship Id="rId203" Type="http://schemas.openxmlformats.org/officeDocument/2006/relationships/hyperlink" Target="http://lattes.cnpq.br/8183271955953866" TargetMode="External"/><Relationship Id="rId385" Type="http://schemas.openxmlformats.org/officeDocument/2006/relationships/hyperlink" Target="http://lattes.cnpq.br/2301745743078533" TargetMode="External"/><Relationship Id="rId19" Type="http://schemas.openxmlformats.org/officeDocument/2006/relationships/hyperlink" Target="http://lattes.cnpq.br/3598507725109908" TargetMode="External"/><Relationship Id="rId224" Type="http://schemas.openxmlformats.org/officeDocument/2006/relationships/hyperlink" Target="http://lattes.cnpq.br/0505874479604126" TargetMode="External"/><Relationship Id="rId245" Type="http://schemas.openxmlformats.org/officeDocument/2006/relationships/hyperlink" Target="http://lattes.cnpq.br/6788281395075788" TargetMode="External"/><Relationship Id="rId266" Type="http://schemas.openxmlformats.org/officeDocument/2006/relationships/hyperlink" Target="http://lattes.cnpq.br/8662578168161845" TargetMode="External"/><Relationship Id="rId287" Type="http://schemas.openxmlformats.org/officeDocument/2006/relationships/hyperlink" Target="http://lattes.cnpq.br/8344194525615133" TargetMode="External"/><Relationship Id="rId410" Type="http://schemas.openxmlformats.org/officeDocument/2006/relationships/hyperlink" Target="http://lattes.cnpq.br/4723581934935078" TargetMode="External"/><Relationship Id="rId431" Type="http://schemas.openxmlformats.org/officeDocument/2006/relationships/hyperlink" Target="http://lattes.cnpq.br/2536101767444787" TargetMode="External"/><Relationship Id="rId452" Type="http://schemas.openxmlformats.org/officeDocument/2006/relationships/hyperlink" Target="http://lattes.cnpq.br/8353254163114394" TargetMode="External"/><Relationship Id="rId30" Type="http://schemas.openxmlformats.org/officeDocument/2006/relationships/hyperlink" Target="http://lattes.cnpq.br/7495449835021676" TargetMode="External"/><Relationship Id="rId105" Type="http://schemas.openxmlformats.org/officeDocument/2006/relationships/hyperlink" Target="http://lattes.cnpq.br/3370203150852001" TargetMode="External"/><Relationship Id="rId126" Type="http://schemas.openxmlformats.org/officeDocument/2006/relationships/hyperlink" Target="http://lattes.cnpq.br/7719675103212706" TargetMode="External"/><Relationship Id="rId147" Type="http://schemas.openxmlformats.org/officeDocument/2006/relationships/hyperlink" Target="http://lattes.cnpq.br/6856084872897596" TargetMode="External"/><Relationship Id="rId168" Type="http://schemas.openxmlformats.org/officeDocument/2006/relationships/hyperlink" Target="http://lattes.cnpq.br/2224889367076871" TargetMode="External"/><Relationship Id="rId312" Type="http://schemas.openxmlformats.org/officeDocument/2006/relationships/hyperlink" Target="http://lattes.cnpq.br/9774625171574351" TargetMode="External"/><Relationship Id="rId333" Type="http://schemas.openxmlformats.org/officeDocument/2006/relationships/hyperlink" Target="http://lattes.cnpq.br/6688041530466410" TargetMode="External"/><Relationship Id="rId354" Type="http://schemas.openxmlformats.org/officeDocument/2006/relationships/hyperlink" Target="http://lattes.cnpq.br/3772485642808091" TargetMode="External"/><Relationship Id="rId51" Type="http://schemas.openxmlformats.org/officeDocument/2006/relationships/hyperlink" Target="http://lattes.cnpq.br/2034428391439802" TargetMode="External"/><Relationship Id="rId72" Type="http://schemas.openxmlformats.org/officeDocument/2006/relationships/hyperlink" Target="http://lattes.cnpq.br/0763948174052925" TargetMode="External"/><Relationship Id="rId93" Type="http://schemas.openxmlformats.org/officeDocument/2006/relationships/hyperlink" Target="http://lattes.cnpq.br/5027439416824412" TargetMode="External"/><Relationship Id="rId189" Type="http://schemas.openxmlformats.org/officeDocument/2006/relationships/hyperlink" Target="http://lattes.cnpq.br/1122184213413791" TargetMode="External"/><Relationship Id="rId375" Type="http://schemas.openxmlformats.org/officeDocument/2006/relationships/hyperlink" Target="http://lattes.cnpq.br/9907023735765775" TargetMode="External"/><Relationship Id="rId396" Type="http://schemas.openxmlformats.org/officeDocument/2006/relationships/hyperlink" Target="http://lattes.cnpq.br/1595148914809576" TargetMode="External"/><Relationship Id="rId3" Type="http://schemas.openxmlformats.org/officeDocument/2006/relationships/hyperlink" Target="http://lattes.cnpq.br/2923907838228544" TargetMode="External"/><Relationship Id="rId214" Type="http://schemas.openxmlformats.org/officeDocument/2006/relationships/hyperlink" Target="http://lattes.cnpq.br/4464929440012874" TargetMode="External"/><Relationship Id="rId235" Type="http://schemas.openxmlformats.org/officeDocument/2006/relationships/hyperlink" Target="http://lattes.cnpq.br/7127543079591956" TargetMode="External"/><Relationship Id="rId256" Type="http://schemas.openxmlformats.org/officeDocument/2006/relationships/hyperlink" Target="http://lattes.cnpq.br/0927056015240502" TargetMode="External"/><Relationship Id="rId277" Type="http://schemas.openxmlformats.org/officeDocument/2006/relationships/hyperlink" Target="http://lattes.cnpq.br/0116951988047801" TargetMode="External"/><Relationship Id="rId298" Type="http://schemas.openxmlformats.org/officeDocument/2006/relationships/hyperlink" Target="http://lattes.cnpq.br/5423195235956450" TargetMode="External"/><Relationship Id="rId400" Type="http://schemas.openxmlformats.org/officeDocument/2006/relationships/hyperlink" Target="http://lattes.cnpq.br/6338710569530857" TargetMode="External"/><Relationship Id="rId421" Type="http://schemas.openxmlformats.org/officeDocument/2006/relationships/hyperlink" Target="http://lattes.cnpq.br/6292735721174310" TargetMode="External"/><Relationship Id="rId442" Type="http://schemas.openxmlformats.org/officeDocument/2006/relationships/hyperlink" Target="http://lattes.cnpq.br/7188784344595649" TargetMode="External"/><Relationship Id="rId116" Type="http://schemas.openxmlformats.org/officeDocument/2006/relationships/hyperlink" Target="http://lattes.cnpq.br/8623798867256227" TargetMode="External"/><Relationship Id="rId137" Type="http://schemas.openxmlformats.org/officeDocument/2006/relationships/hyperlink" Target="http://lattes.cnpq.br/9735321541608879" TargetMode="External"/><Relationship Id="rId158" Type="http://schemas.openxmlformats.org/officeDocument/2006/relationships/hyperlink" Target="http://lattes.cnpq.br/8861097282658615" TargetMode="External"/><Relationship Id="rId302" Type="http://schemas.openxmlformats.org/officeDocument/2006/relationships/hyperlink" Target="http://lattes.cnpq.br/0621002533579104" TargetMode="External"/><Relationship Id="rId323" Type="http://schemas.openxmlformats.org/officeDocument/2006/relationships/hyperlink" Target="http://lattes.cnpq.br/0373156504395623" TargetMode="External"/><Relationship Id="rId344" Type="http://schemas.openxmlformats.org/officeDocument/2006/relationships/hyperlink" Target="http://lattes.cnpq.br/8946328562221916" TargetMode="External"/><Relationship Id="rId20" Type="http://schemas.openxmlformats.org/officeDocument/2006/relationships/hyperlink" Target="http://lattes.cnpq.br/1704819172861021" TargetMode="External"/><Relationship Id="rId41" Type="http://schemas.openxmlformats.org/officeDocument/2006/relationships/hyperlink" Target="http://lattes.cnpq.br/1716496767364751" TargetMode="External"/><Relationship Id="rId62" Type="http://schemas.openxmlformats.org/officeDocument/2006/relationships/hyperlink" Target="http://lattes.cnpq.br/9081671233815990" TargetMode="External"/><Relationship Id="rId83" Type="http://schemas.openxmlformats.org/officeDocument/2006/relationships/hyperlink" Target="http://lattes.cnpq.br/3914867445646676" TargetMode="External"/><Relationship Id="rId179" Type="http://schemas.openxmlformats.org/officeDocument/2006/relationships/hyperlink" Target="http://lattes.cnpq.br/6264918771767948" TargetMode="External"/><Relationship Id="rId365" Type="http://schemas.openxmlformats.org/officeDocument/2006/relationships/hyperlink" Target="http://lattes.cnpq.br/4052000121702617" TargetMode="External"/><Relationship Id="rId386" Type="http://schemas.openxmlformats.org/officeDocument/2006/relationships/hyperlink" Target="http://lattes.cnpq.br/7241238853897537" TargetMode="External"/><Relationship Id="rId190" Type="http://schemas.openxmlformats.org/officeDocument/2006/relationships/hyperlink" Target="http://lattes.cnpq.br/8419466384639432" TargetMode="External"/><Relationship Id="rId204" Type="http://schemas.openxmlformats.org/officeDocument/2006/relationships/hyperlink" Target="http://lattes.cnpq.br/3542281658792161" TargetMode="External"/><Relationship Id="rId225" Type="http://schemas.openxmlformats.org/officeDocument/2006/relationships/hyperlink" Target="http://lattes.cnpq.br/5177138365616713" TargetMode="External"/><Relationship Id="rId246" Type="http://schemas.openxmlformats.org/officeDocument/2006/relationships/hyperlink" Target="http://lattes.cnpq.br/3910781959564933" TargetMode="External"/><Relationship Id="rId267" Type="http://schemas.openxmlformats.org/officeDocument/2006/relationships/hyperlink" Target="http://lattes.cnpq.br/8662578168161845" TargetMode="External"/><Relationship Id="rId288" Type="http://schemas.openxmlformats.org/officeDocument/2006/relationships/hyperlink" Target="http://lattes.cnpq.br/5350538098267724" TargetMode="External"/><Relationship Id="rId411" Type="http://schemas.openxmlformats.org/officeDocument/2006/relationships/hyperlink" Target="http://lattes.cnpq.br/1152574843813275" TargetMode="External"/><Relationship Id="rId432" Type="http://schemas.openxmlformats.org/officeDocument/2006/relationships/hyperlink" Target="http://lattes.cnpq.br/5225011489953659" TargetMode="External"/><Relationship Id="rId453" Type="http://schemas.openxmlformats.org/officeDocument/2006/relationships/hyperlink" Target="http://lattes.cnpq.br/2558900431930326" TargetMode="External"/><Relationship Id="rId106" Type="http://schemas.openxmlformats.org/officeDocument/2006/relationships/hyperlink" Target="http://lattes.cnpq.br/4996734160632011" TargetMode="External"/><Relationship Id="rId127" Type="http://schemas.openxmlformats.org/officeDocument/2006/relationships/hyperlink" Target="http://lattes.cnpq.br/9121907190104646" TargetMode="External"/><Relationship Id="rId313" Type="http://schemas.openxmlformats.org/officeDocument/2006/relationships/hyperlink" Target="http://lattes.cnpq.br/0310266489114537" TargetMode="External"/><Relationship Id="rId10" Type="http://schemas.openxmlformats.org/officeDocument/2006/relationships/hyperlink" Target="http://lattes.cnpq.br/4847808223159236" TargetMode="External"/><Relationship Id="rId31" Type="http://schemas.openxmlformats.org/officeDocument/2006/relationships/hyperlink" Target="http://lattes.cnpq.br/4347006311423350" TargetMode="External"/><Relationship Id="rId52" Type="http://schemas.openxmlformats.org/officeDocument/2006/relationships/hyperlink" Target="http://lattes.cnpq.br/0507204139787803" TargetMode="External"/><Relationship Id="rId73" Type="http://schemas.openxmlformats.org/officeDocument/2006/relationships/hyperlink" Target="http://lattes.cnpq.br/9924232256219620" TargetMode="External"/><Relationship Id="rId94" Type="http://schemas.openxmlformats.org/officeDocument/2006/relationships/hyperlink" Target="http://lattes.cnpq.br/0195255019285499" TargetMode="External"/><Relationship Id="rId148" Type="http://schemas.openxmlformats.org/officeDocument/2006/relationships/hyperlink" Target="http://lattes.cnpq.br/0910758067547904" TargetMode="External"/><Relationship Id="rId169" Type="http://schemas.openxmlformats.org/officeDocument/2006/relationships/hyperlink" Target="http://lattes.cnpq.br/7261813811995438" TargetMode="External"/><Relationship Id="rId334" Type="http://schemas.openxmlformats.org/officeDocument/2006/relationships/hyperlink" Target="http://lattes.cnpq.br/7043184517823865" TargetMode="External"/><Relationship Id="rId355" Type="http://schemas.openxmlformats.org/officeDocument/2006/relationships/hyperlink" Target="http://lattes.cnpq.br/9960901322731831" TargetMode="External"/><Relationship Id="rId376" Type="http://schemas.openxmlformats.org/officeDocument/2006/relationships/hyperlink" Target="http://lattes.cnpq.br/0661209395751558" TargetMode="External"/><Relationship Id="rId397" Type="http://schemas.openxmlformats.org/officeDocument/2006/relationships/hyperlink" Target="http://lattes.cnpq.br/6279701912425584" TargetMode="External"/><Relationship Id="rId4" Type="http://schemas.openxmlformats.org/officeDocument/2006/relationships/hyperlink" Target="http://lattes.cnpq.br/1008924786363328" TargetMode="External"/><Relationship Id="rId180" Type="http://schemas.openxmlformats.org/officeDocument/2006/relationships/hyperlink" Target="http://lattes.cnpq.br/4600432834252836" TargetMode="External"/><Relationship Id="rId215" Type="http://schemas.openxmlformats.org/officeDocument/2006/relationships/hyperlink" Target="http://lattes.cnpq.br/2583134243307649" TargetMode="External"/><Relationship Id="rId236" Type="http://schemas.openxmlformats.org/officeDocument/2006/relationships/hyperlink" Target="http://lattes.cnpq.br/5042296869081637" TargetMode="External"/><Relationship Id="rId257" Type="http://schemas.openxmlformats.org/officeDocument/2006/relationships/hyperlink" Target="http://lattes.cnpq.br/9950879952262717" TargetMode="External"/><Relationship Id="rId278" Type="http://schemas.openxmlformats.org/officeDocument/2006/relationships/hyperlink" Target="http://lattes.cnpq.br/1068659961459511" TargetMode="External"/><Relationship Id="rId401" Type="http://schemas.openxmlformats.org/officeDocument/2006/relationships/hyperlink" Target="http://lattes.cnpq.br/8060189333626922" TargetMode="External"/><Relationship Id="rId422" Type="http://schemas.openxmlformats.org/officeDocument/2006/relationships/hyperlink" Target="http://lattes.cnpq.br/8375441896375273" TargetMode="External"/><Relationship Id="rId443" Type="http://schemas.openxmlformats.org/officeDocument/2006/relationships/hyperlink" Target="http://lattes.cnpq.br/5468609130074056" TargetMode="External"/><Relationship Id="rId303" Type="http://schemas.openxmlformats.org/officeDocument/2006/relationships/hyperlink" Target="http://lattes.cnpq.br/8203775174455802" TargetMode="External"/><Relationship Id="rId42" Type="http://schemas.openxmlformats.org/officeDocument/2006/relationships/hyperlink" Target="http://lattes.cnpq.br/1336094438987346" TargetMode="External"/><Relationship Id="rId84" Type="http://schemas.openxmlformats.org/officeDocument/2006/relationships/hyperlink" Target="http://lattes.cnpq.br/8715885877497181" TargetMode="External"/><Relationship Id="rId138" Type="http://schemas.openxmlformats.org/officeDocument/2006/relationships/hyperlink" Target="http://lattes.cnpq.br/3979829162351186" TargetMode="External"/><Relationship Id="rId345" Type="http://schemas.openxmlformats.org/officeDocument/2006/relationships/hyperlink" Target="http://lattes.cnpq.br/4790830199468893" TargetMode="External"/><Relationship Id="rId387" Type="http://schemas.openxmlformats.org/officeDocument/2006/relationships/hyperlink" Target="http://lattes.cnpq.br/9486259076810818" TargetMode="External"/><Relationship Id="rId191" Type="http://schemas.openxmlformats.org/officeDocument/2006/relationships/hyperlink" Target="http://lattes.cnpq.br/5681405058457532" TargetMode="External"/><Relationship Id="rId205" Type="http://schemas.openxmlformats.org/officeDocument/2006/relationships/hyperlink" Target="http://lattes.cnpq.br/5033505522959339" TargetMode="External"/><Relationship Id="rId247" Type="http://schemas.openxmlformats.org/officeDocument/2006/relationships/hyperlink" Target="http://lattes.cnpq.br/4554030397354954" TargetMode="External"/><Relationship Id="rId412" Type="http://schemas.openxmlformats.org/officeDocument/2006/relationships/hyperlink" Target="http://lattes.cnpq.br/9968256068572098" TargetMode="External"/><Relationship Id="rId107" Type="http://schemas.openxmlformats.org/officeDocument/2006/relationships/hyperlink" Target="http://lattes.cnpq.br/6291887019034026" TargetMode="External"/><Relationship Id="rId289" Type="http://schemas.openxmlformats.org/officeDocument/2006/relationships/hyperlink" Target="http://lattes.cnpq.br/9147853693310634" TargetMode="External"/><Relationship Id="rId454" Type="http://schemas.openxmlformats.org/officeDocument/2006/relationships/hyperlink" Target="http://lattes.cnpq.br/0414358532917624" TargetMode="External"/><Relationship Id="rId11" Type="http://schemas.openxmlformats.org/officeDocument/2006/relationships/hyperlink" Target="http://lattes.cnpq.br/1168989222280325" TargetMode="External"/><Relationship Id="rId53" Type="http://schemas.openxmlformats.org/officeDocument/2006/relationships/hyperlink" Target="http://lattes.cnpq.br/7987049452090800" TargetMode="External"/><Relationship Id="rId149" Type="http://schemas.openxmlformats.org/officeDocument/2006/relationships/hyperlink" Target="http://lattes.cnpq.br/4362051219348099" TargetMode="External"/><Relationship Id="rId314" Type="http://schemas.openxmlformats.org/officeDocument/2006/relationships/hyperlink" Target="http://lattes.cnpq.br/6250492463297212" TargetMode="External"/><Relationship Id="rId356" Type="http://schemas.openxmlformats.org/officeDocument/2006/relationships/hyperlink" Target="http://lattes.cnpq.br/8408207746528834" TargetMode="External"/><Relationship Id="rId398" Type="http://schemas.openxmlformats.org/officeDocument/2006/relationships/hyperlink" Target="http://lattes.cnpq.br/6156355609451020" TargetMode="External"/><Relationship Id="rId95" Type="http://schemas.openxmlformats.org/officeDocument/2006/relationships/hyperlink" Target="http://lattes.cnpq.br/2160636071521196" TargetMode="External"/><Relationship Id="rId160" Type="http://schemas.openxmlformats.org/officeDocument/2006/relationships/hyperlink" Target="http://lattes.cnpq.br/2713375538068664" TargetMode="External"/><Relationship Id="rId216" Type="http://schemas.openxmlformats.org/officeDocument/2006/relationships/hyperlink" Target="http://lattes.cnpq.br/8102993969523532" TargetMode="External"/><Relationship Id="rId423" Type="http://schemas.openxmlformats.org/officeDocument/2006/relationships/hyperlink" Target="http://lattes.cnpq.br/0627069259285805" TargetMode="External"/><Relationship Id="rId258" Type="http://schemas.openxmlformats.org/officeDocument/2006/relationships/hyperlink" Target="http://lattes.cnpq.br/9950879952262717" TargetMode="External"/><Relationship Id="rId22" Type="http://schemas.openxmlformats.org/officeDocument/2006/relationships/hyperlink" Target="http://lattes.cnpq.br/7628216289944686" TargetMode="External"/><Relationship Id="rId64" Type="http://schemas.openxmlformats.org/officeDocument/2006/relationships/hyperlink" Target="http://lattes.cnpq.br/6374563794926122" TargetMode="External"/><Relationship Id="rId118" Type="http://schemas.openxmlformats.org/officeDocument/2006/relationships/hyperlink" Target="http://lattes.cnpq.br/7013126109041225" TargetMode="External"/><Relationship Id="rId325" Type="http://schemas.openxmlformats.org/officeDocument/2006/relationships/hyperlink" Target="http://lattes.cnpq.br/1922073864519544" TargetMode="External"/><Relationship Id="rId367" Type="http://schemas.openxmlformats.org/officeDocument/2006/relationships/hyperlink" Target="http://lattes.cnpq.br/4799305679001453" TargetMode="External"/><Relationship Id="rId171" Type="http://schemas.openxmlformats.org/officeDocument/2006/relationships/hyperlink" Target="http://lattes.cnpq.br/0511403245273924" TargetMode="External"/><Relationship Id="rId227" Type="http://schemas.openxmlformats.org/officeDocument/2006/relationships/hyperlink" Target="http://lattes.cnpq.br/7358557068732556" TargetMode="External"/><Relationship Id="rId269" Type="http://schemas.openxmlformats.org/officeDocument/2006/relationships/hyperlink" Target="http://lattes.cnpq.br/1993746822546408" TargetMode="External"/><Relationship Id="rId434" Type="http://schemas.openxmlformats.org/officeDocument/2006/relationships/hyperlink" Target="http://lattes.cnpq.br/2379338626418079" TargetMode="External"/><Relationship Id="rId33" Type="http://schemas.openxmlformats.org/officeDocument/2006/relationships/hyperlink" Target="http://lattes.cnpq.br/8998988531329512" TargetMode="External"/><Relationship Id="rId129" Type="http://schemas.openxmlformats.org/officeDocument/2006/relationships/hyperlink" Target="http://lattes.cnpq.br/1993748824383678" TargetMode="External"/><Relationship Id="rId280" Type="http://schemas.openxmlformats.org/officeDocument/2006/relationships/hyperlink" Target="http://lattes.cnpq.br/9547510786414353" TargetMode="External"/><Relationship Id="rId336" Type="http://schemas.openxmlformats.org/officeDocument/2006/relationships/hyperlink" Target="http://lattes.cnpq.br/7972104125828116" TargetMode="External"/><Relationship Id="rId75" Type="http://schemas.openxmlformats.org/officeDocument/2006/relationships/hyperlink" Target="http://lattes.cnpq.br/2468979908831549" TargetMode="External"/><Relationship Id="rId140" Type="http://schemas.openxmlformats.org/officeDocument/2006/relationships/hyperlink" Target="http://lattes.cnpq.br/4246717998455436" TargetMode="External"/><Relationship Id="rId182" Type="http://schemas.openxmlformats.org/officeDocument/2006/relationships/hyperlink" Target="http://lattes.cnpq.br/5545896953221851" TargetMode="External"/><Relationship Id="rId378" Type="http://schemas.openxmlformats.org/officeDocument/2006/relationships/hyperlink" Target="http://lattes.cnpq.br/1108330136962513" TargetMode="External"/><Relationship Id="rId403" Type="http://schemas.openxmlformats.org/officeDocument/2006/relationships/hyperlink" Target="http://lattes.cnpq.br/6351394167523001" TargetMode="External"/><Relationship Id="rId6" Type="http://schemas.openxmlformats.org/officeDocument/2006/relationships/hyperlink" Target="http://lattes.cnpq.br/7935699829401769" TargetMode="External"/><Relationship Id="rId238" Type="http://schemas.openxmlformats.org/officeDocument/2006/relationships/hyperlink" Target="http://lattes.cnpq.br/9030349458063767" TargetMode="External"/><Relationship Id="rId445" Type="http://schemas.openxmlformats.org/officeDocument/2006/relationships/hyperlink" Target="http://lattes.cnpq.br/9032233782082915" TargetMode="External"/><Relationship Id="rId291" Type="http://schemas.openxmlformats.org/officeDocument/2006/relationships/hyperlink" Target="http://lattes.cnpq.br/9090064478702633" TargetMode="External"/><Relationship Id="rId305" Type="http://schemas.openxmlformats.org/officeDocument/2006/relationships/hyperlink" Target="http://lattes.cnpq.br/1876482890634213" TargetMode="External"/><Relationship Id="rId347" Type="http://schemas.openxmlformats.org/officeDocument/2006/relationships/hyperlink" Target="http://lattes.cnpq.br/7390573927636069" TargetMode="External"/><Relationship Id="rId44" Type="http://schemas.openxmlformats.org/officeDocument/2006/relationships/hyperlink" Target="http://lattes.cnpq.br/0560039556461253" TargetMode="External"/><Relationship Id="rId86" Type="http://schemas.openxmlformats.org/officeDocument/2006/relationships/hyperlink" Target="http://lattes.cnpq.br/6324293045209180" TargetMode="External"/><Relationship Id="rId151" Type="http://schemas.openxmlformats.org/officeDocument/2006/relationships/hyperlink" Target="http://lattes.cnpq.br/8776524631256060" TargetMode="External"/><Relationship Id="rId389" Type="http://schemas.openxmlformats.org/officeDocument/2006/relationships/hyperlink" Target="http://lattes.cnpq.br/4240670677976713" TargetMode="External"/><Relationship Id="rId193" Type="http://schemas.openxmlformats.org/officeDocument/2006/relationships/hyperlink" Target="http://lattes.cnpq.br/3854737089313557" TargetMode="External"/><Relationship Id="rId207" Type="http://schemas.openxmlformats.org/officeDocument/2006/relationships/hyperlink" Target="http://lattes.cnpq.br/5659403706694491" TargetMode="External"/><Relationship Id="rId249" Type="http://schemas.openxmlformats.org/officeDocument/2006/relationships/hyperlink" Target="http://lattes.cnpq.br/5822763057370791" TargetMode="External"/><Relationship Id="rId414" Type="http://schemas.openxmlformats.org/officeDocument/2006/relationships/hyperlink" Target="http://lattes.cnpq.br/7372555287261239" TargetMode="External"/><Relationship Id="rId456" Type="http://schemas.openxmlformats.org/officeDocument/2006/relationships/hyperlink" Target="http://lattes.cnpq.br/2485632086517052" TargetMode="External"/><Relationship Id="rId13" Type="http://schemas.openxmlformats.org/officeDocument/2006/relationships/hyperlink" Target="http://lattes.cnpq.br/1557063709034165" TargetMode="External"/><Relationship Id="rId109" Type="http://schemas.openxmlformats.org/officeDocument/2006/relationships/hyperlink" Target="http://lattes.cnpq.br/9993549523664329" TargetMode="External"/><Relationship Id="rId260" Type="http://schemas.openxmlformats.org/officeDocument/2006/relationships/hyperlink" Target="http://lattes.cnpq.br/3867411698026346" TargetMode="External"/><Relationship Id="rId316" Type="http://schemas.openxmlformats.org/officeDocument/2006/relationships/hyperlink" Target="http://lattes.cnpq.br/7000017551659136" TargetMode="External"/><Relationship Id="rId55" Type="http://schemas.openxmlformats.org/officeDocument/2006/relationships/hyperlink" Target="http://lattes.cnpq.br/6772382797320564" TargetMode="External"/><Relationship Id="rId97" Type="http://schemas.openxmlformats.org/officeDocument/2006/relationships/hyperlink" Target="http://lattes.cnpq.br/1424714804835364" TargetMode="External"/><Relationship Id="rId120" Type="http://schemas.openxmlformats.org/officeDocument/2006/relationships/hyperlink" Target="http://lattes.cnpq.br/3800022078311584" TargetMode="External"/><Relationship Id="rId358" Type="http://schemas.openxmlformats.org/officeDocument/2006/relationships/hyperlink" Target="http://lattes.cnpq.br/0586004379063241" TargetMode="External"/><Relationship Id="rId162" Type="http://schemas.openxmlformats.org/officeDocument/2006/relationships/hyperlink" Target="http://lattes.cnpq.br/7769707216368256" TargetMode="External"/><Relationship Id="rId218" Type="http://schemas.openxmlformats.org/officeDocument/2006/relationships/hyperlink" Target="http://lattes.cnpq.br/5787457902522074" TargetMode="External"/><Relationship Id="rId425" Type="http://schemas.openxmlformats.org/officeDocument/2006/relationships/hyperlink" Target="http://lattes.cnpq.br/8213296308094058" TargetMode="External"/><Relationship Id="rId271" Type="http://schemas.openxmlformats.org/officeDocument/2006/relationships/hyperlink" Target="http://lattes.cnpq.br/5248079505422092" TargetMode="External"/><Relationship Id="rId24" Type="http://schemas.openxmlformats.org/officeDocument/2006/relationships/hyperlink" Target="http://lattes.cnpq.br/4518337589148307" TargetMode="External"/><Relationship Id="rId66" Type="http://schemas.openxmlformats.org/officeDocument/2006/relationships/hyperlink" Target="http://lattes.cnpq.br/4138407289238061" TargetMode="External"/><Relationship Id="rId131" Type="http://schemas.openxmlformats.org/officeDocument/2006/relationships/hyperlink" Target="http://lattes.cnpq.br/6050875493886342" TargetMode="External"/><Relationship Id="rId327" Type="http://schemas.openxmlformats.org/officeDocument/2006/relationships/hyperlink" Target="http://lattes.cnpq.br/0554631424547411" TargetMode="External"/><Relationship Id="rId369" Type="http://schemas.openxmlformats.org/officeDocument/2006/relationships/hyperlink" Target="http://lattes.cnpq.br/6655920279961825" TargetMode="External"/><Relationship Id="rId173" Type="http://schemas.openxmlformats.org/officeDocument/2006/relationships/hyperlink" Target="http://lattes.cnpq.br/2728001193575385" TargetMode="External"/><Relationship Id="rId229" Type="http://schemas.openxmlformats.org/officeDocument/2006/relationships/hyperlink" Target="http://lattes.cnpq.br/9109325060795479" TargetMode="External"/><Relationship Id="rId380" Type="http://schemas.openxmlformats.org/officeDocument/2006/relationships/hyperlink" Target="http://lattes.cnpq.br/5913290628658008" TargetMode="External"/><Relationship Id="rId436" Type="http://schemas.openxmlformats.org/officeDocument/2006/relationships/hyperlink" Target="http://lattes.cnpq.br/4819448229037090" TargetMode="External"/><Relationship Id="rId240" Type="http://schemas.openxmlformats.org/officeDocument/2006/relationships/hyperlink" Target="http://lattes.cnpq.br/6418711808050575" TargetMode="External"/><Relationship Id="rId35" Type="http://schemas.openxmlformats.org/officeDocument/2006/relationships/hyperlink" Target="http://lattes.cnpq.br/1691114842151172" TargetMode="External"/><Relationship Id="rId77" Type="http://schemas.openxmlformats.org/officeDocument/2006/relationships/hyperlink" Target="http://lattes.cnpq.br/3912060609881766" TargetMode="External"/><Relationship Id="rId100" Type="http://schemas.openxmlformats.org/officeDocument/2006/relationships/hyperlink" Target="http://lattes.cnpq.br/7551925615832090" TargetMode="External"/><Relationship Id="rId282" Type="http://schemas.openxmlformats.org/officeDocument/2006/relationships/hyperlink" Target="http://lattes.cnpq.br/8232304691647043" TargetMode="External"/><Relationship Id="rId338" Type="http://schemas.openxmlformats.org/officeDocument/2006/relationships/hyperlink" Target="http://lattes.cnpq.br/0416440515458304" TargetMode="External"/><Relationship Id="rId8" Type="http://schemas.openxmlformats.org/officeDocument/2006/relationships/hyperlink" Target="http://lattes.cnpq.br/4874787664520093" TargetMode="External"/><Relationship Id="rId142" Type="http://schemas.openxmlformats.org/officeDocument/2006/relationships/hyperlink" Target="http://lattes.cnpq.br/7979338384555091" TargetMode="External"/><Relationship Id="rId184" Type="http://schemas.openxmlformats.org/officeDocument/2006/relationships/hyperlink" Target="http://lattes.cnpq.br/9114804434571267" TargetMode="External"/><Relationship Id="rId391" Type="http://schemas.openxmlformats.org/officeDocument/2006/relationships/hyperlink" Target="http://lattes.cnpq.br/4984596002340486" TargetMode="External"/><Relationship Id="rId405" Type="http://schemas.openxmlformats.org/officeDocument/2006/relationships/hyperlink" Target="http://lattes.cnpq.br/6893642697260226" TargetMode="External"/><Relationship Id="rId447" Type="http://schemas.openxmlformats.org/officeDocument/2006/relationships/hyperlink" Target="http://lattes.cnpq.br/1025598529469393" TargetMode="External"/><Relationship Id="rId251" Type="http://schemas.openxmlformats.org/officeDocument/2006/relationships/hyperlink" Target="http://lattes.cnpq.br/6823152912012987" TargetMode="External"/><Relationship Id="rId46" Type="http://schemas.openxmlformats.org/officeDocument/2006/relationships/hyperlink" Target="http://lattes.cnpq.br/3869820274542343" TargetMode="External"/><Relationship Id="rId293" Type="http://schemas.openxmlformats.org/officeDocument/2006/relationships/hyperlink" Target="http://lattes.cnpq.br/3133273170328412" TargetMode="External"/><Relationship Id="rId307" Type="http://schemas.openxmlformats.org/officeDocument/2006/relationships/hyperlink" Target="http://lattes.cnpq.br/2861685938046060" TargetMode="External"/><Relationship Id="rId349" Type="http://schemas.openxmlformats.org/officeDocument/2006/relationships/hyperlink" Target="http://lattes.cnpq.br/3395056316088979" TargetMode="External"/><Relationship Id="rId88" Type="http://schemas.openxmlformats.org/officeDocument/2006/relationships/hyperlink" Target="http://lattes.cnpq.br/1775021506836485" TargetMode="External"/><Relationship Id="rId111" Type="http://schemas.openxmlformats.org/officeDocument/2006/relationships/hyperlink" Target="http://lattes.cnpq.br/1329671245559098" TargetMode="External"/><Relationship Id="rId153" Type="http://schemas.openxmlformats.org/officeDocument/2006/relationships/hyperlink" Target="http://lattes.cnpq.br/6676235079943715" TargetMode="External"/><Relationship Id="rId195" Type="http://schemas.openxmlformats.org/officeDocument/2006/relationships/hyperlink" Target="http://lattes.cnpq.br/7040371743984962" TargetMode="External"/><Relationship Id="rId209" Type="http://schemas.openxmlformats.org/officeDocument/2006/relationships/hyperlink" Target="http://lattes.cnpq.br/0700787558627219" TargetMode="External"/><Relationship Id="rId360" Type="http://schemas.openxmlformats.org/officeDocument/2006/relationships/hyperlink" Target="http://lattes.cnpq.br/6350047853320576" TargetMode="External"/><Relationship Id="rId416" Type="http://schemas.openxmlformats.org/officeDocument/2006/relationships/hyperlink" Target="http://lattes.cnpq.br/1013769906008954" TargetMode="External"/><Relationship Id="rId220" Type="http://schemas.openxmlformats.org/officeDocument/2006/relationships/hyperlink" Target="http://lattes.cnpq.br/2631917363783106" TargetMode="External"/><Relationship Id="rId15" Type="http://schemas.openxmlformats.org/officeDocument/2006/relationships/hyperlink" Target="http://lattes.cnpq.br/4978912302419377" TargetMode="External"/><Relationship Id="rId57" Type="http://schemas.openxmlformats.org/officeDocument/2006/relationships/hyperlink" Target="http://lattes.cnpq.br/1429305836290181" TargetMode="External"/><Relationship Id="rId262" Type="http://schemas.openxmlformats.org/officeDocument/2006/relationships/hyperlink" Target="http://lattes.cnpq.br/3771981586851182" TargetMode="External"/><Relationship Id="rId318" Type="http://schemas.openxmlformats.org/officeDocument/2006/relationships/hyperlink" Target="http://lattes.cnpq.br/5572544140131523" TargetMode="External"/><Relationship Id="rId99" Type="http://schemas.openxmlformats.org/officeDocument/2006/relationships/hyperlink" Target="http://lattes.cnpq.br/5553804838230644" TargetMode="External"/><Relationship Id="rId122" Type="http://schemas.openxmlformats.org/officeDocument/2006/relationships/hyperlink" Target="http://lattes.cnpq.br/0096913881679975" TargetMode="External"/><Relationship Id="rId164" Type="http://schemas.openxmlformats.org/officeDocument/2006/relationships/hyperlink" Target="http://lattes.cnpq.br/1237732688247222" TargetMode="External"/><Relationship Id="rId371" Type="http://schemas.openxmlformats.org/officeDocument/2006/relationships/hyperlink" Target="http://lattes.cnpq.br/4283410559154519" TargetMode="External"/><Relationship Id="rId427" Type="http://schemas.openxmlformats.org/officeDocument/2006/relationships/hyperlink" Target="http://lattes.cnpq.br/1735273258357820" TargetMode="External"/><Relationship Id="rId26" Type="http://schemas.openxmlformats.org/officeDocument/2006/relationships/hyperlink" Target="http://lattes.cnpq.br/4101983776191966" TargetMode="External"/><Relationship Id="rId231" Type="http://schemas.openxmlformats.org/officeDocument/2006/relationships/hyperlink" Target="http://lattes.cnpq.br/0017657009368381" TargetMode="External"/><Relationship Id="rId273" Type="http://schemas.openxmlformats.org/officeDocument/2006/relationships/hyperlink" Target="http://lattes.cnpq.br/0207144049736436" TargetMode="External"/><Relationship Id="rId329" Type="http://schemas.openxmlformats.org/officeDocument/2006/relationships/hyperlink" Target="http://lattes.cnpq.br/3841424048908423" TargetMode="External"/><Relationship Id="rId68" Type="http://schemas.openxmlformats.org/officeDocument/2006/relationships/hyperlink" Target="http://lattes.cnpq.br/1115148358376830" TargetMode="External"/><Relationship Id="rId133" Type="http://schemas.openxmlformats.org/officeDocument/2006/relationships/hyperlink" Target="http://lattes.cnpq.br/2473548616237558" TargetMode="External"/><Relationship Id="rId175" Type="http://schemas.openxmlformats.org/officeDocument/2006/relationships/hyperlink" Target="http://lattes.cnpq.br/6944181289636986" TargetMode="External"/><Relationship Id="rId340" Type="http://schemas.openxmlformats.org/officeDocument/2006/relationships/hyperlink" Target="http://lattes.cnpq.br/9830819801249558" TargetMode="External"/><Relationship Id="rId200" Type="http://schemas.openxmlformats.org/officeDocument/2006/relationships/hyperlink" Target="http://lattes.cnpq.br/7982796939759440" TargetMode="External"/><Relationship Id="rId382" Type="http://schemas.openxmlformats.org/officeDocument/2006/relationships/hyperlink" Target="http://lattes.cnpq.br/9015445560354784" TargetMode="External"/><Relationship Id="rId438" Type="http://schemas.openxmlformats.org/officeDocument/2006/relationships/hyperlink" Target="http://lattes.cnpq.br/8256644098407834" TargetMode="External"/><Relationship Id="rId242" Type="http://schemas.openxmlformats.org/officeDocument/2006/relationships/hyperlink" Target="http://lattes.cnpq.br/0733908324235348" TargetMode="External"/><Relationship Id="rId284" Type="http://schemas.openxmlformats.org/officeDocument/2006/relationships/hyperlink" Target="http://lattes.cnpq.br/3904195895817869" TargetMode="External"/><Relationship Id="rId37" Type="http://schemas.openxmlformats.org/officeDocument/2006/relationships/hyperlink" Target="http://lattes.cnpq.br/4409120770460899" TargetMode="External"/><Relationship Id="rId79" Type="http://schemas.openxmlformats.org/officeDocument/2006/relationships/hyperlink" Target="http://lattes.cnpq.br/6486792705300520" TargetMode="External"/><Relationship Id="rId102" Type="http://schemas.openxmlformats.org/officeDocument/2006/relationships/hyperlink" Target="http://lattes.cnpq.br/4215445009330563" TargetMode="External"/><Relationship Id="rId144" Type="http://schemas.openxmlformats.org/officeDocument/2006/relationships/hyperlink" Target="http://lattes.cnpq.br/7715634436402530" TargetMode="External"/><Relationship Id="rId90" Type="http://schemas.openxmlformats.org/officeDocument/2006/relationships/hyperlink" Target="http://lattes.cnpq.br/2089688089770413" TargetMode="External"/><Relationship Id="rId186" Type="http://schemas.openxmlformats.org/officeDocument/2006/relationships/hyperlink" Target="http://lattes.cnpq.br/4428619604317270" TargetMode="External"/><Relationship Id="rId351" Type="http://schemas.openxmlformats.org/officeDocument/2006/relationships/hyperlink" Target="http://lattes.cnpq.br/8018556894529318" TargetMode="External"/><Relationship Id="rId393" Type="http://schemas.openxmlformats.org/officeDocument/2006/relationships/hyperlink" Target="http://lattes.cnpq.br/6986332750712586" TargetMode="External"/><Relationship Id="rId407" Type="http://schemas.openxmlformats.org/officeDocument/2006/relationships/hyperlink" Target="http://lattes.cnpq.br/5811675602024933" TargetMode="External"/><Relationship Id="rId449" Type="http://schemas.openxmlformats.org/officeDocument/2006/relationships/hyperlink" Target="http://lattes.cnpq.br/9102110853958370" TargetMode="External"/><Relationship Id="rId211" Type="http://schemas.openxmlformats.org/officeDocument/2006/relationships/hyperlink" Target="http://lattes.cnpq.br/2139844843936516" TargetMode="External"/><Relationship Id="rId253" Type="http://schemas.openxmlformats.org/officeDocument/2006/relationships/hyperlink" Target="http://lattes.cnpq.br/1428271995660671" TargetMode="External"/><Relationship Id="rId295" Type="http://schemas.openxmlformats.org/officeDocument/2006/relationships/hyperlink" Target="http://lattes.cnpq.br/0599914922920980" TargetMode="External"/><Relationship Id="rId309" Type="http://schemas.openxmlformats.org/officeDocument/2006/relationships/hyperlink" Target="http://lattes.cnpq.br/8895421253054996" TargetMode="External"/><Relationship Id="rId48" Type="http://schemas.openxmlformats.org/officeDocument/2006/relationships/hyperlink" Target="http://lattes.cnpq.br/8796898263583929" TargetMode="External"/><Relationship Id="rId113" Type="http://schemas.openxmlformats.org/officeDocument/2006/relationships/hyperlink" Target="http://lattes.cnpq.br/6492489147349408" TargetMode="External"/><Relationship Id="rId320" Type="http://schemas.openxmlformats.org/officeDocument/2006/relationships/hyperlink" Target="http://lattes.cnpq.br/6196081550581346" TargetMode="External"/><Relationship Id="rId155" Type="http://schemas.openxmlformats.org/officeDocument/2006/relationships/hyperlink" Target="http://lattes.cnpq.br/2594832387202924" TargetMode="External"/><Relationship Id="rId197" Type="http://schemas.openxmlformats.org/officeDocument/2006/relationships/hyperlink" Target="http://lattes.cnpq.br/3985471514294149" TargetMode="External"/><Relationship Id="rId362" Type="http://schemas.openxmlformats.org/officeDocument/2006/relationships/hyperlink" Target="http://lattes.cnpq.br/2909699430118148" TargetMode="External"/><Relationship Id="rId418" Type="http://schemas.openxmlformats.org/officeDocument/2006/relationships/hyperlink" Target="http://lattes.cnpq.br/6192564133849711" TargetMode="External"/><Relationship Id="rId222" Type="http://schemas.openxmlformats.org/officeDocument/2006/relationships/hyperlink" Target="http://lattes.cnpq.br/7229755502198114" TargetMode="External"/><Relationship Id="rId264" Type="http://schemas.openxmlformats.org/officeDocument/2006/relationships/hyperlink" Target="http://lattes.cnpq.br/6143079905555041" TargetMode="External"/><Relationship Id="rId17" Type="http://schemas.openxmlformats.org/officeDocument/2006/relationships/hyperlink" Target="http://lattes.cnpq.br/4928616387172275" TargetMode="External"/><Relationship Id="rId59" Type="http://schemas.openxmlformats.org/officeDocument/2006/relationships/hyperlink" Target="http://lattes.cnpq.br/2759618347264783" TargetMode="External"/><Relationship Id="rId124" Type="http://schemas.openxmlformats.org/officeDocument/2006/relationships/hyperlink" Target="http://lattes.cnpq.br/5470591128080574" TargetMode="External"/><Relationship Id="rId70" Type="http://schemas.openxmlformats.org/officeDocument/2006/relationships/hyperlink" Target="http://lattes.cnpq.br/2756083344723640" TargetMode="External"/><Relationship Id="rId166" Type="http://schemas.openxmlformats.org/officeDocument/2006/relationships/hyperlink" Target="http://lattes.cnpq.br/4629575839285869" TargetMode="External"/><Relationship Id="rId331" Type="http://schemas.openxmlformats.org/officeDocument/2006/relationships/hyperlink" Target="http://lattes.cnpq.br/4771929959769327" TargetMode="External"/><Relationship Id="rId373" Type="http://schemas.openxmlformats.org/officeDocument/2006/relationships/hyperlink" Target="http://lattes.cnpq.br/8609036872819243" TargetMode="External"/><Relationship Id="rId429" Type="http://schemas.openxmlformats.org/officeDocument/2006/relationships/hyperlink" Target="http://lattes.cnpq.br/9163002621872050" TargetMode="External"/><Relationship Id="rId1" Type="http://schemas.openxmlformats.org/officeDocument/2006/relationships/hyperlink" Target="http://lattes.cnpq.br/8721994758453503" TargetMode="External"/><Relationship Id="rId233" Type="http://schemas.openxmlformats.org/officeDocument/2006/relationships/hyperlink" Target="http://lattes.cnpq.br/8121967168913864" TargetMode="External"/><Relationship Id="rId440" Type="http://schemas.openxmlformats.org/officeDocument/2006/relationships/hyperlink" Target="http://lattes.cnpq.br/8098683325472892" TargetMode="External"/><Relationship Id="rId28" Type="http://schemas.openxmlformats.org/officeDocument/2006/relationships/hyperlink" Target="http://lattes.cnpq.br/8127213004748485" TargetMode="External"/><Relationship Id="rId275" Type="http://schemas.openxmlformats.org/officeDocument/2006/relationships/hyperlink" Target="http://lattes.cnpq.br/7895583848892635" TargetMode="External"/><Relationship Id="rId300" Type="http://schemas.openxmlformats.org/officeDocument/2006/relationships/hyperlink" Target="http://lattes.cnpq.br/9037349417947599" TargetMode="External"/><Relationship Id="rId81" Type="http://schemas.openxmlformats.org/officeDocument/2006/relationships/hyperlink" Target="http://lattes.cnpq.br/1338038101910673" TargetMode="External"/><Relationship Id="rId135" Type="http://schemas.openxmlformats.org/officeDocument/2006/relationships/hyperlink" Target="http://lattes.cnpq.br/3270615314717988" TargetMode="External"/><Relationship Id="rId177" Type="http://schemas.openxmlformats.org/officeDocument/2006/relationships/hyperlink" Target="http://lattes.cnpq.br/5874060645133862" TargetMode="External"/><Relationship Id="rId342" Type="http://schemas.openxmlformats.org/officeDocument/2006/relationships/hyperlink" Target="http://lattes.cnpq.br/4812908341887388" TargetMode="External"/><Relationship Id="rId384" Type="http://schemas.openxmlformats.org/officeDocument/2006/relationships/hyperlink" Target="http://lattes.cnpq.br/8415444657040950" TargetMode="External"/><Relationship Id="rId202" Type="http://schemas.openxmlformats.org/officeDocument/2006/relationships/hyperlink" Target="http://lattes.cnpq.br/1049735133222758" TargetMode="External"/><Relationship Id="rId244" Type="http://schemas.openxmlformats.org/officeDocument/2006/relationships/hyperlink" Target="http://lattes.cnpq.br/3574453900770220" TargetMode="External"/><Relationship Id="rId39" Type="http://schemas.openxmlformats.org/officeDocument/2006/relationships/hyperlink" Target="http://lattes.cnpq.br/3096604627879612" TargetMode="External"/><Relationship Id="rId286" Type="http://schemas.openxmlformats.org/officeDocument/2006/relationships/hyperlink" Target="http://lattes.cnpq.br/7065742929034921" TargetMode="External"/><Relationship Id="rId451" Type="http://schemas.openxmlformats.org/officeDocument/2006/relationships/hyperlink" Target="http://lattes.cnpq.br/9438051432168198" TargetMode="External"/><Relationship Id="rId50" Type="http://schemas.openxmlformats.org/officeDocument/2006/relationships/hyperlink" Target="http://lattes.cnpq.br/9679761162805267" TargetMode="External"/><Relationship Id="rId104" Type="http://schemas.openxmlformats.org/officeDocument/2006/relationships/hyperlink" Target="http://lattes.cnpq.br/0056340986329931" TargetMode="External"/><Relationship Id="rId146" Type="http://schemas.openxmlformats.org/officeDocument/2006/relationships/hyperlink" Target="http://lattes.cnpq.br/7878266367283841" TargetMode="External"/><Relationship Id="rId188" Type="http://schemas.openxmlformats.org/officeDocument/2006/relationships/hyperlink" Target="http://lattes.cnpq.br/0940679584530402" TargetMode="External"/><Relationship Id="rId311" Type="http://schemas.openxmlformats.org/officeDocument/2006/relationships/hyperlink" Target="http://lattes.cnpq.br/0414406298670007" TargetMode="External"/><Relationship Id="rId353" Type="http://schemas.openxmlformats.org/officeDocument/2006/relationships/hyperlink" Target="http://lattes.cnpq.br/7843291258244995" TargetMode="External"/><Relationship Id="rId395" Type="http://schemas.openxmlformats.org/officeDocument/2006/relationships/hyperlink" Target="http://lattes.cnpq.br/2869680994075940" TargetMode="External"/><Relationship Id="rId409" Type="http://schemas.openxmlformats.org/officeDocument/2006/relationships/hyperlink" Target="http://lattes.cnpq.br/8746315302380257" TargetMode="External"/><Relationship Id="rId92" Type="http://schemas.openxmlformats.org/officeDocument/2006/relationships/hyperlink" Target="http://lattes.cnpq.br/6502547670146126" TargetMode="External"/><Relationship Id="rId213" Type="http://schemas.openxmlformats.org/officeDocument/2006/relationships/hyperlink" Target="http://lattes.cnpq.br/4632671506483447" TargetMode="External"/><Relationship Id="rId420" Type="http://schemas.openxmlformats.org/officeDocument/2006/relationships/hyperlink" Target="http://lattes.cnpq.br/66138424489534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458"/>
  <sheetViews>
    <sheetView tabSelected="1" workbookViewId="0">
      <selection activeCell="H1" sqref="H1:H3"/>
    </sheetView>
  </sheetViews>
  <sheetFormatPr defaultColWidth="9.42578125" defaultRowHeight="15" x14ac:dyDescent="0.25"/>
  <cols>
    <col min="1" max="1" width="13.7109375" bestFit="1" customWidth="1"/>
    <col min="2" max="2" width="11.5703125" bestFit="1" customWidth="1"/>
    <col min="3" max="3" width="5.42578125" bestFit="1" customWidth="1"/>
    <col min="4" max="4" width="10.42578125" bestFit="1" customWidth="1"/>
    <col min="5" max="5" width="13.7109375" customWidth="1"/>
    <col min="6" max="6" width="15.42578125" bestFit="1" customWidth="1"/>
    <col min="7" max="7" width="43.42578125" bestFit="1" customWidth="1"/>
    <col min="8" max="8" width="37" bestFit="1" customWidth="1"/>
    <col min="9" max="9" width="43.42578125" bestFit="1" customWidth="1"/>
    <col min="10" max="10" width="22.42578125" bestFit="1" customWidth="1"/>
    <col min="11" max="11" width="211.5703125" bestFit="1" customWidth="1"/>
    <col min="12" max="12" width="12.5703125" customWidth="1"/>
    <col min="13" max="13" width="238.7109375" bestFit="1" customWidth="1"/>
    <col min="14" max="14" width="75.5703125" bestFit="1" customWidth="1"/>
    <col min="15" max="15" width="4.42578125" bestFit="1" customWidth="1"/>
    <col min="16" max="16" width="26.28515625" bestFit="1" customWidth="1"/>
    <col min="17" max="17" width="59.42578125" bestFit="1" customWidth="1"/>
    <col min="18" max="18" width="71.7109375" bestFit="1" customWidth="1"/>
    <col min="19" max="19" width="23" bestFit="1" customWidth="1"/>
    <col min="20" max="20" width="20.7109375" bestFit="1" customWidth="1"/>
    <col min="21" max="21" width="24.5703125" bestFit="1" customWidth="1"/>
    <col min="22" max="22" width="22.5703125" bestFit="1" customWidth="1"/>
    <col min="23" max="23" width="71.7109375" bestFit="1" customWidth="1"/>
    <col min="24" max="24" width="23.42578125" bestFit="1" customWidth="1"/>
    <col min="25" max="25" width="21.140625" bestFit="1" customWidth="1"/>
    <col min="26" max="26" width="25" bestFit="1" customWidth="1"/>
    <col min="27" max="27" width="23" bestFit="1" customWidth="1"/>
    <col min="28" max="28" width="8.7109375" bestFit="1" customWidth="1"/>
    <col min="29" max="29" width="8.28515625" bestFit="1" customWidth="1"/>
    <col min="30" max="30" width="18.7109375" customWidth="1"/>
    <col min="31" max="31" width="11" bestFit="1" customWidth="1"/>
    <col min="32" max="32" width="14.28515625" customWidth="1"/>
    <col min="33" max="33" width="10.5703125" bestFit="1" customWidth="1"/>
    <col min="34" max="34" width="17" bestFit="1" customWidth="1"/>
    <col min="35" max="35" width="11.140625" bestFit="1" customWidth="1"/>
    <col min="36" max="36" width="12.85546875" bestFit="1" customWidth="1"/>
    <col min="37" max="37" width="12.28515625" bestFit="1" customWidth="1"/>
    <col min="38" max="38" width="11" bestFit="1" customWidth="1"/>
    <col min="39" max="39" width="69.140625" bestFit="1" customWidth="1"/>
    <col min="40" max="40" width="16.85546875" bestFit="1" customWidth="1"/>
    <col min="41" max="41" width="14.7109375" bestFit="1" customWidth="1"/>
    <col min="42" max="42" width="18.5703125" bestFit="1" customWidth="1"/>
    <col min="43" max="43" width="16.42578125" bestFit="1" customWidth="1"/>
    <col min="44" max="44" width="17.28515625" bestFit="1" customWidth="1"/>
    <col min="45" max="45" width="18.28515625" bestFit="1" customWidth="1"/>
    <col min="46" max="46" width="14" bestFit="1" customWidth="1"/>
    <col min="47" max="47" width="51.140625" bestFit="1" customWidth="1"/>
    <col min="48" max="48" width="86.85546875" bestFit="1" customWidth="1"/>
    <col min="49" max="49" width="17" bestFit="1" customWidth="1"/>
    <col min="50" max="50" width="119.42578125" bestFit="1" customWidth="1"/>
    <col min="51" max="51" width="16.28515625" bestFit="1" customWidth="1"/>
    <col min="52" max="52" width="18.7109375" bestFit="1" customWidth="1"/>
    <col min="53" max="53" width="61.42578125" customWidth="1"/>
    <col min="54" max="54" width="27.7109375" customWidth="1"/>
    <col min="55" max="55" width="40.5703125" customWidth="1"/>
    <col min="56" max="56" width="56.7109375" customWidth="1"/>
    <col min="57" max="57" width="20.5703125" bestFit="1" customWidth="1"/>
    <col min="58" max="58" width="14.140625" customWidth="1"/>
    <col min="59" max="59" width="16.28515625" customWidth="1"/>
    <col min="60" max="60" width="9.85546875" customWidth="1"/>
    <col min="61" max="61" width="15.85546875" customWidth="1"/>
    <col min="62" max="62" width="5.140625" customWidth="1"/>
    <col min="63" max="63" width="5.42578125" customWidth="1"/>
    <col min="64" max="64" width="5.5703125" customWidth="1"/>
    <col min="65" max="65" width="26.7109375" bestFit="1" customWidth="1"/>
    <col min="66" max="66" width="39" bestFit="1" customWidth="1"/>
    <col min="67" max="67" width="255.7109375" bestFit="1" customWidth="1"/>
    <col min="68" max="68" width="78.5703125" bestFit="1" customWidth="1"/>
  </cols>
  <sheetData>
    <row r="1" spans="1:6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5726</v>
      </c>
    </row>
    <row r="2" spans="1:68" x14ac:dyDescent="0.25">
      <c r="A2" t="s">
        <v>67</v>
      </c>
      <c r="B2" t="s">
        <v>68</v>
      </c>
      <c r="D2" s="1">
        <v>46204</v>
      </c>
      <c r="E2" s="1">
        <v>47664</v>
      </c>
      <c r="F2" t="s">
        <v>69</v>
      </c>
      <c r="G2" t="s">
        <v>70</v>
      </c>
      <c r="H2" s="2" t="s">
        <v>71</v>
      </c>
      <c r="I2" t="s">
        <v>70</v>
      </c>
      <c r="K2" t="s">
        <v>72</v>
      </c>
      <c r="L2">
        <v>5116854</v>
      </c>
      <c r="M2" t="s">
        <v>73</v>
      </c>
      <c r="N2" t="s">
        <v>74</v>
      </c>
      <c r="O2" t="s">
        <v>75</v>
      </c>
      <c r="P2" t="s">
        <v>76</v>
      </c>
      <c r="Q2" t="s">
        <v>77</v>
      </c>
      <c r="R2" t="s">
        <v>78</v>
      </c>
      <c r="S2" t="s">
        <v>79</v>
      </c>
      <c r="T2" t="s">
        <v>80</v>
      </c>
      <c r="U2" t="s">
        <v>81</v>
      </c>
      <c r="V2" t="s">
        <v>82</v>
      </c>
      <c r="W2" t="s">
        <v>78</v>
      </c>
      <c r="X2" t="s">
        <v>79</v>
      </c>
      <c r="Y2" t="s">
        <v>80</v>
      </c>
      <c r="Z2" t="s">
        <v>81</v>
      </c>
      <c r="AA2" t="s">
        <v>82</v>
      </c>
      <c r="AB2" t="s">
        <v>83</v>
      </c>
      <c r="AC2" t="s">
        <v>84</v>
      </c>
      <c r="AD2" t="s">
        <v>85</v>
      </c>
      <c r="AE2" t="s">
        <v>86</v>
      </c>
      <c r="AF2" t="s">
        <v>85</v>
      </c>
      <c r="AG2" t="s">
        <v>87</v>
      </c>
      <c r="AH2">
        <v>4</v>
      </c>
      <c r="AI2">
        <v>443040</v>
      </c>
      <c r="AJ2">
        <v>44000</v>
      </c>
      <c r="AK2">
        <v>0</v>
      </c>
      <c r="AL2">
        <v>487040</v>
      </c>
      <c r="AM2" t="s">
        <v>78</v>
      </c>
      <c r="AN2" t="s">
        <v>79</v>
      </c>
      <c r="AO2" t="s">
        <v>80</v>
      </c>
      <c r="AP2" t="s">
        <v>81</v>
      </c>
      <c r="AQ2" t="s">
        <v>82</v>
      </c>
      <c r="AR2" t="s">
        <v>88</v>
      </c>
      <c r="AS2" s="3">
        <v>46202.465223999308</v>
      </c>
      <c r="AT2" t="s">
        <v>89</v>
      </c>
      <c r="AU2" t="s">
        <v>90</v>
      </c>
      <c r="AV2" t="s">
        <v>91</v>
      </c>
      <c r="AW2" t="s">
        <v>92</v>
      </c>
      <c r="AX2" t="s">
        <v>93</v>
      </c>
      <c r="AY2" t="s">
        <v>94</v>
      </c>
      <c r="AZ2" t="s">
        <v>85</v>
      </c>
      <c r="BA2" t="s">
        <v>95</v>
      </c>
      <c r="BB2" t="s">
        <v>67</v>
      </c>
      <c r="BC2" t="s">
        <v>70</v>
      </c>
      <c r="BD2" t="s">
        <v>78</v>
      </c>
      <c r="BE2" t="s">
        <v>79</v>
      </c>
      <c r="BF2" t="b">
        <f>IF(AND(BG2,BI2,BL2,BM2),TRUE,FALSE)</f>
        <v>1</v>
      </c>
      <c r="BG2" t="b">
        <v>1</v>
      </c>
      <c r="BH2">
        <v>1999</v>
      </c>
      <c r="BI2" t="b">
        <v>1</v>
      </c>
      <c r="BJ2" t="s">
        <v>96</v>
      </c>
      <c r="BK2" t="s">
        <v>97</v>
      </c>
      <c r="BL2" t="b">
        <v>1</v>
      </c>
      <c r="BM2" t="b">
        <v>1</v>
      </c>
      <c r="BN2" t="b">
        <v>1</v>
      </c>
      <c r="BO2" t="s">
        <v>98</v>
      </c>
      <c r="BP2" t="b">
        <f>IF(IFERROR(VLOOKUP(A2,[1]Planilha1!$A:$A,1,0),FALSE)=FALSE,FALSE,TRUE)</f>
        <v>1</v>
      </c>
    </row>
    <row r="3" spans="1:68" x14ac:dyDescent="0.25">
      <c r="A3" t="s">
        <v>99</v>
      </c>
      <c r="B3" t="s">
        <v>68</v>
      </c>
      <c r="D3" s="1">
        <v>46204</v>
      </c>
      <c r="E3" s="1">
        <v>47664</v>
      </c>
      <c r="F3" t="s">
        <v>100</v>
      </c>
      <c r="G3" t="s">
        <v>101</v>
      </c>
      <c r="H3" s="2" t="s">
        <v>102</v>
      </c>
      <c r="I3" t="s">
        <v>101</v>
      </c>
      <c r="K3" t="s">
        <v>103</v>
      </c>
      <c r="L3">
        <v>5105890</v>
      </c>
      <c r="M3" t="s">
        <v>104</v>
      </c>
      <c r="N3" t="s">
        <v>105</v>
      </c>
      <c r="O3" t="s">
        <v>106</v>
      </c>
      <c r="P3" t="s">
        <v>107</v>
      </c>
      <c r="Q3" t="s">
        <v>108</v>
      </c>
      <c r="R3" t="s">
        <v>109</v>
      </c>
      <c r="S3" t="s">
        <v>110</v>
      </c>
      <c r="T3" t="s">
        <v>111</v>
      </c>
      <c r="U3" t="s">
        <v>112</v>
      </c>
      <c r="V3" t="s">
        <v>82</v>
      </c>
      <c r="W3" t="s">
        <v>109</v>
      </c>
      <c r="X3" t="s">
        <v>110</v>
      </c>
      <c r="Y3" t="s">
        <v>111</v>
      </c>
      <c r="Z3" t="s">
        <v>112</v>
      </c>
      <c r="AA3" t="s">
        <v>82</v>
      </c>
      <c r="AB3" t="s">
        <v>83</v>
      </c>
      <c r="AC3" t="s">
        <v>113</v>
      </c>
      <c r="AD3" t="s">
        <v>114</v>
      </c>
      <c r="AE3" t="s">
        <v>115</v>
      </c>
      <c r="AF3" t="s">
        <v>114</v>
      </c>
      <c r="AG3" t="s">
        <v>116</v>
      </c>
      <c r="AH3">
        <v>9</v>
      </c>
      <c r="AI3">
        <v>1304800</v>
      </c>
      <c r="AJ3">
        <v>130000</v>
      </c>
      <c r="AK3">
        <v>0</v>
      </c>
      <c r="AL3">
        <v>1434800</v>
      </c>
      <c r="AM3" t="s">
        <v>109</v>
      </c>
      <c r="AN3" t="s">
        <v>110</v>
      </c>
      <c r="AO3" t="s">
        <v>111</v>
      </c>
      <c r="AP3" t="s">
        <v>112</v>
      </c>
      <c r="AQ3" t="s">
        <v>82</v>
      </c>
      <c r="AR3" t="s">
        <v>117</v>
      </c>
      <c r="AS3" s="3">
        <v>46202.465223999308</v>
      </c>
      <c r="AT3" t="s">
        <v>89</v>
      </c>
      <c r="AU3" t="s">
        <v>90</v>
      </c>
      <c r="AV3" t="s">
        <v>91</v>
      </c>
      <c r="AW3" t="s">
        <v>92</v>
      </c>
      <c r="AX3" t="s">
        <v>93</v>
      </c>
      <c r="AY3" t="s">
        <v>94</v>
      </c>
      <c r="AZ3" t="s">
        <v>85</v>
      </c>
      <c r="BA3" t="s">
        <v>118</v>
      </c>
      <c r="BB3" t="s">
        <v>99</v>
      </c>
      <c r="BC3" t="s">
        <v>101</v>
      </c>
      <c r="BD3" t="s">
        <v>109</v>
      </c>
      <c r="BE3" t="s">
        <v>110</v>
      </c>
      <c r="BF3" t="b">
        <f t="shared" ref="BF3:BF66" si="0">IF(AND(BG3,BI3,BL3,BM3),TRUE,FALSE)</f>
        <v>0</v>
      </c>
      <c r="BG3" t="b">
        <v>0</v>
      </c>
      <c r="BH3">
        <v>2010</v>
      </c>
      <c r="BI3" t="b">
        <v>0</v>
      </c>
      <c r="BJ3" t="s">
        <v>96</v>
      </c>
      <c r="BK3" t="s">
        <v>119</v>
      </c>
      <c r="BL3" t="b">
        <v>1</v>
      </c>
      <c r="BM3" t="b">
        <v>1</v>
      </c>
      <c r="BN3" t="b">
        <v>1</v>
      </c>
      <c r="BO3" t="s">
        <v>120</v>
      </c>
      <c r="BP3" t="b">
        <f>IF(IFERROR(VLOOKUP(A3,[1]Planilha1!$A:$A,1,0),FALSE)=FALSE,FALSE,TRUE)</f>
        <v>0</v>
      </c>
    </row>
    <row r="4" spans="1:68" x14ac:dyDescent="0.25">
      <c r="A4" t="s">
        <v>121</v>
      </c>
      <c r="B4" t="s">
        <v>68</v>
      </c>
      <c r="D4" s="1">
        <v>46204</v>
      </c>
      <c r="E4" s="1">
        <v>47664</v>
      </c>
      <c r="F4" t="s">
        <v>122</v>
      </c>
      <c r="G4" t="s">
        <v>123</v>
      </c>
      <c r="H4" s="2" t="s">
        <v>124</v>
      </c>
      <c r="I4" t="s">
        <v>123</v>
      </c>
      <c r="K4" t="s">
        <v>125</v>
      </c>
      <c r="L4">
        <v>5116300</v>
      </c>
      <c r="M4" t="s">
        <v>126</v>
      </c>
      <c r="N4" t="s">
        <v>127</v>
      </c>
      <c r="O4" t="s">
        <v>128</v>
      </c>
      <c r="P4" t="s">
        <v>129</v>
      </c>
      <c r="Q4" t="s">
        <v>130</v>
      </c>
      <c r="R4" t="s">
        <v>131</v>
      </c>
      <c r="S4" t="s">
        <v>132</v>
      </c>
      <c r="T4" t="s">
        <v>133</v>
      </c>
      <c r="U4" t="s">
        <v>134</v>
      </c>
      <c r="V4" t="s">
        <v>82</v>
      </c>
      <c r="W4" t="s">
        <v>131</v>
      </c>
      <c r="X4" t="s">
        <v>132</v>
      </c>
      <c r="Y4" t="s">
        <v>133</v>
      </c>
      <c r="Z4" t="s">
        <v>134</v>
      </c>
      <c r="AA4" t="s">
        <v>82</v>
      </c>
      <c r="AB4" t="s">
        <v>83</v>
      </c>
      <c r="AC4" t="s">
        <v>135</v>
      </c>
      <c r="AD4" t="s">
        <v>136</v>
      </c>
      <c r="AE4" t="s">
        <v>137</v>
      </c>
      <c r="AF4" t="s">
        <v>136</v>
      </c>
      <c r="AG4" t="s">
        <v>138</v>
      </c>
      <c r="AH4">
        <v>5</v>
      </c>
      <c r="AI4">
        <v>461760</v>
      </c>
      <c r="AJ4">
        <v>60000</v>
      </c>
      <c r="AK4">
        <v>0</v>
      </c>
      <c r="AL4">
        <v>521760</v>
      </c>
      <c r="AM4" t="s">
        <v>131</v>
      </c>
      <c r="AN4" t="s">
        <v>132</v>
      </c>
      <c r="AO4" t="s">
        <v>133</v>
      </c>
      <c r="AP4" t="s">
        <v>134</v>
      </c>
      <c r="AQ4" t="s">
        <v>82</v>
      </c>
      <c r="AR4" t="s">
        <v>139</v>
      </c>
      <c r="AS4" s="3">
        <v>46202.465223999308</v>
      </c>
      <c r="AT4" t="s">
        <v>89</v>
      </c>
      <c r="AU4" t="s">
        <v>90</v>
      </c>
      <c r="AV4" t="s">
        <v>91</v>
      </c>
      <c r="AW4" t="s">
        <v>92</v>
      </c>
      <c r="AX4" t="s">
        <v>93</v>
      </c>
      <c r="AY4" t="s">
        <v>94</v>
      </c>
      <c r="AZ4" t="s">
        <v>85</v>
      </c>
      <c r="BA4" t="s">
        <v>140</v>
      </c>
      <c r="BB4" t="s">
        <v>121</v>
      </c>
      <c r="BC4" t="s">
        <v>123</v>
      </c>
      <c r="BD4" t="s">
        <v>131</v>
      </c>
      <c r="BE4" t="s">
        <v>132</v>
      </c>
      <c r="BF4" t="b">
        <f t="shared" si="0"/>
        <v>0</v>
      </c>
      <c r="BG4" t="b">
        <v>0</v>
      </c>
      <c r="BH4">
        <v>2010</v>
      </c>
      <c r="BI4" t="b">
        <v>0</v>
      </c>
      <c r="BJ4" t="s">
        <v>96</v>
      </c>
      <c r="BK4" t="s">
        <v>141</v>
      </c>
      <c r="BL4" t="b">
        <v>1</v>
      </c>
      <c r="BM4" t="b">
        <v>1</v>
      </c>
      <c r="BN4" t="b">
        <v>1</v>
      </c>
      <c r="BO4" t="s">
        <v>142</v>
      </c>
      <c r="BP4" t="b">
        <f>IF(IFERROR(VLOOKUP(A4,[1]Planilha1!$A:$A,1,0),FALSE)=FALSE,FALSE,TRUE)</f>
        <v>0</v>
      </c>
    </row>
    <row r="5" spans="1:68" x14ac:dyDescent="0.25">
      <c r="A5" t="s">
        <v>143</v>
      </c>
      <c r="B5" t="s">
        <v>68</v>
      </c>
      <c r="D5" s="1">
        <v>46204</v>
      </c>
      <c r="E5" s="1">
        <v>47664</v>
      </c>
      <c r="F5" t="s">
        <v>144</v>
      </c>
      <c r="G5" t="s">
        <v>145</v>
      </c>
      <c r="H5" s="2" t="s">
        <v>146</v>
      </c>
      <c r="I5" t="s">
        <v>145</v>
      </c>
      <c r="K5" t="s">
        <v>147</v>
      </c>
      <c r="L5">
        <v>5116591</v>
      </c>
      <c r="M5" t="s">
        <v>148</v>
      </c>
      <c r="N5" t="s">
        <v>74</v>
      </c>
      <c r="O5" t="s">
        <v>75</v>
      </c>
      <c r="P5" t="s">
        <v>76</v>
      </c>
      <c r="Q5" t="s">
        <v>77</v>
      </c>
      <c r="R5" t="s">
        <v>78</v>
      </c>
      <c r="S5" t="s">
        <v>79</v>
      </c>
      <c r="T5" t="s">
        <v>80</v>
      </c>
      <c r="U5" t="s">
        <v>81</v>
      </c>
      <c r="V5" t="s">
        <v>82</v>
      </c>
      <c r="W5" t="s">
        <v>78</v>
      </c>
      <c r="X5" t="s">
        <v>79</v>
      </c>
      <c r="Y5" t="s">
        <v>80</v>
      </c>
      <c r="Z5" t="s">
        <v>81</v>
      </c>
      <c r="AA5" t="s">
        <v>82</v>
      </c>
      <c r="AB5" t="s">
        <v>83</v>
      </c>
      <c r="AC5" t="s">
        <v>84</v>
      </c>
      <c r="AD5" t="s">
        <v>149</v>
      </c>
      <c r="AE5" t="s">
        <v>150</v>
      </c>
      <c r="AF5" t="s">
        <v>85</v>
      </c>
      <c r="AG5" t="s">
        <v>151</v>
      </c>
      <c r="AH5">
        <v>11</v>
      </c>
      <c r="AI5">
        <v>1054820</v>
      </c>
      <c r="AJ5">
        <v>149658.89000000001</v>
      </c>
      <c r="AK5">
        <v>0</v>
      </c>
      <c r="AL5">
        <v>1204478.8899999999</v>
      </c>
      <c r="AM5" t="s">
        <v>78</v>
      </c>
      <c r="AN5" t="s">
        <v>79</v>
      </c>
      <c r="AO5" t="s">
        <v>80</v>
      </c>
      <c r="AP5" t="s">
        <v>81</v>
      </c>
      <c r="AQ5" t="s">
        <v>82</v>
      </c>
      <c r="AR5" t="s">
        <v>152</v>
      </c>
      <c r="AS5" s="3">
        <v>46202.465223999308</v>
      </c>
      <c r="AT5" t="s">
        <v>89</v>
      </c>
      <c r="AU5" t="s">
        <v>90</v>
      </c>
      <c r="AV5" t="s">
        <v>91</v>
      </c>
      <c r="AW5" t="s">
        <v>92</v>
      </c>
      <c r="AX5" t="s">
        <v>93</v>
      </c>
      <c r="AY5" t="s">
        <v>94</v>
      </c>
      <c r="AZ5" t="s">
        <v>85</v>
      </c>
      <c r="BA5" t="s">
        <v>153</v>
      </c>
      <c r="BB5" t="s">
        <v>143</v>
      </c>
      <c r="BC5" t="s">
        <v>145</v>
      </c>
      <c r="BD5" t="s">
        <v>78</v>
      </c>
      <c r="BE5" t="s">
        <v>79</v>
      </c>
      <c r="BF5" t="b">
        <f t="shared" si="0"/>
        <v>1</v>
      </c>
      <c r="BG5" t="b">
        <v>1</v>
      </c>
      <c r="BH5">
        <v>1998</v>
      </c>
      <c r="BI5" t="b">
        <v>1</v>
      </c>
      <c r="BJ5" t="s">
        <v>96</v>
      </c>
      <c r="BK5" t="s">
        <v>97</v>
      </c>
      <c r="BL5" t="b">
        <v>1</v>
      </c>
      <c r="BM5" t="b">
        <v>1</v>
      </c>
      <c r="BN5" t="b">
        <v>1</v>
      </c>
      <c r="BO5" t="s">
        <v>154</v>
      </c>
      <c r="BP5" t="b">
        <f>IF(IFERROR(VLOOKUP(A5,[1]Planilha1!$A:$A,1,0),FALSE)=FALSE,FALSE,TRUE)</f>
        <v>1</v>
      </c>
    </row>
    <row r="6" spans="1:68" x14ac:dyDescent="0.25">
      <c r="A6" t="s">
        <v>155</v>
      </c>
      <c r="B6" t="s">
        <v>68</v>
      </c>
      <c r="D6" s="1">
        <v>46204</v>
      </c>
      <c r="E6" s="1">
        <v>47664</v>
      </c>
      <c r="F6" t="s">
        <v>156</v>
      </c>
      <c r="G6" t="s">
        <v>157</v>
      </c>
      <c r="H6" s="2" t="s">
        <v>158</v>
      </c>
      <c r="I6" t="s">
        <v>157</v>
      </c>
      <c r="K6" t="s">
        <v>159</v>
      </c>
      <c r="L6">
        <v>5111149</v>
      </c>
      <c r="M6" t="s">
        <v>160</v>
      </c>
      <c r="N6" t="s">
        <v>161</v>
      </c>
      <c r="O6" t="s">
        <v>162</v>
      </c>
      <c r="P6" t="s">
        <v>76</v>
      </c>
      <c r="Q6" t="s">
        <v>163</v>
      </c>
      <c r="R6" t="s">
        <v>164</v>
      </c>
      <c r="S6" t="s">
        <v>165</v>
      </c>
      <c r="T6" t="s">
        <v>80</v>
      </c>
      <c r="U6" t="s">
        <v>81</v>
      </c>
      <c r="V6" t="s">
        <v>82</v>
      </c>
      <c r="W6" t="s">
        <v>164</v>
      </c>
      <c r="X6" t="s">
        <v>165</v>
      </c>
      <c r="Y6" t="s">
        <v>80</v>
      </c>
      <c r="Z6" t="s">
        <v>81</v>
      </c>
      <c r="AA6" t="s">
        <v>82</v>
      </c>
      <c r="AB6" t="s">
        <v>83</v>
      </c>
      <c r="AC6" t="s">
        <v>166</v>
      </c>
      <c r="AD6" t="s">
        <v>167</v>
      </c>
      <c r="AE6" t="s">
        <v>168</v>
      </c>
      <c r="AF6" t="s">
        <v>167</v>
      </c>
      <c r="AG6" t="s">
        <v>169</v>
      </c>
      <c r="AH6">
        <v>8</v>
      </c>
      <c r="AI6">
        <v>1394640</v>
      </c>
      <c r="AJ6">
        <v>104200</v>
      </c>
      <c r="AK6">
        <v>0</v>
      </c>
      <c r="AL6">
        <v>1498840</v>
      </c>
      <c r="AM6" t="s">
        <v>164</v>
      </c>
      <c r="AN6" t="s">
        <v>165</v>
      </c>
      <c r="AO6" t="s">
        <v>80</v>
      </c>
      <c r="AP6" t="s">
        <v>81</v>
      </c>
      <c r="AQ6" t="s">
        <v>82</v>
      </c>
      <c r="AR6" t="s">
        <v>170</v>
      </c>
      <c r="AS6" s="3">
        <v>46202.465223999308</v>
      </c>
      <c r="AT6" t="s">
        <v>89</v>
      </c>
      <c r="AU6" t="s">
        <v>90</v>
      </c>
      <c r="AV6" t="s">
        <v>91</v>
      </c>
      <c r="AW6" t="s">
        <v>92</v>
      </c>
      <c r="AX6" t="s">
        <v>93</v>
      </c>
      <c r="AY6" t="s">
        <v>94</v>
      </c>
      <c r="AZ6" t="s">
        <v>85</v>
      </c>
      <c r="BA6" t="s">
        <v>171</v>
      </c>
      <c r="BB6" t="s">
        <v>155</v>
      </c>
      <c r="BC6" t="s">
        <v>157</v>
      </c>
      <c r="BD6" t="s">
        <v>164</v>
      </c>
      <c r="BE6" t="s">
        <v>165</v>
      </c>
      <c r="BF6" t="b">
        <f t="shared" si="0"/>
        <v>0</v>
      </c>
      <c r="BG6" t="b">
        <v>0</v>
      </c>
      <c r="BH6">
        <v>2017</v>
      </c>
      <c r="BI6" t="b">
        <v>0</v>
      </c>
      <c r="BJ6" t="s">
        <v>96</v>
      </c>
      <c r="BK6" t="s">
        <v>119</v>
      </c>
      <c r="BL6" t="b">
        <v>1</v>
      </c>
      <c r="BM6" t="b">
        <v>1</v>
      </c>
      <c r="BN6" t="b">
        <v>1</v>
      </c>
      <c r="BO6" t="s">
        <v>172</v>
      </c>
      <c r="BP6" t="b">
        <f>IF(IFERROR(VLOOKUP(A6,[1]Planilha1!$A:$A,1,0),FALSE)=FALSE,FALSE,TRUE)</f>
        <v>0</v>
      </c>
    </row>
    <row r="7" spans="1:68" x14ac:dyDescent="0.25">
      <c r="A7" t="s">
        <v>173</v>
      </c>
      <c r="B7" t="s">
        <v>68</v>
      </c>
      <c r="D7" s="1">
        <v>46204</v>
      </c>
      <c r="E7" s="1">
        <v>47664</v>
      </c>
      <c r="F7" t="s">
        <v>174</v>
      </c>
      <c r="G7" t="s">
        <v>175</v>
      </c>
      <c r="H7" s="2" t="s">
        <v>176</v>
      </c>
      <c r="I7" t="s">
        <v>175</v>
      </c>
      <c r="K7" t="s">
        <v>177</v>
      </c>
      <c r="L7">
        <v>5110772</v>
      </c>
      <c r="M7" t="s">
        <v>178</v>
      </c>
      <c r="N7" t="s">
        <v>179</v>
      </c>
      <c r="O7" t="s">
        <v>180</v>
      </c>
      <c r="P7" t="s">
        <v>129</v>
      </c>
      <c r="Q7" t="s">
        <v>181</v>
      </c>
      <c r="R7" t="s">
        <v>182</v>
      </c>
      <c r="S7" t="s">
        <v>183</v>
      </c>
      <c r="T7" t="s">
        <v>184</v>
      </c>
      <c r="U7" t="s">
        <v>112</v>
      </c>
      <c r="V7" t="s">
        <v>82</v>
      </c>
      <c r="W7" t="s">
        <v>182</v>
      </c>
      <c r="X7" t="s">
        <v>183</v>
      </c>
      <c r="Y7" t="s">
        <v>184</v>
      </c>
      <c r="Z7" t="s">
        <v>112</v>
      </c>
      <c r="AA7" t="s">
        <v>82</v>
      </c>
      <c r="AB7" t="s">
        <v>83</v>
      </c>
      <c r="AC7" t="s">
        <v>185</v>
      </c>
      <c r="AD7" t="s">
        <v>186</v>
      </c>
      <c r="AE7" t="s">
        <v>187</v>
      </c>
      <c r="AF7" t="s">
        <v>186</v>
      </c>
      <c r="AG7" t="s">
        <v>188</v>
      </c>
      <c r="AH7">
        <v>6</v>
      </c>
      <c r="AI7">
        <v>1272960</v>
      </c>
      <c r="AJ7">
        <v>119000</v>
      </c>
      <c r="AK7">
        <v>0</v>
      </c>
      <c r="AL7">
        <v>1391960</v>
      </c>
      <c r="AR7" t="s">
        <v>189</v>
      </c>
      <c r="AS7" s="3">
        <v>46202.465223999308</v>
      </c>
      <c r="AT7" t="s">
        <v>89</v>
      </c>
      <c r="AU7" t="s">
        <v>90</v>
      </c>
      <c r="AV7" t="s">
        <v>91</v>
      </c>
      <c r="AW7" t="s">
        <v>92</v>
      </c>
      <c r="AX7" t="s">
        <v>93</v>
      </c>
      <c r="AY7" t="s">
        <v>94</v>
      </c>
      <c r="AZ7" t="s">
        <v>85</v>
      </c>
      <c r="BA7" t="s">
        <v>190</v>
      </c>
      <c r="BB7" t="s">
        <v>173</v>
      </c>
      <c r="BC7" t="s">
        <v>175</v>
      </c>
      <c r="BD7" t="s">
        <v>182</v>
      </c>
      <c r="BE7" t="s">
        <v>183</v>
      </c>
      <c r="BF7" t="b">
        <f t="shared" si="0"/>
        <v>1</v>
      </c>
      <c r="BG7" t="b">
        <v>1</v>
      </c>
      <c r="BH7">
        <v>2007</v>
      </c>
      <c r="BI7" t="b">
        <v>1</v>
      </c>
      <c r="BJ7" t="s">
        <v>96</v>
      </c>
      <c r="BK7" t="s">
        <v>191</v>
      </c>
      <c r="BL7" t="b">
        <v>1</v>
      </c>
      <c r="BM7" t="b">
        <v>1</v>
      </c>
      <c r="BN7" t="b">
        <v>1</v>
      </c>
      <c r="BO7" t="s">
        <v>192</v>
      </c>
      <c r="BP7" t="b">
        <f>IF(IFERROR(VLOOKUP(A7,[1]Planilha1!$A:$A,1,0),FALSE)=FALSE,FALSE,TRUE)</f>
        <v>1</v>
      </c>
    </row>
    <row r="8" spans="1:68" x14ac:dyDescent="0.25">
      <c r="A8" t="s">
        <v>193</v>
      </c>
      <c r="B8" t="s">
        <v>68</v>
      </c>
      <c r="D8" s="1">
        <v>46204</v>
      </c>
      <c r="E8" s="1">
        <v>47664</v>
      </c>
      <c r="F8" t="s">
        <v>194</v>
      </c>
      <c r="G8" t="s">
        <v>195</v>
      </c>
      <c r="H8" s="2" t="s">
        <v>196</v>
      </c>
      <c r="I8" t="s">
        <v>195</v>
      </c>
      <c r="K8" t="s">
        <v>197</v>
      </c>
      <c r="L8">
        <v>5116744</v>
      </c>
      <c r="M8" t="s">
        <v>198</v>
      </c>
      <c r="N8" t="s">
        <v>199</v>
      </c>
      <c r="O8" t="s">
        <v>200</v>
      </c>
      <c r="P8" t="s">
        <v>107</v>
      </c>
      <c r="Q8" t="s">
        <v>201</v>
      </c>
      <c r="R8" t="s">
        <v>182</v>
      </c>
      <c r="S8" t="s">
        <v>183</v>
      </c>
      <c r="T8" t="s">
        <v>184</v>
      </c>
      <c r="U8" t="s">
        <v>112</v>
      </c>
      <c r="V8" t="s">
        <v>82</v>
      </c>
      <c r="W8" t="s">
        <v>182</v>
      </c>
      <c r="X8" t="s">
        <v>183</v>
      </c>
      <c r="Y8" t="s">
        <v>184</v>
      </c>
      <c r="Z8" t="s">
        <v>112</v>
      </c>
      <c r="AA8" t="s">
        <v>82</v>
      </c>
      <c r="AB8" t="s">
        <v>83</v>
      </c>
      <c r="AC8" t="s">
        <v>202</v>
      </c>
      <c r="AD8" t="s">
        <v>149</v>
      </c>
      <c r="AE8" t="s">
        <v>203</v>
      </c>
      <c r="AF8" t="s">
        <v>85</v>
      </c>
      <c r="AG8" t="s">
        <v>204</v>
      </c>
      <c r="AH8">
        <v>3</v>
      </c>
      <c r="AI8">
        <v>542880</v>
      </c>
      <c r="AJ8">
        <v>78416</v>
      </c>
      <c r="AK8">
        <v>0</v>
      </c>
      <c r="AL8">
        <v>621296</v>
      </c>
      <c r="AM8" t="s">
        <v>182</v>
      </c>
      <c r="AN8" t="s">
        <v>183</v>
      </c>
      <c r="AO8" t="s">
        <v>184</v>
      </c>
      <c r="AP8" t="s">
        <v>112</v>
      </c>
      <c r="AQ8" t="s">
        <v>82</v>
      </c>
      <c r="AR8" t="s">
        <v>205</v>
      </c>
      <c r="AS8" s="3">
        <v>46202.465223999308</v>
      </c>
      <c r="AT8" t="s">
        <v>89</v>
      </c>
      <c r="AU8" t="s">
        <v>90</v>
      </c>
      <c r="AV8" t="s">
        <v>91</v>
      </c>
      <c r="AW8" t="s">
        <v>92</v>
      </c>
      <c r="AX8" t="s">
        <v>93</v>
      </c>
      <c r="AY8" t="s">
        <v>94</v>
      </c>
      <c r="AZ8" t="s">
        <v>85</v>
      </c>
      <c r="BA8" t="s">
        <v>206</v>
      </c>
      <c r="BB8" t="s">
        <v>193</v>
      </c>
      <c r="BC8" t="s">
        <v>195</v>
      </c>
      <c r="BD8" t="s">
        <v>182</v>
      </c>
      <c r="BE8" t="s">
        <v>183</v>
      </c>
      <c r="BF8" t="b">
        <f t="shared" si="0"/>
        <v>1</v>
      </c>
      <c r="BG8" t="b">
        <v>1</v>
      </c>
      <c r="BH8">
        <v>2012</v>
      </c>
      <c r="BI8" t="b">
        <v>1</v>
      </c>
      <c r="BJ8" t="s">
        <v>96</v>
      </c>
      <c r="BK8" t="s">
        <v>191</v>
      </c>
      <c r="BL8" t="b">
        <v>1</v>
      </c>
      <c r="BM8" t="b">
        <v>1</v>
      </c>
      <c r="BN8" t="b">
        <v>1</v>
      </c>
      <c r="BO8" t="s">
        <v>207</v>
      </c>
      <c r="BP8" t="b">
        <f>IF(IFERROR(VLOOKUP(A8,[1]Planilha1!$A:$A,1,0),FALSE)=FALSE,FALSE,TRUE)</f>
        <v>1</v>
      </c>
    </row>
    <row r="9" spans="1:68" x14ac:dyDescent="0.25">
      <c r="A9" t="s">
        <v>208</v>
      </c>
      <c r="B9" t="s">
        <v>68</v>
      </c>
      <c r="D9" s="1">
        <v>46204</v>
      </c>
      <c r="E9" s="1">
        <v>47664</v>
      </c>
      <c r="F9" t="s">
        <v>209</v>
      </c>
      <c r="G9" t="s">
        <v>210</v>
      </c>
      <c r="H9" s="2" t="s">
        <v>211</v>
      </c>
      <c r="I9" t="s">
        <v>210</v>
      </c>
      <c r="K9" t="s">
        <v>212</v>
      </c>
      <c r="L9">
        <v>5116558</v>
      </c>
      <c r="M9" t="s">
        <v>213</v>
      </c>
      <c r="N9" t="s">
        <v>214</v>
      </c>
      <c r="O9" t="s">
        <v>215</v>
      </c>
      <c r="P9" t="s">
        <v>76</v>
      </c>
      <c r="Q9" t="s">
        <v>216</v>
      </c>
      <c r="R9" t="s">
        <v>78</v>
      </c>
      <c r="S9" t="s">
        <v>79</v>
      </c>
      <c r="T9" t="s">
        <v>80</v>
      </c>
      <c r="U9" t="s">
        <v>81</v>
      </c>
      <c r="V9" t="s">
        <v>82</v>
      </c>
      <c r="W9" t="s">
        <v>78</v>
      </c>
      <c r="X9" t="s">
        <v>79</v>
      </c>
      <c r="Y9" t="s">
        <v>80</v>
      </c>
      <c r="Z9" t="s">
        <v>81</v>
      </c>
      <c r="AA9" t="s">
        <v>82</v>
      </c>
      <c r="AB9" t="s">
        <v>83</v>
      </c>
      <c r="AC9" t="s">
        <v>84</v>
      </c>
      <c r="AD9" t="s">
        <v>149</v>
      </c>
      <c r="AE9" t="s">
        <v>217</v>
      </c>
      <c r="AF9" t="s">
        <v>85</v>
      </c>
      <c r="AG9" t="s">
        <v>218</v>
      </c>
      <c r="AH9">
        <v>14</v>
      </c>
      <c r="AI9">
        <v>1041040</v>
      </c>
      <c r="AJ9">
        <v>146561.04999999999</v>
      </c>
      <c r="AK9">
        <v>0</v>
      </c>
      <c r="AL9">
        <v>1187601.05</v>
      </c>
      <c r="AM9" t="s">
        <v>78</v>
      </c>
      <c r="AN9" t="s">
        <v>79</v>
      </c>
      <c r="AO9" t="s">
        <v>80</v>
      </c>
      <c r="AP9" t="s">
        <v>81</v>
      </c>
      <c r="AQ9" t="s">
        <v>82</v>
      </c>
      <c r="AR9" t="s">
        <v>219</v>
      </c>
      <c r="AS9" s="3">
        <v>46202.465223999308</v>
      </c>
      <c r="AT9" t="s">
        <v>89</v>
      </c>
      <c r="AU9" t="s">
        <v>90</v>
      </c>
      <c r="AV9" t="s">
        <v>91</v>
      </c>
      <c r="AW9" t="s">
        <v>92</v>
      </c>
      <c r="AX9" t="s">
        <v>93</v>
      </c>
      <c r="AY9" t="s">
        <v>94</v>
      </c>
      <c r="AZ9" t="s">
        <v>85</v>
      </c>
      <c r="BA9" t="s">
        <v>220</v>
      </c>
      <c r="BB9" t="s">
        <v>208</v>
      </c>
      <c r="BC9" t="s">
        <v>210</v>
      </c>
      <c r="BD9" t="s">
        <v>78</v>
      </c>
      <c r="BE9" t="s">
        <v>79</v>
      </c>
      <c r="BF9" t="b">
        <f t="shared" si="0"/>
        <v>1</v>
      </c>
      <c r="BG9" t="b">
        <v>1</v>
      </c>
      <c r="BH9">
        <v>2012</v>
      </c>
      <c r="BI9" t="b">
        <v>1</v>
      </c>
      <c r="BJ9" t="s">
        <v>96</v>
      </c>
      <c r="BK9" t="s">
        <v>97</v>
      </c>
      <c r="BL9" t="b">
        <v>1</v>
      </c>
      <c r="BM9" t="b">
        <v>1</v>
      </c>
      <c r="BN9" t="b">
        <v>1</v>
      </c>
      <c r="BO9" t="s">
        <v>221</v>
      </c>
      <c r="BP9" t="b">
        <f>IF(IFERROR(VLOOKUP(A9,[1]Planilha1!$A:$A,1,0),FALSE)=FALSE,FALSE,TRUE)</f>
        <v>1</v>
      </c>
    </row>
    <row r="10" spans="1:68" x14ac:dyDescent="0.25">
      <c r="A10" t="s">
        <v>222</v>
      </c>
      <c r="B10" t="s">
        <v>68</v>
      </c>
      <c r="D10" s="1">
        <v>46204</v>
      </c>
      <c r="E10" s="1">
        <v>47664</v>
      </c>
      <c r="F10" t="s">
        <v>223</v>
      </c>
      <c r="G10" t="s">
        <v>224</v>
      </c>
      <c r="H10" s="2" t="s">
        <v>225</v>
      </c>
      <c r="I10" t="s">
        <v>224</v>
      </c>
      <c r="K10" t="s">
        <v>226</v>
      </c>
      <c r="L10">
        <v>5114814</v>
      </c>
      <c r="M10" t="s">
        <v>227</v>
      </c>
      <c r="N10" t="s">
        <v>228</v>
      </c>
      <c r="O10" t="s">
        <v>229</v>
      </c>
      <c r="P10" t="s">
        <v>230</v>
      </c>
      <c r="Q10" t="s">
        <v>231</v>
      </c>
      <c r="R10" t="s">
        <v>232</v>
      </c>
      <c r="S10" t="s">
        <v>233</v>
      </c>
      <c r="T10" t="s">
        <v>234</v>
      </c>
      <c r="U10" t="s">
        <v>112</v>
      </c>
      <c r="V10" t="s">
        <v>82</v>
      </c>
      <c r="W10" t="s">
        <v>232</v>
      </c>
      <c r="X10" t="s">
        <v>233</v>
      </c>
      <c r="Y10" t="s">
        <v>234</v>
      </c>
      <c r="Z10" t="s">
        <v>112</v>
      </c>
      <c r="AA10" t="s">
        <v>82</v>
      </c>
      <c r="AB10" t="s">
        <v>83</v>
      </c>
      <c r="AC10" t="s">
        <v>235</v>
      </c>
      <c r="AD10" t="s">
        <v>236</v>
      </c>
      <c r="AE10" t="s">
        <v>237</v>
      </c>
      <c r="AF10" t="s">
        <v>238</v>
      </c>
      <c r="AG10" t="s">
        <v>239</v>
      </c>
      <c r="AH10">
        <v>5</v>
      </c>
      <c r="AI10">
        <v>1110720</v>
      </c>
      <c r="AJ10">
        <v>61000</v>
      </c>
      <c r="AK10">
        <v>0</v>
      </c>
      <c r="AL10">
        <v>1171720</v>
      </c>
      <c r="AM10" t="s">
        <v>232</v>
      </c>
      <c r="AN10" t="s">
        <v>233</v>
      </c>
      <c r="AO10" t="s">
        <v>234</v>
      </c>
      <c r="AP10" t="s">
        <v>112</v>
      </c>
      <c r="AQ10" t="s">
        <v>82</v>
      </c>
      <c r="AR10" t="s">
        <v>240</v>
      </c>
      <c r="AS10" s="3">
        <v>46202.465223999308</v>
      </c>
      <c r="AT10" t="s">
        <v>89</v>
      </c>
      <c r="AU10" t="s">
        <v>90</v>
      </c>
      <c r="AV10" t="s">
        <v>91</v>
      </c>
      <c r="AW10" t="s">
        <v>92</v>
      </c>
      <c r="AX10" t="s">
        <v>93</v>
      </c>
      <c r="AY10" t="s">
        <v>94</v>
      </c>
      <c r="AZ10" t="s">
        <v>85</v>
      </c>
      <c r="BA10" t="s">
        <v>241</v>
      </c>
      <c r="BB10" t="s">
        <v>222</v>
      </c>
      <c r="BC10" t="s">
        <v>224</v>
      </c>
      <c r="BD10" t="s">
        <v>232</v>
      </c>
      <c r="BE10" t="s">
        <v>233</v>
      </c>
      <c r="BF10" t="b">
        <f t="shared" si="0"/>
        <v>0</v>
      </c>
      <c r="BG10" t="b">
        <v>0</v>
      </c>
      <c r="BH10">
        <v>2016</v>
      </c>
      <c r="BI10" t="b">
        <v>0</v>
      </c>
      <c r="BJ10" t="s">
        <v>96</v>
      </c>
      <c r="BK10" t="s">
        <v>119</v>
      </c>
      <c r="BL10" t="b">
        <v>1</v>
      </c>
      <c r="BM10" t="b">
        <v>1</v>
      </c>
      <c r="BN10" t="b">
        <v>1</v>
      </c>
      <c r="BO10" t="s">
        <v>242</v>
      </c>
      <c r="BP10" t="b">
        <f>IF(IFERROR(VLOOKUP(A10,[1]Planilha1!$A:$A,1,0),FALSE)=FALSE,FALSE,TRUE)</f>
        <v>0</v>
      </c>
    </row>
    <row r="11" spans="1:68" x14ac:dyDescent="0.25">
      <c r="A11" t="s">
        <v>243</v>
      </c>
      <c r="B11" t="s">
        <v>68</v>
      </c>
      <c r="D11" s="1">
        <v>46204</v>
      </c>
      <c r="E11" s="1">
        <v>47664</v>
      </c>
      <c r="F11" t="s">
        <v>244</v>
      </c>
      <c r="G11" t="s">
        <v>245</v>
      </c>
      <c r="H11" s="2" t="s">
        <v>246</v>
      </c>
      <c r="I11" t="s">
        <v>245</v>
      </c>
      <c r="K11" t="s">
        <v>247</v>
      </c>
      <c r="L11">
        <v>5116475</v>
      </c>
      <c r="M11" t="s">
        <v>248</v>
      </c>
      <c r="N11" t="s">
        <v>249</v>
      </c>
      <c r="O11" t="s">
        <v>250</v>
      </c>
      <c r="P11" t="s">
        <v>76</v>
      </c>
      <c r="Q11" t="s">
        <v>251</v>
      </c>
      <c r="R11" t="s">
        <v>78</v>
      </c>
      <c r="S11" t="s">
        <v>79</v>
      </c>
      <c r="T11" t="s">
        <v>80</v>
      </c>
      <c r="U11" t="s">
        <v>81</v>
      </c>
      <c r="V11" t="s">
        <v>82</v>
      </c>
      <c r="W11" t="s">
        <v>78</v>
      </c>
      <c r="X11" t="s">
        <v>79</v>
      </c>
      <c r="Y11" t="s">
        <v>80</v>
      </c>
      <c r="Z11" t="s">
        <v>81</v>
      </c>
      <c r="AA11" t="s">
        <v>82</v>
      </c>
      <c r="AB11" t="s">
        <v>83</v>
      </c>
      <c r="AC11" t="s">
        <v>202</v>
      </c>
      <c r="AD11" t="s">
        <v>252</v>
      </c>
      <c r="AE11" t="s">
        <v>253</v>
      </c>
      <c r="AF11" t="s">
        <v>252</v>
      </c>
      <c r="AG11" t="s">
        <v>254</v>
      </c>
      <c r="AH11">
        <v>10</v>
      </c>
      <c r="AI11">
        <v>1299300</v>
      </c>
      <c r="AJ11">
        <v>130000</v>
      </c>
      <c r="AK11">
        <v>0</v>
      </c>
      <c r="AL11">
        <v>1429300</v>
      </c>
      <c r="AM11" t="s">
        <v>78</v>
      </c>
      <c r="AN11" t="s">
        <v>79</v>
      </c>
      <c r="AO11" t="s">
        <v>80</v>
      </c>
      <c r="AP11" t="s">
        <v>81</v>
      </c>
      <c r="AQ11" t="s">
        <v>82</v>
      </c>
      <c r="AR11" t="s">
        <v>255</v>
      </c>
      <c r="AS11" s="3">
        <v>46202.465223999308</v>
      </c>
      <c r="AT11" t="s">
        <v>89</v>
      </c>
      <c r="AU11" t="s">
        <v>90</v>
      </c>
      <c r="AV11" t="s">
        <v>91</v>
      </c>
      <c r="AW11" t="s">
        <v>92</v>
      </c>
      <c r="AX11" t="s">
        <v>93</v>
      </c>
      <c r="AY11" t="s">
        <v>94</v>
      </c>
      <c r="AZ11" t="s">
        <v>85</v>
      </c>
      <c r="BA11" t="s">
        <v>256</v>
      </c>
      <c r="BB11" t="s">
        <v>243</v>
      </c>
      <c r="BC11" t="s">
        <v>245</v>
      </c>
      <c r="BD11" t="s">
        <v>78</v>
      </c>
      <c r="BE11" t="s">
        <v>79</v>
      </c>
      <c r="BF11" t="b">
        <f t="shared" si="0"/>
        <v>1</v>
      </c>
      <c r="BG11" t="b">
        <v>1</v>
      </c>
      <c r="BH11">
        <v>2005</v>
      </c>
      <c r="BI11" t="b">
        <v>1</v>
      </c>
      <c r="BJ11" t="s">
        <v>96</v>
      </c>
      <c r="BK11" t="s">
        <v>97</v>
      </c>
      <c r="BL11" t="b">
        <v>1</v>
      </c>
      <c r="BM11" t="b">
        <v>1</v>
      </c>
      <c r="BN11" t="b">
        <v>1</v>
      </c>
      <c r="BO11" t="s">
        <v>257</v>
      </c>
      <c r="BP11" t="b">
        <f>IF(IFERROR(VLOOKUP(A11,[1]Planilha1!$A:$A,1,0),FALSE)=FALSE,FALSE,TRUE)</f>
        <v>1</v>
      </c>
    </row>
    <row r="12" spans="1:68" x14ac:dyDescent="0.25">
      <c r="A12" t="s">
        <v>258</v>
      </c>
      <c r="B12" t="s">
        <v>68</v>
      </c>
      <c r="D12" s="1">
        <v>46204</v>
      </c>
      <c r="E12" s="1">
        <v>47664</v>
      </c>
      <c r="F12" t="s">
        <v>259</v>
      </c>
      <c r="G12" t="s">
        <v>260</v>
      </c>
      <c r="H12" s="2" t="s">
        <v>261</v>
      </c>
      <c r="I12" t="s">
        <v>260</v>
      </c>
      <c r="K12" t="s">
        <v>262</v>
      </c>
      <c r="L12">
        <v>5115674</v>
      </c>
      <c r="M12" t="s">
        <v>263</v>
      </c>
      <c r="N12" t="s">
        <v>199</v>
      </c>
      <c r="O12" t="s">
        <v>200</v>
      </c>
      <c r="P12" t="s">
        <v>107</v>
      </c>
      <c r="Q12" t="s">
        <v>264</v>
      </c>
      <c r="R12" t="s">
        <v>265</v>
      </c>
      <c r="S12" t="s">
        <v>266</v>
      </c>
      <c r="T12" t="s">
        <v>184</v>
      </c>
      <c r="U12" t="s">
        <v>112</v>
      </c>
      <c r="V12" t="s">
        <v>82</v>
      </c>
      <c r="W12" t="s">
        <v>265</v>
      </c>
      <c r="X12" t="s">
        <v>266</v>
      </c>
      <c r="Y12" t="s">
        <v>184</v>
      </c>
      <c r="Z12" t="s">
        <v>112</v>
      </c>
      <c r="AA12" t="s">
        <v>82</v>
      </c>
      <c r="AB12" t="s">
        <v>83</v>
      </c>
      <c r="AC12" t="s">
        <v>202</v>
      </c>
      <c r="AD12" t="s">
        <v>267</v>
      </c>
      <c r="AE12" t="s">
        <v>268</v>
      </c>
      <c r="AF12" t="s">
        <v>267</v>
      </c>
      <c r="AG12" t="s">
        <v>269</v>
      </c>
      <c r="AH12">
        <v>6</v>
      </c>
      <c r="AI12">
        <v>1048320</v>
      </c>
      <c r="AJ12">
        <v>120000</v>
      </c>
      <c r="AK12">
        <v>0</v>
      </c>
      <c r="AL12">
        <v>1168320</v>
      </c>
      <c r="AM12" t="s">
        <v>182</v>
      </c>
      <c r="AN12" t="s">
        <v>183</v>
      </c>
      <c r="AO12" t="s">
        <v>184</v>
      </c>
      <c r="AP12" t="s">
        <v>112</v>
      </c>
      <c r="AQ12" t="s">
        <v>82</v>
      </c>
      <c r="AR12" t="s">
        <v>270</v>
      </c>
      <c r="AS12" s="3">
        <v>46202.465223999308</v>
      </c>
      <c r="AT12" t="s">
        <v>89</v>
      </c>
      <c r="AU12" t="s">
        <v>90</v>
      </c>
      <c r="AV12" t="s">
        <v>91</v>
      </c>
      <c r="AW12" t="s">
        <v>92</v>
      </c>
      <c r="AX12" t="s">
        <v>93</v>
      </c>
      <c r="AY12" t="s">
        <v>94</v>
      </c>
      <c r="AZ12" t="s">
        <v>85</v>
      </c>
      <c r="BA12" t="s">
        <v>271</v>
      </c>
      <c r="BB12" t="s">
        <v>258</v>
      </c>
      <c r="BC12" t="s">
        <v>260</v>
      </c>
      <c r="BD12" t="s">
        <v>265</v>
      </c>
      <c r="BE12" t="s">
        <v>266</v>
      </c>
      <c r="BF12" t="b">
        <f t="shared" si="0"/>
        <v>1</v>
      </c>
      <c r="BG12" t="b">
        <v>1</v>
      </c>
      <c r="BH12">
        <v>2002</v>
      </c>
      <c r="BI12" t="b">
        <v>1</v>
      </c>
      <c r="BJ12" t="s">
        <v>96</v>
      </c>
      <c r="BK12" t="s">
        <v>272</v>
      </c>
      <c r="BL12" t="b">
        <v>1</v>
      </c>
      <c r="BM12" t="b">
        <v>1</v>
      </c>
      <c r="BN12" t="b">
        <v>1</v>
      </c>
      <c r="BO12" t="s">
        <v>273</v>
      </c>
      <c r="BP12" t="b">
        <f>IF(IFERROR(VLOOKUP(A12,[1]Planilha1!$A:$A,1,0),FALSE)=FALSE,FALSE,TRUE)</f>
        <v>1</v>
      </c>
    </row>
    <row r="13" spans="1:68" x14ac:dyDescent="0.25">
      <c r="A13" t="s">
        <v>274</v>
      </c>
      <c r="B13" t="s">
        <v>68</v>
      </c>
      <c r="D13" s="1">
        <v>46204</v>
      </c>
      <c r="E13" s="1">
        <v>47664</v>
      </c>
      <c r="F13" t="s">
        <v>275</v>
      </c>
      <c r="G13" t="s">
        <v>276</v>
      </c>
      <c r="H13" s="2" t="s">
        <v>277</v>
      </c>
      <c r="I13" t="s">
        <v>276</v>
      </c>
      <c r="K13" t="s">
        <v>278</v>
      </c>
      <c r="L13">
        <v>5116868</v>
      </c>
      <c r="M13" t="s">
        <v>279</v>
      </c>
      <c r="N13" t="s">
        <v>199</v>
      </c>
      <c r="O13" t="s">
        <v>200</v>
      </c>
      <c r="P13" t="s">
        <v>107</v>
      </c>
      <c r="Q13" t="s">
        <v>280</v>
      </c>
      <c r="R13" t="s">
        <v>281</v>
      </c>
      <c r="S13" t="s">
        <v>282</v>
      </c>
      <c r="T13" t="s">
        <v>111</v>
      </c>
      <c r="U13" t="s">
        <v>112</v>
      </c>
      <c r="V13" t="s">
        <v>82</v>
      </c>
      <c r="W13" t="s">
        <v>281</v>
      </c>
      <c r="X13" t="s">
        <v>282</v>
      </c>
      <c r="Y13" t="s">
        <v>111</v>
      </c>
      <c r="Z13" t="s">
        <v>112</v>
      </c>
      <c r="AA13" t="s">
        <v>82</v>
      </c>
      <c r="AB13" t="s">
        <v>83</v>
      </c>
      <c r="AC13" t="s">
        <v>202</v>
      </c>
      <c r="AD13" t="s">
        <v>85</v>
      </c>
      <c r="AE13" t="s">
        <v>283</v>
      </c>
      <c r="AF13" t="s">
        <v>85</v>
      </c>
      <c r="AG13" t="s">
        <v>284</v>
      </c>
      <c r="AH13">
        <v>5</v>
      </c>
      <c r="AI13">
        <v>982800</v>
      </c>
      <c r="AJ13">
        <v>130670</v>
      </c>
      <c r="AK13">
        <v>0</v>
      </c>
      <c r="AL13">
        <v>1113470</v>
      </c>
      <c r="AR13" t="s">
        <v>285</v>
      </c>
      <c r="AS13" s="3">
        <v>46202.465223999308</v>
      </c>
      <c r="AT13" t="s">
        <v>89</v>
      </c>
      <c r="AU13" t="s">
        <v>90</v>
      </c>
      <c r="AV13" t="s">
        <v>91</v>
      </c>
      <c r="AW13" t="s">
        <v>92</v>
      </c>
      <c r="AX13" t="s">
        <v>93</v>
      </c>
      <c r="AY13" t="s">
        <v>94</v>
      </c>
      <c r="AZ13" t="s">
        <v>85</v>
      </c>
      <c r="BA13" t="s">
        <v>286</v>
      </c>
      <c r="BB13" t="s">
        <v>274</v>
      </c>
      <c r="BC13" t="s">
        <v>276</v>
      </c>
      <c r="BD13" t="s">
        <v>281</v>
      </c>
      <c r="BE13" t="s">
        <v>282</v>
      </c>
      <c r="BF13" t="b">
        <f t="shared" si="0"/>
        <v>0</v>
      </c>
      <c r="BG13" t="b">
        <v>1</v>
      </c>
      <c r="BH13">
        <v>1992</v>
      </c>
      <c r="BI13" t="b">
        <v>0</v>
      </c>
      <c r="BJ13" t="s">
        <v>96</v>
      </c>
      <c r="BK13" t="s">
        <v>287</v>
      </c>
      <c r="BL13" t="b">
        <v>1</v>
      </c>
      <c r="BM13" t="b">
        <v>1</v>
      </c>
      <c r="BN13" t="b">
        <v>1</v>
      </c>
      <c r="BO13" t="s">
        <v>288</v>
      </c>
      <c r="BP13" t="b">
        <f>IF(IFERROR(VLOOKUP(A13,[1]Planilha1!$A:$A,1,0),FALSE)=FALSE,FALSE,TRUE)</f>
        <v>0</v>
      </c>
    </row>
    <row r="14" spans="1:68" x14ac:dyDescent="0.25">
      <c r="A14" t="s">
        <v>289</v>
      </c>
      <c r="B14" t="s">
        <v>68</v>
      </c>
      <c r="D14" s="1">
        <v>46204</v>
      </c>
      <c r="E14" s="1">
        <v>47664</v>
      </c>
      <c r="F14" t="s">
        <v>290</v>
      </c>
      <c r="G14" t="s">
        <v>291</v>
      </c>
      <c r="H14" s="2" t="s">
        <v>292</v>
      </c>
      <c r="I14" t="s">
        <v>291</v>
      </c>
      <c r="K14" t="s">
        <v>293</v>
      </c>
      <c r="L14">
        <v>5116594</v>
      </c>
      <c r="M14" t="s">
        <v>294</v>
      </c>
      <c r="N14" t="s">
        <v>295</v>
      </c>
      <c r="O14" t="s">
        <v>296</v>
      </c>
      <c r="P14" t="s">
        <v>129</v>
      </c>
      <c r="Q14" t="s">
        <v>297</v>
      </c>
      <c r="R14" t="s">
        <v>298</v>
      </c>
      <c r="S14" t="s">
        <v>299</v>
      </c>
      <c r="T14" t="s">
        <v>300</v>
      </c>
      <c r="U14" t="s">
        <v>301</v>
      </c>
      <c r="V14" t="s">
        <v>82</v>
      </c>
      <c r="W14" t="s">
        <v>298</v>
      </c>
      <c r="X14" t="s">
        <v>299</v>
      </c>
      <c r="Y14" t="s">
        <v>300</v>
      </c>
      <c r="Z14" t="s">
        <v>301</v>
      </c>
      <c r="AA14" t="s">
        <v>82</v>
      </c>
      <c r="AB14" t="s">
        <v>83</v>
      </c>
      <c r="AC14" t="s">
        <v>135</v>
      </c>
      <c r="AD14" t="s">
        <v>85</v>
      </c>
      <c r="AE14" t="s">
        <v>302</v>
      </c>
      <c r="AF14" t="s">
        <v>85</v>
      </c>
      <c r="AG14" t="s">
        <v>303</v>
      </c>
      <c r="AH14">
        <v>8</v>
      </c>
      <c r="AI14">
        <v>506640</v>
      </c>
      <c r="AJ14">
        <v>73181.33</v>
      </c>
      <c r="AK14">
        <v>0</v>
      </c>
      <c r="AL14">
        <v>579821.32999999996</v>
      </c>
      <c r="AM14" t="s">
        <v>298</v>
      </c>
      <c r="AN14" t="s">
        <v>299</v>
      </c>
      <c r="AO14" t="s">
        <v>300</v>
      </c>
      <c r="AP14" t="s">
        <v>301</v>
      </c>
      <c r="AQ14" t="s">
        <v>82</v>
      </c>
      <c r="AR14" t="s">
        <v>304</v>
      </c>
      <c r="AS14" s="3">
        <v>46202.465223999308</v>
      </c>
      <c r="AT14" t="s">
        <v>89</v>
      </c>
      <c r="AU14" t="s">
        <v>90</v>
      </c>
      <c r="AV14" t="s">
        <v>91</v>
      </c>
      <c r="AW14" t="s">
        <v>92</v>
      </c>
      <c r="AX14" t="s">
        <v>93</v>
      </c>
      <c r="AY14" t="s">
        <v>94</v>
      </c>
      <c r="AZ14" t="s">
        <v>85</v>
      </c>
      <c r="BA14" t="s">
        <v>305</v>
      </c>
      <c r="BB14" t="s">
        <v>289</v>
      </c>
      <c r="BC14" t="s">
        <v>291</v>
      </c>
      <c r="BD14" t="s">
        <v>298</v>
      </c>
      <c r="BE14" t="s">
        <v>299</v>
      </c>
      <c r="BF14" t="b">
        <f t="shared" si="0"/>
        <v>0</v>
      </c>
      <c r="BG14" t="b">
        <v>0</v>
      </c>
      <c r="BH14">
        <v>2020</v>
      </c>
      <c r="BI14" t="b">
        <v>0</v>
      </c>
      <c r="BJ14" t="s">
        <v>96</v>
      </c>
      <c r="BK14" t="s">
        <v>119</v>
      </c>
      <c r="BL14" t="b">
        <v>1</v>
      </c>
      <c r="BM14" t="b">
        <v>1</v>
      </c>
      <c r="BN14" t="b">
        <v>1</v>
      </c>
      <c r="BO14" t="s">
        <v>306</v>
      </c>
      <c r="BP14" t="b">
        <f>IF(IFERROR(VLOOKUP(A14,[1]Planilha1!$A:$A,1,0),FALSE)=FALSE,FALSE,TRUE)</f>
        <v>0</v>
      </c>
    </row>
    <row r="15" spans="1:68" x14ac:dyDescent="0.25">
      <c r="A15" t="s">
        <v>307</v>
      </c>
      <c r="B15" t="s">
        <v>68</v>
      </c>
      <c r="D15" s="1">
        <v>46204</v>
      </c>
      <c r="E15" s="1">
        <v>47664</v>
      </c>
      <c r="F15" t="s">
        <v>308</v>
      </c>
      <c r="G15" t="s">
        <v>309</v>
      </c>
      <c r="H15" s="2" t="s">
        <v>310</v>
      </c>
      <c r="I15" t="s">
        <v>309</v>
      </c>
      <c r="K15" t="s">
        <v>311</v>
      </c>
      <c r="L15">
        <v>5110015</v>
      </c>
      <c r="M15" t="s">
        <v>312</v>
      </c>
      <c r="N15" t="s">
        <v>199</v>
      </c>
      <c r="O15" t="s">
        <v>200</v>
      </c>
      <c r="P15" t="s">
        <v>107</v>
      </c>
      <c r="Q15" t="s">
        <v>313</v>
      </c>
      <c r="R15" t="s">
        <v>314</v>
      </c>
      <c r="S15" t="s">
        <v>315</v>
      </c>
      <c r="T15" t="s">
        <v>234</v>
      </c>
      <c r="U15" t="s">
        <v>112</v>
      </c>
      <c r="V15" t="s">
        <v>82</v>
      </c>
      <c r="W15" t="s">
        <v>314</v>
      </c>
      <c r="X15" t="s">
        <v>315</v>
      </c>
      <c r="Y15" t="s">
        <v>234</v>
      </c>
      <c r="Z15" t="s">
        <v>112</v>
      </c>
      <c r="AA15" t="s">
        <v>82</v>
      </c>
      <c r="AB15" t="s">
        <v>83</v>
      </c>
      <c r="AC15" t="s">
        <v>202</v>
      </c>
      <c r="AD15" t="s">
        <v>316</v>
      </c>
      <c r="AE15" t="s">
        <v>317</v>
      </c>
      <c r="AF15" t="s">
        <v>316</v>
      </c>
      <c r="AG15" t="s">
        <v>318</v>
      </c>
      <c r="AH15">
        <v>3</v>
      </c>
      <c r="AI15">
        <v>583700</v>
      </c>
      <c r="AJ15">
        <v>59800</v>
      </c>
      <c r="AK15">
        <v>0</v>
      </c>
      <c r="AL15">
        <v>643500</v>
      </c>
      <c r="AR15" t="s">
        <v>319</v>
      </c>
      <c r="AS15" s="3">
        <v>46202.465223999308</v>
      </c>
      <c r="AT15" t="s">
        <v>89</v>
      </c>
      <c r="AU15" t="s">
        <v>90</v>
      </c>
      <c r="AV15" t="s">
        <v>91</v>
      </c>
      <c r="AW15" t="s">
        <v>92</v>
      </c>
      <c r="AX15" t="s">
        <v>93</v>
      </c>
      <c r="AY15" t="s">
        <v>94</v>
      </c>
      <c r="AZ15" t="s">
        <v>85</v>
      </c>
      <c r="BA15" t="s">
        <v>320</v>
      </c>
      <c r="BB15" t="s">
        <v>307</v>
      </c>
      <c r="BC15" t="s">
        <v>309</v>
      </c>
      <c r="BD15" t="s">
        <v>314</v>
      </c>
      <c r="BE15" t="s">
        <v>315</v>
      </c>
      <c r="BF15" t="b">
        <f t="shared" si="0"/>
        <v>0</v>
      </c>
      <c r="BG15" t="b">
        <v>1</v>
      </c>
      <c r="BH15">
        <v>2017</v>
      </c>
      <c r="BI15" t="b">
        <v>0</v>
      </c>
      <c r="BJ15" t="s">
        <v>96</v>
      </c>
      <c r="BK15" t="s">
        <v>272</v>
      </c>
      <c r="BL15" t="b">
        <v>1</v>
      </c>
      <c r="BM15" t="b">
        <v>1</v>
      </c>
      <c r="BN15" t="b">
        <v>1</v>
      </c>
      <c r="BO15" t="s">
        <v>321</v>
      </c>
      <c r="BP15" t="b">
        <f>IF(IFERROR(VLOOKUP(A15,[1]Planilha1!$A:$A,1,0),FALSE)=FALSE,FALSE,TRUE)</f>
        <v>0</v>
      </c>
    </row>
    <row r="16" spans="1:68" x14ac:dyDescent="0.25">
      <c r="A16" t="s">
        <v>322</v>
      </c>
      <c r="B16" t="s">
        <v>68</v>
      </c>
      <c r="D16" s="1">
        <v>46204</v>
      </c>
      <c r="E16" s="1">
        <v>47664</v>
      </c>
      <c r="F16" t="s">
        <v>323</v>
      </c>
      <c r="G16" t="s">
        <v>324</v>
      </c>
      <c r="H16" s="2" t="s">
        <v>325</v>
      </c>
      <c r="I16" t="s">
        <v>324</v>
      </c>
      <c r="K16" t="s">
        <v>326</v>
      </c>
      <c r="L16">
        <v>5116505</v>
      </c>
      <c r="M16" t="s">
        <v>327</v>
      </c>
      <c r="N16" t="s">
        <v>328</v>
      </c>
      <c r="O16" t="s">
        <v>329</v>
      </c>
      <c r="P16" t="s">
        <v>129</v>
      </c>
      <c r="Q16" t="s">
        <v>330</v>
      </c>
      <c r="R16" t="s">
        <v>331</v>
      </c>
      <c r="S16" t="s">
        <v>332</v>
      </c>
      <c r="T16" t="s">
        <v>111</v>
      </c>
      <c r="U16" t="s">
        <v>112</v>
      </c>
      <c r="V16" t="s">
        <v>82</v>
      </c>
      <c r="W16" t="s">
        <v>331</v>
      </c>
      <c r="X16" t="s">
        <v>332</v>
      </c>
      <c r="Y16" t="s">
        <v>111</v>
      </c>
      <c r="Z16" t="s">
        <v>112</v>
      </c>
      <c r="AA16" t="s">
        <v>82</v>
      </c>
      <c r="AB16" t="s">
        <v>83</v>
      </c>
      <c r="AC16" t="s">
        <v>333</v>
      </c>
      <c r="AD16" t="s">
        <v>149</v>
      </c>
      <c r="AE16" t="s">
        <v>334</v>
      </c>
      <c r="AF16" t="s">
        <v>149</v>
      </c>
      <c r="AG16" t="s">
        <v>335</v>
      </c>
      <c r="AH16">
        <v>7</v>
      </c>
      <c r="AI16">
        <v>1048320</v>
      </c>
      <c r="AJ16">
        <v>137184</v>
      </c>
      <c r="AK16">
        <v>0</v>
      </c>
      <c r="AL16">
        <v>1185504</v>
      </c>
      <c r="AM16" t="s">
        <v>331</v>
      </c>
      <c r="AN16" t="s">
        <v>332</v>
      </c>
      <c r="AO16" t="s">
        <v>111</v>
      </c>
      <c r="AP16" t="s">
        <v>112</v>
      </c>
      <c r="AQ16" t="s">
        <v>82</v>
      </c>
      <c r="AR16" t="s">
        <v>336</v>
      </c>
      <c r="AS16" s="3">
        <v>46202.465223999308</v>
      </c>
      <c r="AT16" t="s">
        <v>89</v>
      </c>
      <c r="AU16" t="s">
        <v>90</v>
      </c>
      <c r="AV16" t="s">
        <v>91</v>
      </c>
      <c r="AW16" t="s">
        <v>92</v>
      </c>
      <c r="AX16" t="s">
        <v>93</v>
      </c>
      <c r="AY16" t="s">
        <v>94</v>
      </c>
      <c r="AZ16" t="s">
        <v>85</v>
      </c>
      <c r="BA16" t="s">
        <v>337</v>
      </c>
      <c r="BB16" t="s">
        <v>322</v>
      </c>
      <c r="BC16" t="s">
        <v>324</v>
      </c>
      <c r="BD16" t="s">
        <v>331</v>
      </c>
      <c r="BE16" t="s">
        <v>332</v>
      </c>
      <c r="BF16" t="b">
        <f t="shared" si="0"/>
        <v>1</v>
      </c>
      <c r="BG16" t="b">
        <v>1</v>
      </c>
      <c r="BH16">
        <v>2005</v>
      </c>
      <c r="BI16" t="b">
        <v>1</v>
      </c>
      <c r="BJ16" t="s">
        <v>96</v>
      </c>
      <c r="BK16" t="s">
        <v>338</v>
      </c>
      <c r="BL16" t="b">
        <v>1</v>
      </c>
      <c r="BM16" t="b">
        <v>1</v>
      </c>
      <c r="BN16" t="b">
        <v>1</v>
      </c>
      <c r="BO16" t="s">
        <v>339</v>
      </c>
      <c r="BP16" t="b">
        <f>IF(IFERROR(VLOOKUP(A16,[1]Planilha1!$A:$A,1,0),FALSE)=FALSE,FALSE,TRUE)</f>
        <v>1</v>
      </c>
    </row>
    <row r="17" spans="1:68" x14ac:dyDescent="0.25">
      <c r="A17" t="s">
        <v>340</v>
      </c>
      <c r="B17" t="s">
        <v>68</v>
      </c>
      <c r="D17" s="1">
        <v>46204</v>
      </c>
      <c r="E17" s="1">
        <v>47664</v>
      </c>
      <c r="F17" t="s">
        <v>341</v>
      </c>
      <c r="G17" t="s">
        <v>342</v>
      </c>
      <c r="H17" s="2" t="s">
        <v>343</v>
      </c>
      <c r="I17" t="s">
        <v>342</v>
      </c>
      <c r="K17" t="s">
        <v>342</v>
      </c>
      <c r="L17">
        <v>5116502</v>
      </c>
      <c r="M17" t="s">
        <v>344</v>
      </c>
      <c r="N17" t="s">
        <v>249</v>
      </c>
      <c r="O17" t="s">
        <v>250</v>
      </c>
      <c r="P17" t="s">
        <v>76</v>
      </c>
      <c r="Q17" t="s">
        <v>345</v>
      </c>
      <c r="R17" t="s">
        <v>346</v>
      </c>
      <c r="S17" t="s">
        <v>347</v>
      </c>
      <c r="T17" t="s">
        <v>184</v>
      </c>
      <c r="U17" t="s">
        <v>112</v>
      </c>
      <c r="V17" t="s">
        <v>82</v>
      </c>
      <c r="W17" t="s">
        <v>346</v>
      </c>
      <c r="X17" t="s">
        <v>347</v>
      </c>
      <c r="Y17" t="s">
        <v>184</v>
      </c>
      <c r="Z17" t="s">
        <v>112</v>
      </c>
      <c r="AA17" t="s">
        <v>82</v>
      </c>
      <c r="AB17" t="s">
        <v>83</v>
      </c>
      <c r="AC17" t="s">
        <v>202</v>
      </c>
      <c r="AD17" t="s">
        <v>149</v>
      </c>
      <c r="AE17" t="s">
        <v>348</v>
      </c>
      <c r="AF17" t="s">
        <v>149</v>
      </c>
      <c r="AG17" t="s">
        <v>349</v>
      </c>
      <c r="AH17">
        <v>3</v>
      </c>
      <c r="AI17">
        <v>761280</v>
      </c>
      <c r="AJ17">
        <v>80000</v>
      </c>
      <c r="AK17">
        <v>0</v>
      </c>
      <c r="AL17">
        <v>841280</v>
      </c>
      <c r="AM17" t="s">
        <v>346</v>
      </c>
      <c r="AN17" t="s">
        <v>347</v>
      </c>
      <c r="AO17" t="s">
        <v>184</v>
      </c>
      <c r="AP17" t="s">
        <v>112</v>
      </c>
      <c r="AQ17" t="s">
        <v>82</v>
      </c>
      <c r="AR17" t="s">
        <v>350</v>
      </c>
      <c r="AS17" s="3">
        <v>46202.465223999308</v>
      </c>
      <c r="AT17" t="s">
        <v>89</v>
      </c>
      <c r="AU17" t="s">
        <v>90</v>
      </c>
      <c r="AV17" t="s">
        <v>91</v>
      </c>
      <c r="AW17" t="s">
        <v>92</v>
      </c>
      <c r="AX17" t="s">
        <v>93</v>
      </c>
      <c r="AY17" t="s">
        <v>94</v>
      </c>
      <c r="AZ17" t="s">
        <v>85</v>
      </c>
      <c r="BA17" t="s">
        <v>351</v>
      </c>
      <c r="BB17" t="s">
        <v>340</v>
      </c>
      <c r="BC17" t="s">
        <v>342</v>
      </c>
      <c r="BD17" t="s">
        <v>346</v>
      </c>
      <c r="BE17" t="s">
        <v>347</v>
      </c>
      <c r="BF17" t="b">
        <f t="shared" si="0"/>
        <v>0</v>
      </c>
      <c r="BG17" t="b">
        <v>0</v>
      </c>
      <c r="BH17">
        <v>2016</v>
      </c>
      <c r="BI17" t="b">
        <v>0</v>
      </c>
      <c r="BJ17" t="s">
        <v>96</v>
      </c>
      <c r="BK17" t="s">
        <v>119</v>
      </c>
      <c r="BL17" t="b">
        <v>1</v>
      </c>
      <c r="BM17" t="b">
        <v>1</v>
      </c>
      <c r="BN17" t="b">
        <v>1</v>
      </c>
      <c r="BO17" t="s">
        <v>352</v>
      </c>
      <c r="BP17" t="b">
        <f>IF(IFERROR(VLOOKUP(A17,[1]Planilha1!$A:$A,1,0),FALSE)=FALSE,FALSE,TRUE)</f>
        <v>0</v>
      </c>
    </row>
    <row r="18" spans="1:68" x14ac:dyDescent="0.25">
      <c r="A18" t="s">
        <v>353</v>
      </c>
      <c r="B18" t="s">
        <v>68</v>
      </c>
      <c r="D18" s="1">
        <v>46204</v>
      </c>
      <c r="E18" s="1">
        <v>47664</v>
      </c>
      <c r="F18" t="s">
        <v>354</v>
      </c>
      <c r="G18" t="s">
        <v>355</v>
      </c>
      <c r="H18" s="2" t="s">
        <v>356</v>
      </c>
      <c r="I18" t="s">
        <v>355</v>
      </c>
      <c r="K18" t="s">
        <v>357</v>
      </c>
      <c r="L18">
        <v>5116587</v>
      </c>
      <c r="M18" t="s">
        <v>358</v>
      </c>
      <c r="N18" t="s">
        <v>359</v>
      </c>
      <c r="O18" t="s">
        <v>360</v>
      </c>
      <c r="P18" t="s">
        <v>129</v>
      </c>
      <c r="Q18" t="s">
        <v>361</v>
      </c>
      <c r="R18" t="s">
        <v>362</v>
      </c>
      <c r="S18" t="s">
        <v>363</v>
      </c>
      <c r="T18" t="s">
        <v>364</v>
      </c>
      <c r="U18" t="s">
        <v>81</v>
      </c>
      <c r="V18" t="s">
        <v>82</v>
      </c>
      <c r="W18" t="s">
        <v>362</v>
      </c>
      <c r="X18" t="s">
        <v>363</v>
      </c>
      <c r="Y18" t="s">
        <v>364</v>
      </c>
      <c r="Z18" t="s">
        <v>81</v>
      </c>
      <c r="AA18" t="s">
        <v>82</v>
      </c>
      <c r="AB18" t="s">
        <v>83</v>
      </c>
      <c r="AC18" t="s">
        <v>185</v>
      </c>
      <c r="AD18" t="s">
        <v>85</v>
      </c>
      <c r="AE18" t="s">
        <v>365</v>
      </c>
      <c r="AF18" t="s">
        <v>85</v>
      </c>
      <c r="AG18" t="s">
        <v>366</v>
      </c>
      <c r="AH18">
        <v>9</v>
      </c>
      <c r="AI18">
        <v>1363020</v>
      </c>
      <c r="AJ18">
        <v>136796</v>
      </c>
      <c r="AK18">
        <v>0</v>
      </c>
      <c r="AL18">
        <v>1499816</v>
      </c>
      <c r="AM18" t="s">
        <v>362</v>
      </c>
      <c r="AN18" t="s">
        <v>363</v>
      </c>
      <c r="AO18" t="s">
        <v>364</v>
      </c>
      <c r="AP18" t="s">
        <v>81</v>
      </c>
      <c r="AQ18" t="s">
        <v>82</v>
      </c>
      <c r="AR18" t="s">
        <v>367</v>
      </c>
      <c r="AS18" s="3">
        <v>46202.465223999308</v>
      </c>
      <c r="AT18" t="s">
        <v>89</v>
      </c>
      <c r="AU18" t="s">
        <v>90</v>
      </c>
      <c r="AV18" t="s">
        <v>91</v>
      </c>
      <c r="AW18" t="s">
        <v>92</v>
      </c>
      <c r="AX18" t="s">
        <v>93</v>
      </c>
      <c r="AY18" t="s">
        <v>94</v>
      </c>
      <c r="AZ18" t="s">
        <v>85</v>
      </c>
      <c r="BA18" t="s">
        <v>368</v>
      </c>
      <c r="BB18" t="s">
        <v>353</v>
      </c>
      <c r="BC18" t="s">
        <v>355</v>
      </c>
      <c r="BD18" t="s">
        <v>362</v>
      </c>
      <c r="BE18" t="s">
        <v>363</v>
      </c>
      <c r="BF18" t="b">
        <f t="shared" si="0"/>
        <v>1</v>
      </c>
      <c r="BG18" t="b">
        <v>1</v>
      </c>
      <c r="BH18">
        <v>2005</v>
      </c>
      <c r="BI18" t="b">
        <v>1</v>
      </c>
      <c r="BJ18" t="s">
        <v>96</v>
      </c>
      <c r="BK18" t="s">
        <v>369</v>
      </c>
      <c r="BL18" t="b">
        <v>1</v>
      </c>
      <c r="BM18" t="b">
        <v>1</v>
      </c>
      <c r="BN18" t="b">
        <v>1</v>
      </c>
      <c r="BO18" t="s">
        <v>370</v>
      </c>
      <c r="BP18" t="b">
        <f>IF(IFERROR(VLOOKUP(A18,[1]Planilha1!$A:$A,1,0),FALSE)=FALSE,FALSE,TRUE)</f>
        <v>1</v>
      </c>
    </row>
    <row r="19" spans="1:68" x14ac:dyDescent="0.25">
      <c r="A19" t="s">
        <v>371</v>
      </c>
      <c r="B19" t="s">
        <v>68</v>
      </c>
      <c r="D19" s="1">
        <v>46204</v>
      </c>
      <c r="E19" s="1">
        <v>47664</v>
      </c>
      <c r="F19" t="s">
        <v>372</v>
      </c>
      <c r="G19" t="s">
        <v>373</v>
      </c>
      <c r="H19" s="2" t="s">
        <v>374</v>
      </c>
      <c r="I19" t="s">
        <v>373</v>
      </c>
      <c r="K19" t="s">
        <v>375</v>
      </c>
      <c r="L19">
        <v>5116673</v>
      </c>
      <c r="M19" t="s">
        <v>376</v>
      </c>
      <c r="N19" t="s">
        <v>249</v>
      </c>
      <c r="O19" t="s">
        <v>250</v>
      </c>
      <c r="P19" t="s">
        <v>76</v>
      </c>
      <c r="Q19" t="s">
        <v>377</v>
      </c>
      <c r="R19" t="s">
        <v>182</v>
      </c>
      <c r="S19" t="s">
        <v>183</v>
      </c>
      <c r="T19" t="s">
        <v>184</v>
      </c>
      <c r="U19" t="s">
        <v>112</v>
      </c>
      <c r="V19" t="s">
        <v>82</v>
      </c>
      <c r="W19" t="s">
        <v>182</v>
      </c>
      <c r="X19" t="s">
        <v>183</v>
      </c>
      <c r="Y19" t="s">
        <v>184</v>
      </c>
      <c r="Z19" t="s">
        <v>112</v>
      </c>
      <c r="AA19" t="s">
        <v>82</v>
      </c>
      <c r="AB19" t="s">
        <v>83</v>
      </c>
      <c r="AC19" t="s">
        <v>202</v>
      </c>
      <c r="AD19" t="s">
        <v>149</v>
      </c>
      <c r="AE19" t="s">
        <v>378</v>
      </c>
      <c r="AF19" t="s">
        <v>85</v>
      </c>
      <c r="AG19" t="s">
        <v>379</v>
      </c>
      <c r="AH19">
        <v>4</v>
      </c>
      <c r="AI19">
        <v>829920</v>
      </c>
      <c r="AJ19">
        <v>40000</v>
      </c>
      <c r="AK19">
        <v>0</v>
      </c>
      <c r="AL19">
        <v>869920</v>
      </c>
      <c r="AM19" t="s">
        <v>182</v>
      </c>
      <c r="AN19" t="s">
        <v>183</v>
      </c>
      <c r="AO19" t="s">
        <v>184</v>
      </c>
      <c r="AP19" t="s">
        <v>112</v>
      </c>
      <c r="AQ19" t="s">
        <v>82</v>
      </c>
      <c r="AR19" t="s">
        <v>380</v>
      </c>
      <c r="AS19" s="3">
        <v>46202.465223999308</v>
      </c>
      <c r="AT19" t="s">
        <v>89</v>
      </c>
      <c r="AU19" t="s">
        <v>90</v>
      </c>
      <c r="AV19" t="s">
        <v>91</v>
      </c>
      <c r="AW19" t="s">
        <v>92</v>
      </c>
      <c r="AX19" t="s">
        <v>93</v>
      </c>
      <c r="AY19" t="s">
        <v>94</v>
      </c>
      <c r="AZ19" t="s">
        <v>85</v>
      </c>
      <c r="BA19" t="s">
        <v>381</v>
      </c>
      <c r="BB19" t="s">
        <v>371</v>
      </c>
      <c r="BC19" t="s">
        <v>373</v>
      </c>
      <c r="BD19" t="s">
        <v>182</v>
      </c>
      <c r="BE19" t="s">
        <v>183</v>
      </c>
      <c r="BF19" t="b">
        <f t="shared" si="0"/>
        <v>1</v>
      </c>
      <c r="BG19" t="b">
        <v>1</v>
      </c>
      <c r="BH19">
        <v>2000</v>
      </c>
      <c r="BI19" t="b">
        <v>1</v>
      </c>
      <c r="BJ19" t="s">
        <v>96</v>
      </c>
      <c r="BK19" t="s">
        <v>191</v>
      </c>
      <c r="BL19" t="b">
        <v>1</v>
      </c>
      <c r="BM19" t="b">
        <v>1</v>
      </c>
      <c r="BN19" t="b">
        <v>1</v>
      </c>
      <c r="BO19" t="s">
        <v>382</v>
      </c>
      <c r="BP19" t="b">
        <f>IF(IFERROR(VLOOKUP(A19,[1]Planilha1!$A:$A,1,0),FALSE)=FALSE,FALSE,TRUE)</f>
        <v>1</v>
      </c>
    </row>
    <row r="20" spans="1:68" x14ac:dyDescent="0.25">
      <c r="A20" t="s">
        <v>383</v>
      </c>
      <c r="B20" t="s">
        <v>68</v>
      </c>
      <c r="D20" s="1">
        <v>46204</v>
      </c>
      <c r="E20" s="1">
        <v>47664</v>
      </c>
      <c r="F20" t="s">
        <v>384</v>
      </c>
      <c r="G20" t="s">
        <v>385</v>
      </c>
      <c r="H20" s="2" t="s">
        <v>386</v>
      </c>
      <c r="I20" t="s">
        <v>385</v>
      </c>
      <c r="K20" t="s">
        <v>387</v>
      </c>
      <c r="L20">
        <v>5116710</v>
      </c>
      <c r="M20" t="s">
        <v>388</v>
      </c>
      <c r="N20" t="s">
        <v>389</v>
      </c>
      <c r="O20" t="s">
        <v>390</v>
      </c>
      <c r="P20" t="s">
        <v>107</v>
      </c>
      <c r="Q20" t="s">
        <v>391</v>
      </c>
      <c r="R20" t="s">
        <v>281</v>
      </c>
      <c r="S20" t="s">
        <v>282</v>
      </c>
      <c r="T20" t="s">
        <v>111</v>
      </c>
      <c r="U20" t="s">
        <v>112</v>
      </c>
      <c r="V20" t="s">
        <v>82</v>
      </c>
      <c r="W20" t="s">
        <v>281</v>
      </c>
      <c r="X20" t="s">
        <v>282</v>
      </c>
      <c r="Y20" t="s">
        <v>111</v>
      </c>
      <c r="Z20" t="s">
        <v>112</v>
      </c>
      <c r="AA20" t="s">
        <v>82</v>
      </c>
      <c r="AB20" t="s">
        <v>83</v>
      </c>
      <c r="AC20" t="s">
        <v>202</v>
      </c>
      <c r="AD20" t="s">
        <v>149</v>
      </c>
      <c r="AE20" t="s">
        <v>392</v>
      </c>
      <c r="AF20" t="s">
        <v>85</v>
      </c>
      <c r="AG20" t="s">
        <v>393</v>
      </c>
      <c r="AH20">
        <v>3</v>
      </c>
      <c r="AI20">
        <v>648960</v>
      </c>
      <c r="AJ20">
        <v>70185</v>
      </c>
      <c r="AK20">
        <v>0</v>
      </c>
      <c r="AL20">
        <v>719145</v>
      </c>
      <c r="AR20" t="s">
        <v>394</v>
      </c>
      <c r="AS20" s="3">
        <v>46202.465223999308</v>
      </c>
      <c r="AT20" t="s">
        <v>89</v>
      </c>
      <c r="AU20" t="s">
        <v>90</v>
      </c>
      <c r="AV20" t="s">
        <v>91</v>
      </c>
      <c r="AW20" t="s">
        <v>92</v>
      </c>
      <c r="AX20" t="s">
        <v>93</v>
      </c>
      <c r="AY20" t="s">
        <v>94</v>
      </c>
      <c r="AZ20" t="s">
        <v>85</v>
      </c>
      <c r="BA20" t="s">
        <v>395</v>
      </c>
      <c r="BB20" t="s">
        <v>383</v>
      </c>
      <c r="BC20" t="s">
        <v>385</v>
      </c>
      <c r="BD20" t="s">
        <v>281</v>
      </c>
      <c r="BE20" t="s">
        <v>282</v>
      </c>
      <c r="BF20" t="b">
        <f t="shared" si="0"/>
        <v>1</v>
      </c>
      <c r="BG20" t="b">
        <v>1</v>
      </c>
      <c r="BH20">
        <v>2005</v>
      </c>
      <c r="BI20" t="b">
        <v>1</v>
      </c>
      <c r="BJ20" t="s">
        <v>96</v>
      </c>
      <c r="BK20" t="s">
        <v>287</v>
      </c>
      <c r="BL20" t="b">
        <v>1</v>
      </c>
      <c r="BM20" t="b">
        <v>1</v>
      </c>
      <c r="BN20" t="b">
        <v>1</v>
      </c>
      <c r="BO20" t="s">
        <v>396</v>
      </c>
      <c r="BP20" t="b">
        <f>IF(IFERROR(VLOOKUP(A20,[1]Planilha1!$A:$A,1,0),FALSE)=FALSE,FALSE,TRUE)</f>
        <v>1</v>
      </c>
    </row>
    <row r="21" spans="1:68" x14ac:dyDescent="0.25">
      <c r="A21" t="s">
        <v>397</v>
      </c>
      <c r="B21" t="s">
        <v>68</v>
      </c>
      <c r="D21" s="1">
        <v>46204</v>
      </c>
      <c r="E21" s="1">
        <v>47664</v>
      </c>
      <c r="F21" t="s">
        <v>398</v>
      </c>
      <c r="G21" t="s">
        <v>399</v>
      </c>
      <c r="H21" s="2" t="s">
        <v>400</v>
      </c>
      <c r="I21" t="s">
        <v>399</v>
      </c>
      <c r="K21" t="s">
        <v>401</v>
      </c>
      <c r="L21">
        <v>5116774</v>
      </c>
      <c r="M21" t="s">
        <v>402</v>
      </c>
      <c r="N21" t="s">
        <v>214</v>
      </c>
      <c r="O21" t="s">
        <v>215</v>
      </c>
      <c r="P21" t="s">
        <v>76</v>
      </c>
      <c r="Q21" t="s">
        <v>216</v>
      </c>
      <c r="R21" t="s">
        <v>362</v>
      </c>
      <c r="S21" t="s">
        <v>363</v>
      </c>
      <c r="T21" t="s">
        <v>364</v>
      </c>
      <c r="U21" t="s">
        <v>81</v>
      </c>
      <c r="V21" t="s">
        <v>82</v>
      </c>
      <c r="W21" t="s">
        <v>362</v>
      </c>
      <c r="X21" t="s">
        <v>363</v>
      </c>
      <c r="Y21" t="s">
        <v>364</v>
      </c>
      <c r="Z21" t="s">
        <v>81</v>
      </c>
      <c r="AA21" t="s">
        <v>82</v>
      </c>
      <c r="AB21" t="s">
        <v>83</v>
      </c>
      <c r="AC21" t="s">
        <v>84</v>
      </c>
      <c r="AD21" t="s">
        <v>149</v>
      </c>
      <c r="AE21" t="s">
        <v>403</v>
      </c>
      <c r="AF21" t="s">
        <v>85</v>
      </c>
      <c r="AG21" t="s">
        <v>404</v>
      </c>
      <c r="AH21">
        <v>10</v>
      </c>
      <c r="AI21">
        <v>1115520</v>
      </c>
      <c r="AJ21">
        <v>49500</v>
      </c>
      <c r="AK21">
        <v>0</v>
      </c>
      <c r="AL21">
        <v>1165020</v>
      </c>
      <c r="AM21" t="s">
        <v>362</v>
      </c>
      <c r="AN21" t="s">
        <v>363</v>
      </c>
      <c r="AO21" t="s">
        <v>364</v>
      </c>
      <c r="AP21" t="s">
        <v>81</v>
      </c>
      <c r="AQ21" t="s">
        <v>82</v>
      </c>
      <c r="AR21" t="s">
        <v>405</v>
      </c>
      <c r="AS21" s="3">
        <v>46202.465223999308</v>
      </c>
      <c r="AT21" t="s">
        <v>89</v>
      </c>
      <c r="AU21" t="s">
        <v>90</v>
      </c>
      <c r="AV21" t="s">
        <v>91</v>
      </c>
      <c r="AW21" t="s">
        <v>92</v>
      </c>
      <c r="AX21" t="s">
        <v>93</v>
      </c>
      <c r="AY21" t="s">
        <v>94</v>
      </c>
      <c r="AZ21" t="s">
        <v>85</v>
      </c>
      <c r="BA21" t="s">
        <v>406</v>
      </c>
      <c r="BB21" t="s">
        <v>397</v>
      </c>
      <c r="BC21" t="s">
        <v>399</v>
      </c>
      <c r="BD21" t="s">
        <v>362</v>
      </c>
      <c r="BE21" t="s">
        <v>363</v>
      </c>
      <c r="BF21" t="b">
        <f t="shared" si="0"/>
        <v>1</v>
      </c>
      <c r="BG21" t="b">
        <v>1</v>
      </c>
      <c r="BH21">
        <v>2004</v>
      </c>
      <c r="BI21" t="b">
        <v>1</v>
      </c>
      <c r="BJ21" t="s">
        <v>96</v>
      </c>
      <c r="BK21" t="s">
        <v>369</v>
      </c>
      <c r="BL21" t="b">
        <v>1</v>
      </c>
      <c r="BM21" t="b">
        <v>1</v>
      </c>
      <c r="BN21" t="b">
        <v>1</v>
      </c>
      <c r="BO21" t="s">
        <v>407</v>
      </c>
      <c r="BP21" t="b">
        <f>IF(IFERROR(VLOOKUP(A21,[1]Planilha1!$A:$A,1,0),FALSE)=FALSE,FALSE,TRUE)</f>
        <v>1</v>
      </c>
    </row>
    <row r="22" spans="1:68" x14ac:dyDescent="0.25">
      <c r="A22" t="s">
        <v>408</v>
      </c>
      <c r="B22" t="s">
        <v>68</v>
      </c>
      <c r="D22" s="1">
        <v>46204</v>
      </c>
      <c r="E22" s="1">
        <v>47664</v>
      </c>
      <c r="F22" t="s">
        <v>409</v>
      </c>
      <c r="G22" t="s">
        <v>410</v>
      </c>
      <c r="H22" s="2" t="s">
        <v>411</v>
      </c>
      <c r="I22" t="s">
        <v>410</v>
      </c>
      <c r="K22" t="s">
        <v>412</v>
      </c>
      <c r="L22">
        <v>5116741</v>
      </c>
      <c r="M22" t="s">
        <v>413</v>
      </c>
      <c r="N22" t="s">
        <v>414</v>
      </c>
      <c r="O22" t="s">
        <v>180</v>
      </c>
      <c r="P22" t="s">
        <v>129</v>
      </c>
      <c r="Q22" t="s">
        <v>415</v>
      </c>
      <c r="R22" t="s">
        <v>331</v>
      </c>
      <c r="S22" t="s">
        <v>332</v>
      </c>
      <c r="T22" t="s">
        <v>111</v>
      </c>
      <c r="U22" t="s">
        <v>112</v>
      </c>
      <c r="V22" t="s">
        <v>82</v>
      </c>
      <c r="W22" t="s">
        <v>331</v>
      </c>
      <c r="X22" t="s">
        <v>332</v>
      </c>
      <c r="Y22" t="s">
        <v>111</v>
      </c>
      <c r="Z22" t="s">
        <v>112</v>
      </c>
      <c r="AA22" t="s">
        <v>82</v>
      </c>
      <c r="AB22" t="s">
        <v>83</v>
      </c>
      <c r="AC22" t="s">
        <v>185</v>
      </c>
      <c r="AD22" t="s">
        <v>149</v>
      </c>
      <c r="AE22" t="s">
        <v>416</v>
      </c>
      <c r="AF22" t="s">
        <v>85</v>
      </c>
      <c r="AG22" t="s">
        <v>417</v>
      </c>
      <c r="AH22">
        <v>7</v>
      </c>
      <c r="AI22">
        <v>1460400</v>
      </c>
      <c r="AJ22">
        <v>39840</v>
      </c>
      <c r="AK22">
        <v>0</v>
      </c>
      <c r="AL22">
        <v>1500240</v>
      </c>
      <c r="AM22" t="s">
        <v>331</v>
      </c>
      <c r="AN22" t="s">
        <v>332</v>
      </c>
      <c r="AO22" t="s">
        <v>111</v>
      </c>
      <c r="AP22" t="s">
        <v>112</v>
      </c>
      <c r="AQ22" t="s">
        <v>82</v>
      </c>
      <c r="AR22" t="s">
        <v>418</v>
      </c>
      <c r="AS22" s="3">
        <v>46202.465223999308</v>
      </c>
      <c r="AT22" t="s">
        <v>89</v>
      </c>
      <c r="AU22" t="s">
        <v>90</v>
      </c>
      <c r="AV22" t="s">
        <v>91</v>
      </c>
      <c r="AW22" t="s">
        <v>92</v>
      </c>
      <c r="AX22" t="s">
        <v>93</v>
      </c>
      <c r="AY22" t="s">
        <v>94</v>
      </c>
      <c r="AZ22" t="s">
        <v>85</v>
      </c>
      <c r="BA22" t="s">
        <v>419</v>
      </c>
      <c r="BB22" t="s">
        <v>408</v>
      </c>
      <c r="BC22" t="s">
        <v>410</v>
      </c>
      <c r="BD22" t="s">
        <v>331</v>
      </c>
      <c r="BE22" t="s">
        <v>332</v>
      </c>
      <c r="BF22" t="b">
        <f t="shared" si="0"/>
        <v>1</v>
      </c>
      <c r="BG22" t="b">
        <v>1</v>
      </c>
      <c r="BH22">
        <v>1997</v>
      </c>
      <c r="BI22" t="b">
        <v>1</v>
      </c>
      <c r="BJ22" t="s">
        <v>96</v>
      </c>
      <c r="BK22" t="s">
        <v>338</v>
      </c>
      <c r="BL22" t="b">
        <v>1</v>
      </c>
      <c r="BM22" t="b">
        <v>1</v>
      </c>
      <c r="BN22" t="b">
        <v>1</v>
      </c>
      <c r="BO22" t="s">
        <v>420</v>
      </c>
      <c r="BP22" t="b">
        <f>IF(IFERROR(VLOOKUP(A22,[1]Planilha1!$A:$A,1,0),FALSE)=FALSE,FALSE,TRUE)</f>
        <v>1</v>
      </c>
    </row>
    <row r="23" spans="1:68" x14ac:dyDescent="0.25">
      <c r="A23" t="s">
        <v>421</v>
      </c>
      <c r="B23" t="s">
        <v>68</v>
      </c>
      <c r="D23" s="1">
        <v>46204</v>
      </c>
      <c r="E23" s="1">
        <v>47664</v>
      </c>
      <c r="F23" t="s">
        <v>422</v>
      </c>
      <c r="G23" t="s">
        <v>423</v>
      </c>
      <c r="H23" s="2" t="s">
        <v>424</v>
      </c>
      <c r="I23" t="s">
        <v>423</v>
      </c>
      <c r="K23" t="s">
        <v>425</v>
      </c>
      <c r="L23">
        <v>5116796</v>
      </c>
      <c r="M23" t="s">
        <v>426</v>
      </c>
      <c r="N23" t="s">
        <v>199</v>
      </c>
      <c r="O23" t="s">
        <v>200</v>
      </c>
      <c r="P23" t="s">
        <v>107</v>
      </c>
      <c r="Q23" t="s">
        <v>427</v>
      </c>
      <c r="R23" t="s">
        <v>182</v>
      </c>
      <c r="S23" t="s">
        <v>183</v>
      </c>
      <c r="T23" t="s">
        <v>184</v>
      </c>
      <c r="U23" t="s">
        <v>112</v>
      </c>
      <c r="V23" t="s">
        <v>82</v>
      </c>
      <c r="W23" t="s">
        <v>182</v>
      </c>
      <c r="X23" t="s">
        <v>183</v>
      </c>
      <c r="Y23" t="s">
        <v>184</v>
      </c>
      <c r="Z23" t="s">
        <v>112</v>
      </c>
      <c r="AA23" t="s">
        <v>82</v>
      </c>
      <c r="AB23" t="s">
        <v>83</v>
      </c>
      <c r="AC23" t="s">
        <v>202</v>
      </c>
      <c r="AD23" t="s">
        <v>149</v>
      </c>
      <c r="AE23" t="s">
        <v>428</v>
      </c>
      <c r="AF23" t="s">
        <v>85</v>
      </c>
      <c r="AG23" t="s">
        <v>429</v>
      </c>
      <c r="AH23">
        <v>10</v>
      </c>
      <c r="AI23">
        <v>1395680</v>
      </c>
      <c r="AJ23">
        <v>104320</v>
      </c>
      <c r="AK23">
        <v>0</v>
      </c>
      <c r="AL23">
        <v>1500000</v>
      </c>
      <c r="AM23" t="s">
        <v>182</v>
      </c>
      <c r="AN23" t="s">
        <v>183</v>
      </c>
      <c r="AO23" t="s">
        <v>184</v>
      </c>
      <c r="AP23" t="s">
        <v>112</v>
      </c>
      <c r="AQ23" t="s">
        <v>82</v>
      </c>
      <c r="AR23" t="s">
        <v>430</v>
      </c>
      <c r="AS23" s="3">
        <v>46202.465223999308</v>
      </c>
      <c r="AT23" t="s">
        <v>89</v>
      </c>
      <c r="AU23" t="s">
        <v>90</v>
      </c>
      <c r="AV23" t="s">
        <v>91</v>
      </c>
      <c r="AW23" t="s">
        <v>92</v>
      </c>
      <c r="AX23" t="s">
        <v>93</v>
      </c>
      <c r="AY23" t="s">
        <v>94</v>
      </c>
      <c r="AZ23" t="s">
        <v>85</v>
      </c>
      <c r="BA23" t="s">
        <v>431</v>
      </c>
      <c r="BB23" t="s">
        <v>421</v>
      </c>
      <c r="BC23" t="s">
        <v>423</v>
      </c>
      <c r="BD23" t="s">
        <v>182</v>
      </c>
      <c r="BE23" t="s">
        <v>183</v>
      </c>
      <c r="BF23" t="b">
        <f t="shared" si="0"/>
        <v>1</v>
      </c>
      <c r="BG23" t="b">
        <v>1</v>
      </c>
      <c r="BH23">
        <v>2001</v>
      </c>
      <c r="BI23" t="b">
        <v>1</v>
      </c>
      <c r="BJ23" t="s">
        <v>96</v>
      </c>
      <c r="BK23" t="s">
        <v>191</v>
      </c>
      <c r="BL23" t="b">
        <v>1</v>
      </c>
      <c r="BM23" t="b">
        <v>1</v>
      </c>
      <c r="BN23" t="b">
        <v>1</v>
      </c>
      <c r="BO23" t="s">
        <v>432</v>
      </c>
      <c r="BP23" t="b">
        <f>IF(IFERROR(VLOOKUP(A23,[1]Planilha1!$A:$A,1,0),FALSE)=FALSE,FALSE,TRUE)</f>
        <v>1</v>
      </c>
    </row>
    <row r="24" spans="1:68" x14ac:dyDescent="0.25">
      <c r="A24" t="s">
        <v>433</v>
      </c>
      <c r="B24" t="s">
        <v>68</v>
      </c>
      <c r="D24" s="1">
        <v>46204</v>
      </c>
      <c r="E24" s="1">
        <v>47664</v>
      </c>
      <c r="F24" t="s">
        <v>434</v>
      </c>
      <c r="G24" t="s">
        <v>435</v>
      </c>
      <c r="H24" s="2" t="s">
        <v>436</v>
      </c>
      <c r="I24" t="s">
        <v>435</v>
      </c>
      <c r="K24" t="s">
        <v>437</v>
      </c>
      <c r="L24">
        <v>5116855</v>
      </c>
      <c r="M24" t="s">
        <v>438</v>
      </c>
      <c r="N24" t="s">
        <v>328</v>
      </c>
      <c r="O24" t="s">
        <v>329</v>
      </c>
      <c r="P24" t="s">
        <v>439</v>
      </c>
      <c r="Q24" t="s">
        <v>440</v>
      </c>
      <c r="R24" t="s">
        <v>362</v>
      </c>
      <c r="S24" t="s">
        <v>363</v>
      </c>
      <c r="T24" t="s">
        <v>364</v>
      </c>
      <c r="U24" t="s">
        <v>81</v>
      </c>
      <c r="V24" t="s">
        <v>82</v>
      </c>
      <c r="W24" t="s">
        <v>362</v>
      </c>
      <c r="X24" t="s">
        <v>363</v>
      </c>
      <c r="Y24" t="s">
        <v>364</v>
      </c>
      <c r="Z24" t="s">
        <v>81</v>
      </c>
      <c r="AA24" t="s">
        <v>82</v>
      </c>
      <c r="AB24" t="s">
        <v>83</v>
      </c>
      <c r="AC24" t="s">
        <v>333</v>
      </c>
      <c r="AD24" t="s">
        <v>85</v>
      </c>
      <c r="AE24" t="s">
        <v>441</v>
      </c>
      <c r="AF24" t="s">
        <v>85</v>
      </c>
      <c r="AG24" t="s">
        <v>442</v>
      </c>
      <c r="AH24">
        <v>9</v>
      </c>
      <c r="AI24">
        <v>1347060</v>
      </c>
      <c r="AJ24">
        <v>148940</v>
      </c>
      <c r="AK24">
        <v>0</v>
      </c>
      <c r="AL24">
        <v>1496000</v>
      </c>
      <c r="AM24" t="s">
        <v>362</v>
      </c>
      <c r="AN24" t="s">
        <v>363</v>
      </c>
      <c r="AO24" t="s">
        <v>364</v>
      </c>
      <c r="AP24" t="s">
        <v>81</v>
      </c>
      <c r="AQ24" t="s">
        <v>82</v>
      </c>
      <c r="AR24" t="s">
        <v>443</v>
      </c>
      <c r="AS24" s="3">
        <v>46202.465223999308</v>
      </c>
      <c r="AT24" t="s">
        <v>89</v>
      </c>
      <c r="AU24" t="s">
        <v>90</v>
      </c>
      <c r="AV24" t="s">
        <v>91</v>
      </c>
      <c r="AW24" t="s">
        <v>92</v>
      </c>
      <c r="AX24" t="s">
        <v>93</v>
      </c>
      <c r="AY24" t="s">
        <v>94</v>
      </c>
      <c r="AZ24" t="s">
        <v>85</v>
      </c>
      <c r="BA24" t="s">
        <v>444</v>
      </c>
      <c r="BB24" t="s">
        <v>433</v>
      </c>
      <c r="BC24" t="s">
        <v>435</v>
      </c>
      <c r="BD24" t="s">
        <v>362</v>
      </c>
      <c r="BE24" t="s">
        <v>363</v>
      </c>
      <c r="BF24" t="b">
        <f t="shared" si="0"/>
        <v>1</v>
      </c>
      <c r="BG24" t="b">
        <v>1</v>
      </c>
      <c r="BH24">
        <v>2015</v>
      </c>
      <c r="BI24" t="b">
        <v>1</v>
      </c>
      <c r="BJ24" t="s">
        <v>96</v>
      </c>
      <c r="BK24" t="s">
        <v>369</v>
      </c>
      <c r="BL24" t="b">
        <v>1</v>
      </c>
      <c r="BM24" t="b">
        <v>1</v>
      </c>
      <c r="BN24" t="b">
        <v>1</v>
      </c>
      <c r="BO24" t="s">
        <v>445</v>
      </c>
      <c r="BP24" t="b">
        <f>IF(IFERROR(VLOOKUP(A24,[1]Planilha1!$A:$A,1,0),FALSE)=FALSE,FALSE,TRUE)</f>
        <v>1</v>
      </c>
    </row>
    <row r="25" spans="1:68" x14ac:dyDescent="0.25">
      <c r="A25" t="s">
        <v>446</v>
      </c>
      <c r="B25" t="s">
        <v>68</v>
      </c>
      <c r="D25" s="1">
        <v>46204</v>
      </c>
      <c r="E25" s="1">
        <v>47664</v>
      </c>
      <c r="F25" t="s">
        <v>447</v>
      </c>
      <c r="G25" t="s">
        <v>448</v>
      </c>
      <c r="H25" s="2" t="s">
        <v>449</v>
      </c>
      <c r="I25" t="s">
        <v>448</v>
      </c>
      <c r="K25" t="s">
        <v>450</v>
      </c>
      <c r="L25">
        <v>5115153</v>
      </c>
      <c r="M25" t="s">
        <v>451</v>
      </c>
      <c r="N25" t="s">
        <v>452</v>
      </c>
      <c r="O25" t="s">
        <v>453</v>
      </c>
      <c r="P25" t="s">
        <v>454</v>
      </c>
      <c r="Q25" t="s">
        <v>455</v>
      </c>
      <c r="R25" t="s">
        <v>456</v>
      </c>
      <c r="S25" t="s">
        <v>457</v>
      </c>
      <c r="T25" t="s">
        <v>458</v>
      </c>
      <c r="U25" t="s">
        <v>81</v>
      </c>
      <c r="V25" t="s">
        <v>82</v>
      </c>
      <c r="W25" t="s">
        <v>456</v>
      </c>
      <c r="X25" t="s">
        <v>457</v>
      </c>
      <c r="Y25" t="s">
        <v>458</v>
      </c>
      <c r="Z25" t="s">
        <v>81</v>
      </c>
      <c r="AA25" t="s">
        <v>82</v>
      </c>
      <c r="AB25" t="s">
        <v>83</v>
      </c>
      <c r="AC25" t="s">
        <v>459</v>
      </c>
      <c r="AD25" t="s">
        <v>238</v>
      </c>
      <c r="AE25" t="s">
        <v>460</v>
      </c>
      <c r="AF25" t="s">
        <v>238</v>
      </c>
      <c r="AG25" t="s">
        <v>461</v>
      </c>
      <c r="AH25">
        <v>12</v>
      </c>
      <c r="AI25">
        <v>1440000</v>
      </c>
      <c r="AJ25">
        <v>150000</v>
      </c>
      <c r="AK25">
        <v>0</v>
      </c>
      <c r="AL25">
        <v>1590000</v>
      </c>
      <c r="AM25" t="s">
        <v>456</v>
      </c>
      <c r="AN25" t="s">
        <v>457</v>
      </c>
      <c r="AO25" t="s">
        <v>458</v>
      </c>
      <c r="AP25" t="s">
        <v>81</v>
      </c>
      <c r="AQ25" t="s">
        <v>82</v>
      </c>
      <c r="AR25" t="s">
        <v>462</v>
      </c>
      <c r="AS25" s="3">
        <v>46202.465223999308</v>
      </c>
      <c r="AT25" t="s">
        <v>89</v>
      </c>
      <c r="AU25" t="s">
        <v>90</v>
      </c>
      <c r="AV25" t="s">
        <v>91</v>
      </c>
      <c r="AW25" t="s">
        <v>92</v>
      </c>
      <c r="AX25" t="s">
        <v>93</v>
      </c>
      <c r="AY25" t="s">
        <v>94</v>
      </c>
      <c r="AZ25" t="s">
        <v>85</v>
      </c>
      <c r="BA25" t="s">
        <v>463</v>
      </c>
      <c r="BB25" t="s">
        <v>446</v>
      </c>
      <c r="BC25" t="s">
        <v>448</v>
      </c>
      <c r="BD25" t="s">
        <v>456</v>
      </c>
      <c r="BE25" t="s">
        <v>457</v>
      </c>
      <c r="BF25" t="b">
        <f t="shared" si="0"/>
        <v>0</v>
      </c>
      <c r="BG25" t="b">
        <v>0</v>
      </c>
      <c r="BH25">
        <v>2000</v>
      </c>
      <c r="BI25" t="b">
        <v>0</v>
      </c>
      <c r="BJ25" t="s">
        <v>96</v>
      </c>
      <c r="BK25" t="s">
        <v>119</v>
      </c>
      <c r="BL25" t="b">
        <v>1</v>
      </c>
      <c r="BM25" t="b">
        <v>1</v>
      </c>
      <c r="BN25" t="b">
        <v>1</v>
      </c>
      <c r="BO25" t="s">
        <v>464</v>
      </c>
      <c r="BP25" t="b">
        <f>IF(IFERROR(VLOOKUP(A25,[1]Planilha1!$A:$A,1,0),FALSE)=FALSE,FALSE,TRUE)</f>
        <v>0</v>
      </c>
    </row>
    <row r="26" spans="1:68" x14ac:dyDescent="0.25">
      <c r="A26" t="s">
        <v>465</v>
      </c>
      <c r="B26" t="s">
        <v>68</v>
      </c>
      <c r="D26" s="1">
        <v>46204</v>
      </c>
      <c r="E26" s="1">
        <v>47664</v>
      </c>
      <c r="F26" t="s">
        <v>466</v>
      </c>
      <c r="G26" t="s">
        <v>467</v>
      </c>
      <c r="H26" s="2" t="s">
        <v>468</v>
      </c>
      <c r="I26" t="s">
        <v>467</v>
      </c>
      <c r="K26" t="s">
        <v>469</v>
      </c>
      <c r="L26">
        <v>5116464</v>
      </c>
      <c r="M26" t="s">
        <v>470</v>
      </c>
      <c r="N26" t="s">
        <v>295</v>
      </c>
      <c r="O26" t="s">
        <v>296</v>
      </c>
      <c r="P26" t="s">
        <v>129</v>
      </c>
      <c r="Q26" t="s">
        <v>471</v>
      </c>
      <c r="R26" t="s">
        <v>331</v>
      </c>
      <c r="S26" t="s">
        <v>332</v>
      </c>
      <c r="T26" t="s">
        <v>111</v>
      </c>
      <c r="U26" t="s">
        <v>112</v>
      </c>
      <c r="V26" t="s">
        <v>82</v>
      </c>
      <c r="W26" t="s">
        <v>331</v>
      </c>
      <c r="X26" t="s">
        <v>332</v>
      </c>
      <c r="Y26" t="s">
        <v>111</v>
      </c>
      <c r="Z26" t="s">
        <v>112</v>
      </c>
      <c r="AA26" t="s">
        <v>82</v>
      </c>
      <c r="AB26" t="s">
        <v>83</v>
      </c>
      <c r="AC26" t="s">
        <v>135</v>
      </c>
      <c r="AD26" t="s">
        <v>252</v>
      </c>
      <c r="AE26" t="s">
        <v>472</v>
      </c>
      <c r="AF26" t="s">
        <v>252</v>
      </c>
      <c r="AG26" t="s">
        <v>473</v>
      </c>
      <c r="AH26">
        <v>3</v>
      </c>
      <c r="AI26">
        <v>648960</v>
      </c>
      <c r="AJ26">
        <v>0</v>
      </c>
      <c r="AK26">
        <v>0</v>
      </c>
      <c r="AL26">
        <v>648960</v>
      </c>
      <c r="AM26" t="s">
        <v>331</v>
      </c>
      <c r="AN26" t="s">
        <v>332</v>
      </c>
      <c r="AO26" t="s">
        <v>111</v>
      </c>
      <c r="AP26" t="s">
        <v>112</v>
      </c>
      <c r="AQ26" t="s">
        <v>82</v>
      </c>
      <c r="AR26" t="s">
        <v>474</v>
      </c>
      <c r="AS26" s="3">
        <v>46202.465223999308</v>
      </c>
      <c r="AT26" t="s">
        <v>89</v>
      </c>
      <c r="AU26" t="s">
        <v>90</v>
      </c>
      <c r="AV26" t="s">
        <v>91</v>
      </c>
      <c r="AW26" t="s">
        <v>92</v>
      </c>
      <c r="AX26" t="s">
        <v>93</v>
      </c>
      <c r="AY26" t="s">
        <v>94</v>
      </c>
      <c r="AZ26" t="s">
        <v>85</v>
      </c>
      <c r="BA26" t="s">
        <v>475</v>
      </c>
      <c r="BB26" t="s">
        <v>465</v>
      </c>
      <c r="BC26" t="s">
        <v>467</v>
      </c>
      <c r="BD26" t="s">
        <v>331</v>
      </c>
      <c r="BE26" t="s">
        <v>332</v>
      </c>
      <c r="BF26" t="b">
        <f t="shared" si="0"/>
        <v>1</v>
      </c>
      <c r="BG26" t="b">
        <v>1</v>
      </c>
      <c r="BH26">
        <v>2004</v>
      </c>
      <c r="BI26" t="b">
        <v>1</v>
      </c>
      <c r="BJ26" t="s">
        <v>96</v>
      </c>
      <c r="BK26" t="s">
        <v>338</v>
      </c>
      <c r="BL26" t="b">
        <v>1</v>
      </c>
      <c r="BM26" t="b">
        <v>1</v>
      </c>
      <c r="BN26" t="b">
        <v>1</v>
      </c>
      <c r="BO26" t="s">
        <v>476</v>
      </c>
      <c r="BP26" t="b">
        <f>IF(IFERROR(VLOOKUP(A26,[1]Planilha1!$A:$A,1,0),FALSE)=FALSE,FALSE,TRUE)</f>
        <v>1</v>
      </c>
    </row>
    <row r="27" spans="1:68" x14ac:dyDescent="0.25">
      <c r="A27" t="s">
        <v>477</v>
      </c>
      <c r="B27" t="s">
        <v>68</v>
      </c>
      <c r="D27" s="1">
        <v>46204</v>
      </c>
      <c r="E27" s="1">
        <v>47664</v>
      </c>
      <c r="F27" t="s">
        <v>478</v>
      </c>
      <c r="G27" t="s">
        <v>479</v>
      </c>
      <c r="H27" s="2" t="s">
        <v>480</v>
      </c>
      <c r="I27" t="s">
        <v>479</v>
      </c>
      <c r="K27" t="s">
        <v>481</v>
      </c>
      <c r="L27">
        <v>5116761</v>
      </c>
      <c r="M27" t="s">
        <v>482</v>
      </c>
      <c r="N27" t="s">
        <v>228</v>
      </c>
      <c r="O27" t="s">
        <v>229</v>
      </c>
      <c r="P27" t="s">
        <v>230</v>
      </c>
      <c r="Q27" t="s">
        <v>483</v>
      </c>
      <c r="R27" t="s">
        <v>78</v>
      </c>
      <c r="S27" t="s">
        <v>79</v>
      </c>
      <c r="T27" t="s">
        <v>80</v>
      </c>
      <c r="U27" t="s">
        <v>81</v>
      </c>
      <c r="V27" t="s">
        <v>82</v>
      </c>
      <c r="W27" t="s">
        <v>78</v>
      </c>
      <c r="X27" t="s">
        <v>79</v>
      </c>
      <c r="Y27" t="s">
        <v>80</v>
      </c>
      <c r="Z27" t="s">
        <v>81</v>
      </c>
      <c r="AA27" t="s">
        <v>82</v>
      </c>
      <c r="AB27" t="s">
        <v>83</v>
      </c>
      <c r="AC27" t="s">
        <v>235</v>
      </c>
      <c r="AD27" t="s">
        <v>149</v>
      </c>
      <c r="AE27" t="s">
        <v>484</v>
      </c>
      <c r="AF27" t="s">
        <v>85</v>
      </c>
      <c r="AG27" t="s">
        <v>485</v>
      </c>
      <c r="AH27">
        <v>6</v>
      </c>
      <c r="AI27">
        <v>1023360</v>
      </c>
      <c r="AJ27">
        <v>130000</v>
      </c>
      <c r="AK27">
        <v>0</v>
      </c>
      <c r="AL27">
        <v>1153360</v>
      </c>
      <c r="AR27" t="s">
        <v>486</v>
      </c>
      <c r="AS27" s="3">
        <v>46202.465223999308</v>
      </c>
      <c r="AT27" t="s">
        <v>89</v>
      </c>
      <c r="AU27" t="s">
        <v>90</v>
      </c>
      <c r="AV27" t="s">
        <v>91</v>
      </c>
      <c r="AW27" t="s">
        <v>92</v>
      </c>
      <c r="AX27" t="s">
        <v>93</v>
      </c>
      <c r="AY27" t="s">
        <v>94</v>
      </c>
      <c r="AZ27" t="s">
        <v>85</v>
      </c>
      <c r="BA27" t="s">
        <v>487</v>
      </c>
      <c r="BB27" t="s">
        <v>477</v>
      </c>
      <c r="BC27" t="s">
        <v>479</v>
      </c>
      <c r="BD27" t="s">
        <v>78</v>
      </c>
      <c r="BE27" t="s">
        <v>79</v>
      </c>
      <c r="BF27" t="b">
        <f t="shared" si="0"/>
        <v>1</v>
      </c>
      <c r="BG27" t="b">
        <v>1</v>
      </c>
      <c r="BH27">
        <v>2010</v>
      </c>
      <c r="BI27" t="b">
        <v>1</v>
      </c>
      <c r="BJ27" t="s">
        <v>96</v>
      </c>
      <c r="BK27" t="s">
        <v>97</v>
      </c>
      <c r="BL27" t="b">
        <v>1</v>
      </c>
      <c r="BM27" t="b">
        <v>1</v>
      </c>
      <c r="BN27" t="b">
        <v>0</v>
      </c>
      <c r="BO27" t="s">
        <v>488</v>
      </c>
      <c r="BP27" t="b">
        <f>IF(IFERROR(VLOOKUP(A27,[1]Planilha1!$A:$A,1,0),FALSE)=FALSE,FALSE,TRUE)</f>
        <v>1</v>
      </c>
    </row>
    <row r="28" spans="1:68" x14ac:dyDescent="0.25">
      <c r="A28" s="4" t="s">
        <v>489</v>
      </c>
      <c r="B28" t="s">
        <v>68</v>
      </c>
      <c r="D28" s="1">
        <v>46204</v>
      </c>
      <c r="E28" s="1">
        <v>47664</v>
      </c>
      <c r="F28" t="s">
        <v>490</v>
      </c>
      <c r="G28" s="4" t="s">
        <v>491</v>
      </c>
      <c r="H28" s="2" t="s">
        <v>492</v>
      </c>
      <c r="I28" t="s">
        <v>491</v>
      </c>
      <c r="K28" t="s">
        <v>493</v>
      </c>
      <c r="L28">
        <v>5114998</v>
      </c>
      <c r="M28" t="s">
        <v>494</v>
      </c>
      <c r="N28" t="s">
        <v>199</v>
      </c>
      <c r="O28" t="s">
        <v>200</v>
      </c>
      <c r="P28" t="s">
        <v>107</v>
      </c>
      <c r="Q28" t="s">
        <v>495</v>
      </c>
      <c r="R28" t="s">
        <v>281</v>
      </c>
      <c r="S28" t="s">
        <v>282</v>
      </c>
      <c r="T28" t="s">
        <v>111</v>
      </c>
      <c r="U28" t="s">
        <v>112</v>
      </c>
      <c r="V28" t="s">
        <v>82</v>
      </c>
      <c r="W28" t="s">
        <v>281</v>
      </c>
      <c r="X28" t="s">
        <v>282</v>
      </c>
      <c r="Y28" t="s">
        <v>111</v>
      </c>
      <c r="Z28" t="s">
        <v>112</v>
      </c>
      <c r="AA28" t="s">
        <v>82</v>
      </c>
      <c r="AB28" t="s">
        <v>83</v>
      </c>
      <c r="AC28" t="s">
        <v>202</v>
      </c>
      <c r="AD28" t="s">
        <v>238</v>
      </c>
      <c r="AE28" t="s">
        <v>496</v>
      </c>
      <c r="AF28" t="s">
        <v>238</v>
      </c>
      <c r="AG28" t="s">
        <v>497</v>
      </c>
      <c r="AH28">
        <v>7</v>
      </c>
      <c r="AI28">
        <v>1070160</v>
      </c>
      <c r="AJ28">
        <v>100000</v>
      </c>
      <c r="AK28">
        <v>0</v>
      </c>
      <c r="AL28">
        <v>1170160</v>
      </c>
      <c r="AM28" t="s">
        <v>182</v>
      </c>
      <c r="AN28" t="s">
        <v>183</v>
      </c>
      <c r="AO28" t="s">
        <v>184</v>
      </c>
      <c r="AP28" t="s">
        <v>112</v>
      </c>
      <c r="AQ28" t="s">
        <v>82</v>
      </c>
      <c r="AR28" t="s">
        <v>498</v>
      </c>
      <c r="AS28" s="3">
        <v>46202.465223999308</v>
      </c>
      <c r="AT28" t="s">
        <v>89</v>
      </c>
      <c r="AU28" t="s">
        <v>90</v>
      </c>
      <c r="AV28" t="s">
        <v>91</v>
      </c>
      <c r="AW28" t="s">
        <v>92</v>
      </c>
      <c r="AX28" t="s">
        <v>93</v>
      </c>
      <c r="AY28" t="s">
        <v>94</v>
      </c>
      <c r="AZ28" t="s">
        <v>85</v>
      </c>
      <c r="BA28" t="s">
        <v>499</v>
      </c>
      <c r="BB28" s="4" t="s">
        <v>489</v>
      </c>
      <c r="BC28" s="4" t="s">
        <v>491</v>
      </c>
      <c r="BD28" s="4" t="s">
        <v>281</v>
      </c>
      <c r="BE28" s="4" t="s">
        <v>282</v>
      </c>
      <c r="BF28" s="4" t="b">
        <f>TRUE</f>
        <v>1</v>
      </c>
      <c r="BG28" t="b">
        <v>1</v>
      </c>
      <c r="BH28">
        <v>2011</v>
      </c>
      <c r="BI28" t="b">
        <v>1</v>
      </c>
      <c r="BJ28" t="s">
        <v>96</v>
      </c>
      <c r="BK28" t="s">
        <v>287</v>
      </c>
      <c r="BL28" t="b">
        <v>1</v>
      </c>
      <c r="BM28" s="4" t="b">
        <f>TRUE</f>
        <v>1</v>
      </c>
      <c r="BN28" t="b">
        <f>TRUE</f>
        <v>1</v>
      </c>
      <c r="BO28" t="s">
        <v>500</v>
      </c>
      <c r="BP28" t="b">
        <f>IF(IFERROR(VLOOKUP(A28,[1]Planilha1!$A:$A,1,0),FALSE)=FALSE,FALSE,TRUE)</f>
        <v>1</v>
      </c>
    </row>
    <row r="29" spans="1:68" x14ac:dyDescent="0.25">
      <c r="A29" t="s">
        <v>501</v>
      </c>
      <c r="B29" t="s">
        <v>68</v>
      </c>
      <c r="D29" s="1">
        <v>46204</v>
      </c>
      <c r="E29" s="1">
        <v>47664</v>
      </c>
      <c r="F29" t="s">
        <v>502</v>
      </c>
      <c r="G29" t="s">
        <v>503</v>
      </c>
      <c r="H29" s="2" t="s">
        <v>504</v>
      </c>
      <c r="I29" t="s">
        <v>503</v>
      </c>
      <c r="K29" t="s">
        <v>505</v>
      </c>
      <c r="L29">
        <v>5114877</v>
      </c>
      <c r="M29" t="s">
        <v>506</v>
      </c>
      <c r="N29" t="s">
        <v>507</v>
      </c>
      <c r="O29" t="s">
        <v>162</v>
      </c>
      <c r="P29" t="s">
        <v>76</v>
      </c>
      <c r="Q29" t="s">
        <v>508</v>
      </c>
      <c r="R29" t="s">
        <v>509</v>
      </c>
      <c r="S29" t="s">
        <v>510</v>
      </c>
      <c r="T29" t="s">
        <v>184</v>
      </c>
      <c r="U29" t="s">
        <v>112</v>
      </c>
      <c r="V29" t="s">
        <v>82</v>
      </c>
      <c r="W29" t="s">
        <v>509</v>
      </c>
      <c r="X29" t="s">
        <v>510</v>
      </c>
      <c r="Y29" t="s">
        <v>184</v>
      </c>
      <c r="Z29" t="s">
        <v>112</v>
      </c>
      <c r="AA29" t="s">
        <v>82</v>
      </c>
      <c r="AB29" t="s">
        <v>83</v>
      </c>
      <c r="AC29" t="s">
        <v>166</v>
      </c>
      <c r="AD29" t="s">
        <v>238</v>
      </c>
      <c r="AE29" t="s">
        <v>511</v>
      </c>
      <c r="AF29" t="s">
        <v>238</v>
      </c>
      <c r="AG29" t="s">
        <v>512</v>
      </c>
      <c r="AH29">
        <v>4</v>
      </c>
      <c r="AI29">
        <v>755040</v>
      </c>
      <c r="AJ29">
        <v>0</v>
      </c>
      <c r="AK29">
        <v>0</v>
      </c>
      <c r="AL29">
        <v>755040</v>
      </c>
      <c r="AM29" t="s">
        <v>509</v>
      </c>
      <c r="AN29" t="s">
        <v>510</v>
      </c>
      <c r="AO29" t="s">
        <v>184</v>
      </c>
      <c r="AP29" t="s">
        <v>112</v>
      </c>
      <c r="AQ29" t="s">
        <v>82</v>
      </c>
      <c r="AR29" t="s">
        <v>513</v>
      </c>
      <c r="AS29" s="3">
        <v>46202.465223999308</v>
      </c>
      <c r="AT29" t="s">
        <v>89</v>
      </c>
      <c r="AU29" t="s">
        <v>90</v>
      </c>
      <c r="AV29" t="s">
        <v>91</v>
      </c>
      <c r="AW29" t="s">
        <v>92</v>
      </c>
      <c r="AX29" t="s">
        <v>93</v>
      </c>
      <c r="AY29" t="s">
        <v>94</v>
      </c>
      <c r="AZ29" t="s">
        <v>85</v>
      </c>
      <c r="BA29" t="s">
        <v>514</v>
      </c>
      <c r="BB29" t="s">
        <v>501</v>
      </c>
      <c r="BC29" t="s">
        <v>503</v>
      </c>
      <c r="BD29" t="s">
        <v>509</v>
      </c>
      <c r="BE29" t="s">
        <v>510</v>
      </c>
      <c r="BF29" t="b">
        <f t="shared" si="0"/>
        <v>0</v>
      </c>
      <c r="BG29" t="b">
        <v>0</v>
      </c>
      <c r="BH29">
        <v>2010</v>
      </c>
      <c r="BI29" t="b">
        <v>0</v>
      </c>
      <c r="BJ29" t="s">
        <v>96</v>
      </c>
      <c r="BK29" t="s">
        <v>515</v>
      </c>
      <c r="BL29" t="b">
        <v>1</v>
      </c>
      <c r="BM29" t="b">
        <v>1</v>
      </c>
      <c r="BN29" t="b">
        <v>1</v>
      </c>
      <c r="BO29" t="s">
        <v>516</v>
      </c>
      <c r="BP29" t="b">
        <f>IF(IFERROR(VLOOKUP(A29,[1]Planilha1!$A:$A,1,0),FALSE)=FALSE,FALSE,TRUE)</f>
        <v>0</v>
      </c>
    </row>
    <row r="30" spans="1:68" x14ac:dyDescent="0.25">
      <c r="A30" t="s">
        <v>517</v>
      </c>
      <c r="B30" t="s">
        <v>68</v>
      </c>
      <c r="D30" s="1">
        <v>46204</v>
      </c>
      <c r="E30" s="1">
        <v>47664</v>
      </c>
      <c r="F30" t="s">
        <v>502</v>
      </c>
      <c r="G30" t="s">
        <v>503</v>
      </c>
      <c r="H30" s="2" t="s">
        <v>504</v>
      </c>
      <c r="I30" t="s">
        <v>503</v>
      </c>
      <c r="K30" t="s">
        <v>518</v>
      </c>
      <c r="L30">
        <v>5114884</v>
      </c>
      <c r="M30" t="s">
        <v>506</v>
      </c>
      <c r="N30" t="s">
        <v>507</v>
      </c>
      <c r="O30" t="s">
        <v>162</v>
      </c>
      <c r="P30" t="s">
        <v>76</v>
      </c>
      <c r="Q30" t="s">
        <v>508</v>
      </c>
      <c r="R30" t="s">
        <v>509</v>
      </c>
      <c r="S30" t="s">
        <v>510</v>
      </c>
      <c r="T30" t="s">
        <v>184</v>
      </c>
      <c r="U30" t="s">
        <v>112</v>
      </c>
      <c r="V30" t="s">
        <v>82</v>
      </c>
      <c r="W30" t="s">
        <v>509</v>
      </c>
      <c r="X30" t="s">
        <v>510</v>
      </c>
      <c r="Y30" t="s">
        <v>184</v>
      </c>
      <c r="Z30" t="s">
        <v>112</v>
      </c>
      <c r="AA30" t="s">
        <v>82</v>
      </c>
      <c r="AB30" t="s">
        <v>83</v>
      </c>
      <c r="AC30" t="s">
        <v>166</v>
      </c>
      <c r="AD30" t="s">
        <v>238</v>
      </c>
      <c r="AE30" t="s">
        <v>519</v>
      </c>
      <c r="AF30" t="s">
        <v>238</v>
      </c>
      <c r="AG30" t="s">
        <v>520</v>
      </c>
      <c r="AH30">
        <v>4</v>
      </c>
      <c r="AI30">
        <v>755040</v>
      </c>
      <c r="AJ30">
        <v>0</v>
      </c>
      <c r="AK30">
        <v>0</v>
      </c>
      <c r="AL30">
        <v>755040</v>
      </c>
      <c r="AM30" t="s">
        <v>509</v>
      </c>
      <c r="AN30" t="s">
        <v>510</v>
      </c>
      <c r="AO30" t="s">
        <v>184</v>
      </c>
      <c r="AP30" t="s">
        <v>112</v>
      </c>
      <c r="AQ30" t="s">
        <v>82</v>
      </c>
      <c r="AR30" t="s">
        <v>513</v>
      </c>
      <c r="AS30" s="3">
        <v>46202.465223999308</v>
      </c>
      <c r="AT30" t="s">
        <v>89</v>
      </c>
      <c r="AU30" t="s">
        <v>90</v>
      </c>
      <c r="AV30" t="s">
        <v>91</v>
      </c>
      <c r="AW30" t="s">
        <v>92</v>
      </c>
      <c r="AX30" t="s">
        <v>93</v>
      </c>
      <c r="AY30" t="s">
        <v>94</v>
      </c>
      <c r="AZ30" t="s">
        <v>85</v>
      </c>
      <c r="BA30" t="s">
        <v>514</v>
      </c>
      <c r="BB30" t="s">
        <v>517</v>
      </c>
      <c r="BC30" t="s">
        <v>503</v>
      </c>
      <c r="BD30" t="s">
        <v>509</v>
      </c>
      <c r="BE30" t="s">
        <v>510</v>
      </c>
      <c r="BF30" t="b">
        <f t="shared" si="0"/>
        <v>0</v>
      </c>
      <c r="BG30" t="b">
        <v>0</v>
      </c>
      <c r="BH30">
        <v>2010</v>
      </c>
      <c r="BI30" t="b">
        <v>0</v>
      </c>
      <c r="BJ30" t="s">
        <v>96</v>
      </c>
      <c r="BK30" t="s">
        <v>515</v>
      </c>
      <c r="BL30" t="b">
        <v>1</v>
      </c>
      <c r="BM30" t="b">
        <v>1</v>
      </c>
      <c r="BN30" t="b">
        <v>1</v>
      </c>
      <c r="BO30" t="s">
        <v>516</v>
      </c>
      <c r="BP30" t="b">
        <f>IF(IFERROR(VLOOKUP(A30,[1]Planilha1!$A:$A,1,0),FALSE)=FALSE,FALSE,TRUE)</f>
        <v>0</v>
      </c>
    </row>
    <row r="31" spans="1:68" x14ac:dyDescent="0.25">
      <c r="A31" t="s">
        <v>521</v>
      </c>
      <c r="B31" t="s">
        <v>68</v>
      </c>
      <c r="D31" s="1">
        <v>46204</v>
      </c>
      <c r="E31" s="1">
        <v>47664</v>
      </c>
      <c r="F31" t="s">
        <v>522</v>
      </c>
      <c r="G31" t="s">
        <v>523</v>
      </c>
      <c r="H31" s="2" t="s">
        <v>524</v>
      </c>
      <c r="I31" t="s">
        <v>523</v>
      </c>
      <c r="K31" t="s">
        <v>525</v>
      </c>
      <c r="L31">
        <v>5116871</v>
      </c>
      <c r="M31" t="s">
        <v>526</v>
      </c>
      <c r="N31" t="s">
        <v>527</v>
      </c>
      <c r="O31" t="s">
        <v>528</v>
      </c>
      <c r="P31" t="s">
        <v>529</v>
      </c>
      <c r="Q31" t="s">
        <v>530</v>
      </c>
      <c r="R31" t="s">
        <v>78</v>
      </c>
      <c r="S31" t="s">
        <v>79</v>
      </c>
      <c r="T31" t="s">
        <v>80</v>
      </c>
      <c r="U31" t="s">
        <v>81</v>
      </c>
      <c r="V31" t="s">
        <v>82</v>
      </c>
      <c r="W31" t="s">
        <v>78</v>
      </c>
      <c r="X31" t="s">
        <v>79</v>
      </c>
      <c r="Y31" t="s">
        <v>80</v>
      </c>
      <c r="Z31" t="s">
        <v>81</v>
      </c>
      <c r="AA31" t="s">
        <v>82</v>
      </c>
      <c r="AB31" t="s">
        <v>83</v>
      </c>
      <c r="AC31" t="s">
        <v>235</v>
      </c>
      <c r="AD31" t="s">
        <v>85</v>
      </c>
      <c r="AE31" t="s">
        <v>531</v>
      </c>
      <c r="AF31" t="s">
        <v>85</v>
      </c>
      <c r="AG31" t="s">
        <v>532</v>
      </c>
      <c r="AH31">
        <v>9</v>
      </c>
      <c r="AI31">
        <v>973440</v>
      </c>
      <c r="AJ31">
        <v>140608</v>
      </c>
      <c r="AK31">
        <v>0</v>
      </c>
      <c r="AL31">
        <v>1114048</v>
      </c>
      <c r="AM31" t="s">
        <v>78</v>
      </c>
      <c r="AN31" t="s">
        <v>79</v>
      </c>
      <c r="AO31" t="s">
        <v>80</v>
      </c>
      <c r="AP31" t="s">
        <v>81</v>
      </c>
      <c r="AQ31" t="s">
        <v>82</v>
      </c>
      <c r="AR31" t="s">
        <v>533</v>
      </c>
      <c r="AS31" s="3">
        <v>46202.465223999308</v>
      </c>
      <c r="AT31" t="s">
        <v>89</v>
      </c>
      <c r="AU31" t="s">
        <v>90</v>
      </c>
      <c r="AV31" t="s">
        <v>91</v>
      </c>
      <c r="AW31" t="s">
        <v>92</v>
      </c>
      <c r="AX31" t="s">
        <v>93</v>
      </c>
      <c r="AY31" t="s">
        <v>94</v>
      </c>
      <c r="AZ31" t="s">
        <v>85</v>
      </c>
      <c r="BA31" t="s">
        <v>534</v>
      </c>
      <c r="BB31" t="s">
        <v>521</v>
      </c>
      <c r="BC31" t="s">
        <v>523</v>
      </c>
      <c r="BD31" t="s">
        <v>78</v>
      </c>
      <c r="BE31" t="s">
        <v>79</v>
      </c>
      <c r="BF31" t="b">
        <f t="shared" si="0"/>
        <v>1</v>
      </c>
      <c r="BG31" t="b">
        <v>1</v>
      </c>
      <c r="BH31">
        <v>2025</v>
      </c>
      <c r="BI31" t="b">
        <v>1</v>
      </c>
      <c r="BJ31" t="s">
        <v>96</v>
      </c>
      <c r="BK31" t="s">
        <v>97</v>
      </c>
      <c r="BL31" t="b">
        <v>1</v>
      </c>
      <c r="BM31" t="b">
        <v>1</v>
      </c>
      <c r="BN31" t="b">
        <v>1</v>
      </c>
      <c r="BO31" t="s">
        <v>535</v>
      </c>
      <c r="BP31" t="b">
        <f>IF(IFERROR(VLOOKUP(A31,[1]Planilha1!$A:$A,1,0),FALSE)=FALSE,FALSE,TRUE)</f>
        <v>1</v>
      </c>
    </row>
    <row r="32" spans="1:68" x14ac:dyDescent="0.25">
      <c r="A32" t="s">
        <v>536</v>
      </c>
      <c r="B32" t="s">
        <v>68</v>
      </c>
      <c r="D32" s="1">
        <v>46204</v>
      </c>
      <c r="E32" s="1">
        <v>47664</v>
      </c>
      <c r="F32" t="s">
        <v>537</v>
      </c>
      <c r="G32" t="s">
        <v>538</v>
      </c>
      <c r="H32" s="2" t="s">
        <v>539</v>
      </c>
      <c r="I32" t="s">
        <v>538</v>
      </c>
      <c r="K32" t="s">
        <v>540</v>
      </c>
      <c r="L32">
        <v>5116238</v>
      </c>
      <c r="M32" t="s">
        <v>541</v>
      </c>
      <c r="N32" t="s">
        <v>542</v>
      </c>
      <c r="O32" t="s">
        <v>543</v>
      </c>
      <c r="P32" t="s">
        <v>454</v>
      </c>
      <c r="Q32" t="s">
        <v>544</v>
      </c>
      <c r="R32" t="s">
        <v>545</v>
      </c>
      <c r="S32" t="s">
        <v>546</v>
      </c>
      <c r="T32" t="s">
        <v>111</v>
      </c>
      <c r="U32" t="s">
        <v>112</v>
      </c>
      <c r="V32" t="s">
        <v>82</v>
      </c>
      <c r="W32" t="s">
        <v>545</v>
      </c>
      <c r="X32" t="s">
        <v>546</v>
      </c>
      <c r="Y32" t="s">
        <v>111</v>
      </c>
      <c r="Z32" t="s">
        <v>112</v>
      </c>
      <c r="AA32" t="s">
        <v>82</v>
      </c>
      <c r="AB32" t="s">
        <v>83</v>
      </c>
      <c r="AC32" t="s">
        <v>459</v>
      </c>
      <c r="AD32" t="s">
        <v>547</v>
      </c>
      <c r="AE32" t="s">
        <v>548</v>
      </c>
      <c r="AF32" t="s">
        <v>547</v>
      </c>
      <c r="AG32" t="s">
        <v>549</v>
      </c>
      <c r="AH32">
        <v>3</v>
      </c>
      <c r="AI32">
        <v>570960</v>
      </c>
      <c r="AJ32">
        <v>808000</v>
      </c>
      <c r="AK32">
        <v>0</v>
      </c>
      <c r="AL32">
        <v>1378960</v>
      </c>
      <c r="AM32" t="s">
        <v>545</v>
      </c>
      <c r="AN32" t="s">
        <v>546</v>
      </c>
      <c r="AO32" t="s">
        <v>111</v>
      </c>
      <c r="AP32" t="s">
        <v>112</v>
      </c>
      <c r="AQ32" t="s">
        <v>82</v>
      </c>
      <c r="AR32" t="s">
        <v>550</v>
      </c>
      <c r="AS32" s="3">
        <v>46202.465223999308</v>
      </c>
      <c r="AT32" t="s">
        <v>89</v>
      </c>
      <c r="AU32" t="s">
        <v>90</v>
      </c>
      <c r="AV32" t="s">
        <v>91</v>
      </c>
      <c r="AW32" t="s">
        <v>92</v>
      </c>
      <c r="AX32" t="s">
        <v>93</v>
      </c>
      <c r="AY32" t="s">
        <v>94</v>
      </c>
      <c r="AZ32" t="s">
        <v>85</v>
      </c>
      <c r="BA32" t="s">
        <v>551</v>
      </c>
      <c r="BB32" t="s">
        <v>536</v>
      </c>
      <c r="BC32" t="s">
        <v>538</v>
      </c>
      <c r="BD32" t="s">
        <v>545</v>
      </c>
      <c r="BE32" t="s">
        <v>546</v>
      </c>
      <c r="BF32" t="b">
        <f t="shared" si="0"/>
        <v>0</v>
      </c>
      <c r="BG32" t="b">
        <v>0</v>
      </c>
      <c r="BH32">
        <v>2005</v>
      </c>
      <c r="BI32" t="b">
        <v>0</v>
      </c>
      <c r="BJ32" t="s">
        <v>96</v>
      </c>
      <c r="BK32" t="s">
        <v>119</v>
      </c>
      <c r="BL32" t="b">
        <v>1</v>
      </c>
      <c r="BM32" t="b">
        <v>0</v>
      </c>
      <c r="BN32" t="b">
        <v>0</v>
      </c>
      <c r="BO32" t="s">
        <v>552</v>
      </c>
      <c r="BP32" t="b">
        <f>IF(IFERROR(VLOOKUP(A32,[1]Planilha1!$A:$A,1,0),FALSE)=FALSE,FALSE,TRUE)</f>
        <v>0</v>
      </c>
    </row>
    <row r="33" spans="1:68" x14ac:dyDescent="0.25">
      <c r="A33" t="s">
        <v>553</v>
      </c>
      <c r="B33" t="s">
        <v>68</v>
      </c>
      <c r="D33" s="1">
        <v>46204</v>
      </c>
      <c r="E33" s="1">
        <v>47664</v>
      </c>
      <c r="F33" t="s">
        <v>554</v>
      </c>
      <c r="G33" t="s">
        <v>555</v>
      </c>
      <c r="H33" s="2" t="s">
        <v>556</v>
      </c>
      <c r="I33" t="s">
        <v>555</v>
      </c>
      <c r="K33" t="s">
        <v>557</v>
      </c>
      <c r="L33">
        <v>5115546</v>
      </c>
      <c r="M33" t="s">
        <v>558</v>
      </c>
      <c r="N33" t="s">
        <v>179</v>
      </c>
      <c r="O33" t="s">
        <v>180</v>
      </c>
      <c r="P33" t="s">
        <v>129</v>
      </c>
      <c r="Q33" t="s">
        <v>181</v>
      </c>
      <c r="R33" t="s">
        <v>182</v>
      </c>
      <c r="S33" t="s">
        <v>183</v>
      </c>
      <c r="T33" t="s">
        <v>184</v>
      </c>
      <c r="U33" t="s">
        <v>112</v>
      </c>
      <c r="V33" t="s">
        <v>82</v>
      </c>
      <c r="W33" t="s">
        <v>182</v>
      </c>
      <c r="X33" t="s">
        <v>183</v>
      </c>
      <c r="Y33" t="s">
        <v>184</v>
      </c>
      <c r="Z33" t="s">
        <v>112</v>
      </c>
      <c r="AA33" t="s">
        <v>82</v>
      </c>
      <c r="AB33" t="s">
        <v>83</v>
      </c>
      <c r="AC33" t="s">
        <v>185</v>
      </c>
      <c r="AD33" t="s">
        <v>559</v>
      </c>
      <c r="AE33" t="s">
        <v>560</v>
      </c>
      <c r="AF33" t="s">
        <v>559</v>
      </c>
      <c r="AG33" t="s">
        <v>561</v>
      </c>
      <c r="AH33">
        <v>4</v>
      </c>
      <c r="AI33">
        <v>698880</v>
      </c>
      <c r="AJ33">
        <v>148620</v>
      </c>
      <c r="AK33">
        <v>0</v>
      </c>
      <c r="AL33">
        <v>847500</v>
      </c>
      <c r="AR33" t="s">
        <v>562</v>
      </c>
      <c r="AS33" s="3">
        <v>46202.465223999308</v>
      </c>
      <c r="AT33" t="s">
        <v>89</v>
      </c>
      <c r="AU33" t="s">
        <v>90</v>
      </c>
      <c r="AV33" t="s">
        <v>91</v>
      </c>
      <c r="AW33" t="s">
        <v>92</v>
      </c>
      <c r="AX33" t="s">
        <v>93</v>
      </c>
      <c r="AY33" t="s">
        <v>94</v>
      </c>
      <c r="AZ33" t="s">
        <v>85</v>
      </c>
      <c r="BA33" t="s">
        <v>563</v>
      </c>
      <c r="BB33" t="s">
        <v>553</v>
      </c>
      <c r="BC33" t="s">
        <v>555</v>
      </c>
      <c r="BD33" t="s">
        <v>182</v>
      </c>
      <c r="BE33" t="s">
        <v>183</v>
      </c>
      <c r="BF33" t="b">
        <f t="shared" si="0"/>
        <v>1</v>
      </c>
      <c r="BG33" t="b">
        <v>1</v>
      </c>
      <c r="BH33">
        <v>1991</v>
      </c>
      <c r="BI33" t="b">
        <v>1</v>
      </c>
      <c r="BJ33" t="s">
        <v>96</v>
      </c>
      <c r="BK33" t="s">
        <v>191</v>
      </c>
      <c r="BL33" t="b">
        <v>1</v>
      </c>
      <c r="BM33" t="b">
        <v>1</v>
      </c>
      <c r="BN33" t="b">
        <v>1</v>
      </c>
      <c r="BO33" t="s">
        <v>564</v>
      </c>
      <c r="BP33" t="b">
        <f>IF(IFERROR(VLOOKUP(A33,[1]Planilha1!$A:$A,1,0),FALSE)=FALSE,FALSE,TRUE)</f>
        <v>1</v>
      </c>
    </row>
    <row r="34" spans="1:68" x14ac:dyDescent="0.25">
      <c r="A34" t="s">
        <v>565</v>
      </c>
      <c r="B34" t="s">
        <v>68</v>
      </c>
      <c r="D34" s="1">
        <v>46204</v>
      </c>
      <c r="E34" s="1">
        <v>47664</v>
      </c>
      <c r="F34" t="s">
        <v>566</v>
      </c>
      <c r="G34" t="s">
        <v>567</v>
      </c>
      <c r="H34" s="2" t="s">
        <v>568</v>
      </c>
      <c r="I34" t="s">
        <v>567</v>
      </c>
      <c r="K34" t="s">
        <v>569</v>
      </c>
      <c r="L34">
        <v>5116910</v>
      </c>
      <c r="M34" t="s">
        <v>570</v>
      </c>
      <c r="N34" t="s">
        <v>228</v>
      </c>
      <c r="O34" t="s">
        <v>229</v>
      </c>
      <c r="P34" t="s">
        <v>230</v>
      </c>
      <c r="Q34" t="s">
        <v>483</v>
      </c>
      <c r="R34" t="s">
        <v>78</v>
      </c>
      <c r="S34" t="s">
        <v>79</v>
      </c>
      <c r="T34" t="s">
        <v>80</v>
      </c>
      <c r="U34" t="s">
        <v>81</v>
      </c>
      <c r="V34" t="s">
        <v>82</v>
      </c>
      <c r="W34" t="s">
        <v>78</v>
      </c>
      <c r="X34" t="s">
        <v>79</v>
      </c>
      <c r="Y34" t="s">
        <v>80</v>
      </c>
      <c r="Z34" t="s">
        <v>81</v>
      </c>
      <c r="AA34" t="s">
        <v>82</v>
      </c>
      <c r="AB34" t="s">
        <v>83</v>
      </c>
      <c r="AC34" t="s">
        <v>235</v>
      </c>
      <c r="AD34" t="s">
        <v>85</v>
      </c>
      <c r="AE34" t="s">
        <v>571</v>
      </c>
      <c r="AF34" t="s">
        <v>85</v>
      </c>
      <c r="AG34" t="s">
        <v>572</v>
      </c>
      <c r="AH34">
        <v>4</v>
      </c>
      <c r="AI34">
        <v>561600</v>
      </c>
      <c r="AJ34">
        <v>73000</v>
      </c>
      <c r="AK34">
        <v>0</v>
      </c>
      <c r="AL34">
        <v>634600</v>
      </c>
      <c r="AM34" t="s">
        <v>78</v>
      </c>
      <c r="AN34" t="s">
        <v>79</v>
      </c>
      <c r="AO34" t="s">
        <v>80</v>
      </c>
      <c r="AP34" t="s">
        <v>81</v>
      </c>
      <c r="AQ34" t="s">
        <v>82</v>
      </c>
      <c r="AR34" t="s">
        <v>573</v>
      </c>
      <c r="AS34" s="3">
        <v>46202.465223999308</v>
      </c>
      <c r="AT34" t="s">
        <v>89</v>
      </c>
      <c r="AU34" t="s">
        <v>90</v>
      </c>
      <c r="AV34" t="s">
        <v>91</v>
      </c>
      <c r="AW34" t="s">
        <v>92</v>
      </c>
      <c r="AX34" t="s">
        <v>93</v>
      </c>
      <c r="AY34" t="s">
        <v>94</v>
      </c>
      <c r="AZ34" t="s">
        <v>85</v>
      </c>
      <c r="BA34" t="s">
        <v>574</v>
      </c>
      <c r="BB34" t="s">
        <v>565</v>
      </c>
      <c r="BC34" t="s">
        <v>567</v>
      </c>
      <c r="BD34" t="s">
        <v>78</v>
      </c>
      <c r="BE34" t="s">
        <v>79</v>
      </c>
      <c r="BF34" t="b">
        <f t="shared" si="0"/>
        <v>1</v>
      </c>
      <c r="BG34" t="b">
        <v>1</v>
      </c>
      <c r="BH34">
        <v>2019</v>
      </c>
      <c r="BI34" t="b">
        <v>1</v>
      </c>
      <c r="BJ34" t="s">
        <v>96</v>
      </c>
      <c r="BK34" t="s">
        <v>97</v>
      </c>
      <c r="BL34" t="b">
        <v>1</v>
      </c>
      <c r="BM34" t="b">
        <v>1</v>
      </c>
      <c r="BN34" t="b">
        <v>1</v>
      </c>
      <c r="BO34" t="s">
        <v>575</v>
      </c>
      <c r="BP34" t="b">
        <f>IF(IFERROR(VLOOKUP(A34,[1]Planilha1!$A:$A,1,0),FALSE)=FALSE,FALSE,TRUE)</f>
        <v>1</v>
      </c>
    </row>
    <row r="35" spans="1:68" x14ac:dyDescent="0.25">
      <c r="A35" t="s">
        <v>576</v>
      </c>
      <c r="B35" t="s">
        <v>68</v>
      </c>
      <c r="D35" s="1">
        <v>46204</v>
      </c>
      <c r="E35" s="1">
        <v>47664</v>
      </c>
      <c r="F35" t="s">
        <v>577</v>
      </c>
      <c r="G35" t="s">
        <v>578</v>
      </c>
      <c r="H35" s="2" t="s">
        <v>579</v>
      </c>
      <c r="I35" t="s">
        <v>578</v>
      </c>
      <c r="K35" t="s">
        <v>580</v>
      </c>
      <c r="L35">
        <v>5116301</v>
      </c>
      <c r="M35" t="s">
        <v>581</v>
      </c>
      <c r="N35" t="s">
        <v>389</v>
      </c>
      <c r="O35" t="s">
        <v>390</v>
      </c>
      <c r="P35" t="s">
        <v>107</v>
      </c>
      <c r="Q35" t="s">
        <v>391</v>
      </c>
      <c r="R35" t="s">
        <v>182</v>
      </c>
      <c r="S35" t="s">
        <v>183</v>
      </c>
      <c r="T35" t="s">
        <v>184</v>
      </c>
      <c r="U35" t="s">
        <v>112</v>
      </c>
      <c r="V35" t="s">
        <v>82</v>
      </c>
      <c r="W35" t="s">
        <v>182</v>
      </c>
      <c r="X35" t="s">
        <v>183</v>
      </c>
      <c r="Y35" t="s">
        <v>184</v>
      </c>
      <c r="Z35" t="s">
        <v>112</v>
      </c>
      <c r="AA35" t="s">
        <v>82</v>
      </c>
      <c r="AB35" t="s">
        <v>83</v>
      </c>
      <c r="AC35" t="s">
        <v>202</v>
      </c>
      <c r="AD35" t="s">
        <v>136</v>
      </c>
      <c r="AE35" t="s">
        <v>582</v>
      </c>
      <c r="AF35" t="s">
        <v>136</v>
      </c>
      <c r="AG35" t="s">
        <v>583</v>
      </c>
      <c r="AH35">
        <v>7</v>
      </c>
      <c r="AI35">
        <v>1300260</v>
      </c>
      <c r="AJ35">
        <v>106805</v>
      </c>
      <c r="AK35">
        <v>0</v>
      </c>
      <c r="AL35">
        <v>1407065</v>
      </c>
      <c r="AM35" t="s">
        <v>182</v>
      </c>
      <c r="AN35" t="s">
        <v>183</v>
      </c>
      <c r="AO35" t="s">
        <v>184</v>
      </c>
      <c r="AP35" t="s">
        <v>112</v>
      </c>
      <c r="AQ35" t="s">
        <v>82</v>
      </c>
      <c r="AR35" t="s">
        <v>584</v>
      </c>
      <c r="AS35" s="3">
        <v>46202.465223999308</v>
      </c>
      <c r="AT35" t="s">
        <v>89</v>
      </c>
      <c r="AU35" t="s">
        <v>90</v>
      </c>
      <c r="AV35" t="s">
        <v>91</v>
      </c>
      <c r="AW35" t="s">
        <v>92</v>
      </c>
      <c r="AX35" t="s">
        <v>93</v>
      </c>
      <c r="AY35" t="s">
        <v>94</v>
      </c>
      <c r="AZ35" t="s">
        <v>85</v>
      </c>
      <c r="BA35" t="s">
        <v>585</v>
      </c>
      <c r="BB35" t="s">
        <v>576</v>
      </c>
      <c r="BC35" t="s">
        <v>578</v>
      </c>
      <c r="BD35" t="s">
        <v>182</v>
      </c>
      <c r="BE35" t="s">
        <v>183</v>
      </c>
      <c r="BF35" t="b">
        <f t="shared" si="0"/>
        <v>1</v>
      </c>
      <c r="BG35" t="b">
        <v>1</v>
      </c>
      <c r="BH35">
        <v>2002</v>
      </c>
      <c r="BI35" t="b">
        <v>1</v>
      </c>
      <c r="BJ35" t="s">
        <v>96</v>
      </c>
      <c r="BK35" t="s">
        <v>191</v>
      </c>
      <c r="BL35" t="b">
        <v>1</v>
      </c>
      <c r="BM35" t="b">
        <v>1</v>
      </c>
      <c r="BN35" t="b">
        <v>1</v>
      </c>
      <c r="BO35" t="s">
        <v>586</v>
      </c>
      <c r="BP35" t="b">
        <f>IF(IFERROR(VLOOKUP(A35,[1]Planilha1!$A:$A,1,0),FALSE)=FALSE,FALSE,TRUE)</f>
        <v>1</v>
      </c>
    </row>
    <row r="36" spans="1:68" x14ac:dyDescent="0.25">
      <c r="A36" t="s">
        <v>587</v>
      </c>
      <c r="B36" t="s">
        <v>68</v>
      </c>
      <c r="D36" s="1">
        <v>46204</v>
      </c>
      <c r="E36" s="1">
        <v>47664</v>
      </c>
      <c r="F36" t="s">
        <v>588</v>
      </c>
      <c r="G36" t="s">
        <v>589</v>
      </c>
      <c r="H36" s="2" t="s">
        <v>590</v>
      </c>
      <c r="I36" t="s">
        <v>589</v>
      </c>
      <c r="K36" t="s">
        <v>591</v>
      </c>
      <c r="L36">
        <v>5116877</v>
      </c>
      <c r="M36" t="s">
        <v>592</v>
      </c>
      <c r="N36" t="s">
        <v>389</v>
      </c>
      <c r="O36" t="s">
        <v>390</v>
      </c>
      <c r="P36" t="s">
        <v>107</v>
      </c>
      <c r="Q36" t="s">
        <v>593</v>
      </c>
      <c r="R36" t="s">
        <v>182</v>
      </c>
      <c r="S36" t="s">
        <v>183</v>
      </c>
      <c r="T36" t="s">
        <v>184</v>
      </c>
      <c r="U36" t="s">
        <v>112</v>
      </c>
      <c r="V36" t="s">
        <v>82</v>
      </c>
      <c r="W36" t="s">
        <v>182</v>
      </c>
      <c r="X36" t="s">
        <v>183</v>
      </c>
      <c r="Y36" t="s">
        <v>184</v>
      </c>
      <c r="Z36" t="s">
        <v>112</v>
      </c>
      <c r="AA36" t="s">
        <v>82</v>
      </c>
      <c r="AB36" t="s">
        <v>83</v>
      </c>
      <c r="AC36" t="s">
        <v>202</v>
      </c>
      <c r="AD36" t="s">
        <v>85</v>
      </c>
      <c r="AE36" t="s">
        <v>594</v>
      </c>
      <c r="AF36" t="s">
        <v>85</v>
      </c>
      <c r="AG36" t="s">
        <v>595</v>
      </c>
      <c r="AH36">
        <v>3</v>
      </c>
      <c r="AI36">
        <v>492480</v>
      </c>
      <c r="AJ36">
        <v>44928</v>
      </c>
      <c r="AK36">
        <v>0</v>
      </c>
      <c r="AL36">
        <v>537408</v>
      </c>
      <c r="AM36" t="s">
        <v>182</v>
      </c>
      <c r="AN36" t="s">
        <v>183</v>
      </c>
      <c r="AO36" t="s">
        <v>184</v>
      </c>
      <c r="AP36" t="s">
        <v>112</v>
      </c>
      <c r="AQ36" t="s">
        <v>82</v>
      </c>
      <c r="AR36" t="s">
        <v>596</v>
      </c>
      <c r="AS36" s="3">
        <v>46202.465223999308</v>
      </c>
      <c r="AT36" t="s">
        <v>89</v>
      </c>
      <c r="AU36" t="s">
        <v>90</v>
      </c>
      <c r="AV36" t="s">
        <v>91</v>
      </c>
      <c r="AW36" t="s">
        <v>92</v>
      </c>
      <c r="AX36" t="s">
        <v>93</v>
      </c>
      <c r="AY36" t="s">
        <v>94</v>
      </c>
      <c r="AZ36" t="s">
        <v>85</v>
      </c>
      <c r="BA36" t="s">
        <v>597</v>
      </c>
      <c r="BB36" t="s">
        <v>587</v>
      </c>
      <c r="BC36" t="s">
        <v>589</v>
      </c>
      <c r="BD36" t="s">
        <v>182</v>
      </c>
      <c r="BE36" t="s">
        <v>183</v>
      </c>
      <c r="BF36" t="b">
        <f t="shared" si="0"/>
        <v>1</v>
      </c>
      <c r="BG36" t="b">
        <v>1</v>
      </c>
      <c r="BH36">
        <v>1996</v>
      </c>
      <c r="BI36" t="b">
        <v>1</v>
      </c>
      <c r="BJ36" t="s">
        <v>96</v>
      </c>
      <c r="BK36" t="s">
        <v>191</v>
      </c>
      <c r="BL36" t="b">
        <v>1</v>
      </c>
      <c r="BM36" t="b">
        <v>1</v>
      </c>
      <c r="BN36" t="b">
        <v>1</v>
      </c>
      <c r="BO36" t="s">
        <v>598</v>
      </c>
      <c r="BP36" t="b">
        <f>IF(IFERROR(VLOOKUP(A36,[1]Planilha1!$A:$A,1,0),FALSE)=FALSE,FALSE,TRUE)</f>
        <v>1</v>
      </c>
    </row>
    <row r="37" spans="1:68" x14ac:dyDescent="0.25">
      <c r="A37" t="s">
        <v>599</v>
      </c>
      <c r="B37" t="s">
        <v>68</v>
      </c>
      <c r="D37" s="1">
        <v>46204</v>
      </c>
      <c r="E37" s="1">
        <v>47664</v>
      </c>
      <c r="F37" t="s">
        <v>600</v>
      </c>
      <c r="G37" t="s">
        <v>601</v>
      </c>
      <c r="H37" s="2" t="s">
        <v>602</v>
      </c>
      <c r="I37" t="s">
        <v>601</v>
      </c>
      <c r="K37" t="s">
        <v>603</v>
      </c>
      <c r="L37">
        <v>5116805</v>
      </c>
      <c r="M37" t="s">
        <v>604</v>
      </c>
      <c r="N37" t="s">
        <v>389</v>
      </c>
      <c r="O37" t="s">
        <v>390</v>
      </c>
      <c r="P37" t="s">
        <v>107</v>
      </c>
      <c r="Q37" t="s">
        <v>605</v>
      </c>
      <c r="R37" t="s">
        <v>606</v>
      </c>
      <c r="S37" t="s">
        <v>607</v>
      </c>
      <c r="T37" t="s">
        <v>184</v>
      </c>
      <c r="U37" t="s">
        <v>112</v>
      </c>
      <c r="V37" t="s">
        <v>82</v>
      </c>
      <c r="W37" t="s">
        <v>606</v>
      </c>
      <c r="X37" t="s">
        <v>607</v>
      </c>
      <c r="Y37" t="s">
        <v>184</v>
      </c>
      <c r="Z37" t="s">
        <v>112</v>
      </c>
      <c r="AA37" t="s">
        <v>82</v>
      </c>
      <c r="AB37" t="s">
        <v>83</v>
      </c>
      <c r="AC37" t="s">
        <v>202</v>
      </c>
      <c r="AD37" t="s">
        <v>85</v>
      </c>
      <c r="AE37" t="s">
        <v>608</v>
      </c>
      <c r="AF37" t="s">
        <v>85</v>
      </c>
      <c r="AG37" t="s">
        <v>609</v>
      </c>
      <c r="AH37">
        <v>7</v>
      </c>
      <c r="AI37">
        <v>1152060</v>
      </c>
      <c r="AJ37">
        <v>117844</v>
      </c>
      <c r="AK37">
        <v>0</v>
      </c>
      <c r="AL37">
        <v>1269904</v>
      </c>
      <c r="AM37" t="s">
        <v>606</v>
      </c>
      <c r="AN37" t="s">
        <v>607</v>
      </c>
      <c r="AO37" t="s">
        <v>184</v>
      </c>
      <c r="AP37" t="s">
        <v>112</v>
      </c>
      <c r="AQ37" t="s">
        <v>82</v>
      </c>
      <c r="AR37" t="s">
        <v>610</v>
      </c>
      <c r="AS37" s="3">
        <v>46202.465223999308</v>
      </c>
      <c r="AT37" t="s">
        <v>89</v>
      </c>
      <c r="AU37" t="s">
        <v>90</v>
      </c>
      <c r="AV37" t="s">
        <v>91</v>
      </c>
      <c r="AW37" t="s">
        <v>92</v>
      </c>
      <c r="AX37" t="s">
        <v>93</v>
      </c>
      <c r="AY37" t="s">
        <v>94</v>
      </c>
      <c r="AZ37" t="s">
        <v>85</v>
      </c>
      <c r="BA37" t="s">
        <v>611</v>
      </c>
      <c r="BB37" t="s">
        <v>599</v>
      </c>
      <c r="BC37" t="s">
        <v>601</v>
      </c>
      <c r="BD37" t="s">
        <v>606</v>
      </c>
      <c r="BE37" t="s">
        <v>607</v>
      </c>
      <c r="BF37" t="b">
        <f t="shared" si="0"/>
        <v>0</v>
      </c>
      <c r="BG37" t="b">
        <v>0</v>
      </c>
      <c r="BH37">
        <v>1996</v>
      </c>
      <c r="BI37" t="b">
        <v>0</v>
      </c>
      <c r="BJ37" t="s">
        <v>96</v>
      </c>
      <c r="BK37" t="s">
        <v>287</v>
      </c>
      <c r="BL37" t="b">
        <v>1</v>
      </c>
      <c r="BM37" t="b">
        <v>1</v>
      </c>
      <c r="BN37" t="b">
        <v>1</v>
      </c>
      <c r="BO37" t="s">
        <v>612</v>
      </c>
      <c r="BP37" t="b">
        <f>IF(IFERROR(VLOOKUP(A37,[1]Planilha1!$A:$A,1,0),FALSE)=FALSE,FALSE,TRUE)</f>
        <v>0</v>
      </c>
    </row>
    <row r="38" spans="1:68" x14ac:dyDescent="0.25">
      <c r="A38" s="4" t="s">
        <v>613</v>
      </c>
      <c r="B38" t="s">
        <v>68</v>
      </c>
      <c r="D38" s="1">
        <v>46204</v>
      </c>
      <c r="E38" s="1">
        <v>47664</v>
      </c>
      <c r="F38" t="s">
        <v>614</v>
      </c>
      <c r="G38" s="4" t="s">
        <v>615</v>
      </c>
      <c r="H38" s="2" t="s">
        <v>616</v>
      </c>
      <c r="I38" t="s">
        <v>615</v>
      </c>
      <c r="K38" t="s">
        <v>617</v>
      </c>
      <c r="L38">
        <v>5116592</v>
      </c>
      <c r="M38" t="s">
        <v>618</v>
      </c>
      <c r="N38" t="s">
        <v>619</v>
      </c>
      <c r="O38" t="s">
        <v>200</v>
      </c>
      <c r="P38" t="s">
        <v>107</v>
      </c>
      <c r="Q38" t="s">
        <v>620</v>
      </c>
      <c r="R38" t="s">
        <v>182</v>
      </c>
      <c r="S38" t="s">
        <v>183</v>
      </c>
      <c r="T38" t="s">
        <v>184</v>
      </c>
      <c r="U38" t="s">
        <v>112</v>
      </c>
      <c r="V38" t="s">
        <v>82</v>
      </c>
      <c r="W38" t="s">
        <v>182</v>
      </c>
      <c r="X38" t="s">
        <v>183</v>
      </c>
      <c r="Y38" t="s">
        <v>184</v>
      </c>
      <c r="Z38" t="s">
        <v>112</v>
      </c>
      <c r="AA38" t="s">
        <v>82</v>
      </c>
      <c r="AB38" t="s">
        <v>83</v>
      </c>
      <c r="AC38" t="s">
        <v>202</v>
      </c>
      <c r="AD38" t="s">
        <v>149</v>
      </c>
      <c r="AE38" t="s">
        <v>621</v>
      </c>
      <c r="AF38" t="s">
        <v>85</v>
      </c>
      <c r="AG38" t="s">
        <v>622</v>
      </c>
      <c r="AH38">
        <v>5</v>
      </c>
      <c r="AI38">
        <v>1051440</v>
      </c>
      <c r="AJ38">
        <v>132000</v>
      </c>
      <c r="AK38">
        <v>0</v>
      </c>
      <c r="AL38">
        <v>1183440</v>
      </c>
      <c r="AM38" t="s">
        <v>545</v>
      </c>
      <c r="AN38" t="s">
        <v>546</v>
      </c>
      <c r="AO38" t="s">
        <v>111</v>
      </c>
      <c r="AP38" t="s">
        <v>112</v>
      </c>
      <c r="AQ38" t="s">
        <v>82</v>
      </c>
      <c r="AR38" t="s">
        <v>623</v>
      </c>
      <c r="AS38" s="3">
        <v>46202.465223999308</v>
      </c>
      <c r="AT38" t="s">
        <v>89</v>
      </c>
      <c r="AU38" t="s">
        <v>90</v>
      </c>
      <c r="AV38" t="s">
        <v>91</v>
      </c>
      <c r="AW38" t="s">
        <v>92</v>
      </c>
      <c r="AX38" t="s">
        <v>93</v>
      </c>
      <c r="AY38" t="s">
        <v>94</v>
      </c>
      <c r="AZ38" t="s">
        <v>85</v>
      </c>
      <c r="BA38" t="s">
        <v>624</v>
      </c>
      <c r="BB38" s="4" t="s">
        <v>613</v>
      </c>
      <c r="BC38" s="4" t="s">
        <v>615</v>
      </c>
      <c r="BD38" s="4" t="s">
        <v>182</v>
      </c>
      <c r="BE38" s="4" t="s">
        <v>183</v>
      </c>
      <c r="BF38" s="4" t="b">
        <f>TRUE</f>
        <v>1</v>
      </c>
      <c r="BG38" t="b">
        <v>1</v>
      </c>
      <c r="BH38">
        <v>2001</v>
      </c>
      <c r="BI38" t="b">
        <v>1</v>
      </c>
      <c r="BJ38" t="s">
        <v>96</v>
      </c>
      <c r="BK38" t="s">
        <v>191</v>
      </c>
      <c r="BL38" t="b">
        <v>1</v>
      </c>
      <c r="BM38" s="4" t="b">
        <f>TRUE</f>
        <v>1</v>
      </c>
      <c r="BN38" t="b">
        <f>TRUE</f>
        <v>1</v>
      </c>
      <c r="BO38" t="s">
        <v>625</v>
      </c>
      <c r="BP38" t="b">
        <f>IF(IFERROR(VLOOKUP(A38,[1]Planilha1!$A:$A,1,0),FALSE)=FALSE,FALSE,TRUE)</f>
        <v>1</v>
      </c>
    </row>
    <row r="39" spans="1:68" x14ac:dyDescent="0.25">
      <c r="A39" t="s">
        <v>626</v>
      </c>
      <c r="B39" t="s">
        <v>68</v>
      </c>
      <c r="D39" s="1">
        <v>46204</v>
      </c>
      <c r="E39" s="1">
        <v>47664</v>
      </c>
      <c r="F39" t="s">
        <v>627</v>
      </c>
      <c r="G39" t="s">
        <v>628</v>
      </c>
      <c r="H39" s="2" t="s">
        <v>629</v>
      </c>
      <c r="I39" t="s">
        <v>628</v>
      </c>
      <c r="K39" t="s">
        <v>630</v>
      </c>
      <c r="L39">
        <v>5115506</v>
      </c>
      <c r="M39" t="s">
        <v>631</v>
      </c>
      <c r="N39" t="s">
        <v>199</v>
      </c>
      <c r="O39" t="s">
        <v>200</v>
      </c>
      <c r="P39" t="s">
        <v>107</v>
      </c>
      <c r="Q39" t="s">
        <v>632</v>
      </c>
      <c r="R39" t="s">
        <v>182</v>
      </c>
      <c r="S39" t="s">
        <v>183</v>
      </c>
      <c r="T39" t="s">
        <v>184</v>
      </c>
      <c r="U39" t="s">
        <v>112</v>
      </c>
      <c r="V39" t="s">
        <v>82</v>
      </c>
      <c r="W39" t="s">
        <v>182</v>
      </c>
      <c r="X39" t="s">
        <v>183</v>
      </c>
      <c r="Y39" t="s">
        <v>184</v>
      </c>
      <c r="Z39" t="s">
        <v>112</v>
      </c>
      <c r="AA39" t="s">
        <v>82</v>
      </c>
      <c r="AB39" t="s">
        <v>83</v>
      </c>
      <c r="AC39" t="s">
        <v>202</v>
      </c>
      <c r="AD39" t="s">
        <v>633</v>
      </c>
      <c r="AE39" t="s">
        <v>634</v>
      </c>
      <c r="AF39" t="s">
        <v>633</v>
      </c>
      <c r="AG39" t="s">
        <v>635</v>
      </c>
      <c r="AH39">
        <v>2</v>
      </c>
      <c r="AI39">
        <v>374400</v>
      </c>
      <c r="AJ39">
        <v>48672</v>
      </c>
      <c r="AK39">
        <v>0</v>
      </c>
      <c r="AL39">
        <v>423072</v>
      </c>
      <c r="AR39" t="s">
        <v>636</v>
      </c>
      <c r="AS39" s="3">
        <v>46202.465223999308</v>
      </c>
      <c r="AT39" t="s">
        <v>89</v>
      </c>
      <c r="AU39" t="s">
        <v>90</v>
      </c>
      <c r="AV39" t="s">
        <v>91</v>
      </c>
      <c r="AW39" t="s">
        <v>92</v>
      </c>
      <c r="AX39" t="s">
        <v>93</v>
      </c>
      <c r="AY39" t="s">
        <v>94</v>
      </c>
      <c r="AZ39" t="s">
        <v>85</v>
      </c>
      <c r="BA39" t="s">
        <v>637</v>
      </c>
      <c r="BB39" t="s">
        <v>626</v>
      </c>
      <c r="BC39" t="s">
        <v>628</v>
      </c>
      <c r="BD39" t="s">
        <v>182</v>
      </c>
      <c r="BE39" t="s">
        <v>183</v>
      </c>
      <c r="BF39" t="b">
        <f t="shared" si="0"/>
        <v>1</v>
      </c>
      <c r="BG39" t="b">
        <v>1</v>
      </c>
      <c r="BH39">
        <v>2004</v>
      </c>
      <c r="BI39" t="b">
        <v>1</v>
      </c>
      <c r="BJ39" t="s">
        <v>96</v>
      </c>
      <c r="BK39" t="s">
        <v>191</v>
      </c>
      <c r="BL39" t="b">
        <v>1</v>
      </c>
      <c r="BM39" t="b">
        <v>1</v>
      </c>
      <c r="BN39" t="b">
        <v>0</v>
      </c>
      <c r="BO39" t="s">
        <v>638</v>
      </c>
      <c r="BP39" t="b">
        <f>IF(IFERROR(VLOOKUP(A39,[1]Planilha1!$A:$A,1,0),FALSE)=FALSE,FALSE,TRUE)</f>
        <v>1</v>
      </c>
    </row>
    <row r="40" spans="1:68" x14ac:dyDescent="0.25">
      <c r="A40" t="s">
        <v>639</v>
      </c>
      <c r="B40" t="s">
        <v>68</v>
      </c>
      <c r="D40" s="1">
        <v>46204</v>
      </c>
      <c r="E40" s="1">
        <v>47664</v>
      </c>
      <c r="F40" t="s">
        <v>640</v>
      </c>
      <c r="G40" t="s">
        <v>641</v>
      </c>
      <c r="H40" s="2" t="s">
        <v>642</v>
      </c>
      <c r="I40" t="s">
        <v>641</v>
      </c>
      <c r="K40" t="s">
        <v>643</v>
      </c>
      <c r="L40">
        <v>5116564</v>
      </c>
      <c r="M40" t="s">
        <v>644</v>
      </c>
      <c r="N40" t="s">
        <v>645</v>
      </c>
      <c r="O40" t="s">
        <v>646</v>
      </c>
      <c r="P40" t="s">
        <v>647</v>
      </c>
      <c r="Q40" t="s">
        <v>648</v>
      </c>
      <c r="R40" t="s">
        <v>362</v>
      </c>
      <c r="S40" t="s">
        <v>363</v>
      </c>
      <c r="T40" t="s">
        <v>364</v>
      </c>
      <c r="U40" t="s">
        <v>81</v>
      </c>
      <c r="V40" t="s">
        <v>82</v>
      </c>
      <c r="W40" t="s">
        <v>362</v>
      </c>
      <c r="X40" t="s">
        <v>363</v>
      </c>
      <c r="Y40" t="s">
        <v>364</v>
      </c>
      <c r="Z40" t="s">
        <v>81</v>
      </c>
      <c r="AA40" t="s">
        <v>82</v>
      </c>
      <c r="AB40" t="s">
        <v>83</v>
      </c>
      <c r="AC40" t="s">
        <v>649</v>
      </c>
      <c r="AD40" t="s">
        <v>149</v>
      </c>
      <c r="AE40" t="s">
        <v>650</v>
      </c>
      <c r="AF40" t="s">
        <v>85</v>
      </c>
      <c r="AG40" t="s">
        <v>651</v>
      </c>
      <c r="AH40">
        <v>9</v>
      </c>
      <c r="AI40">
        <v>1352640</v>
      </c>
      <c r="AJ40">
        <v>122208</v>
      </c>
      <c r="AK40">
        <v>0</v>
      </c>
      <c r="AL40">
        <v>1474848</v>
      </c>
      <c r="AM40" t="s">
        <v>362</v>
      </c>
      <c r="AN40" t="s">
        <v>363</v>
      </c>
      <c r="AO40" t="s">
        <v>364</v>
      </c>
      <c r="AP40" t="s">
        <v>81</v>
      </c>
      <c r="AQ40" t="s">
        <v>82</v>
      </c>
      <c r="AR40" t="s">
        <v>652</v>
      </c>
      <c r="AS40" s="3">
        <v>46202.465223999308</v>
      </c>
      <c r="AT40" t="s">
        <v>89</v>
      </c>
      <c r="AU40" t="s">
        <v>90</v>
      </c>
      <c r="AV40" t="s">
        <v>91</v>
      </c>
      <c r="AW40" t="s">
        <v>92</v>
      </c>
      <c r="AX40" t="s">
        <v>93</v>
      </c>
      <c r="AY40" t="s">
        <v>94</v>
      </c>
      <c r="AZ40" t="s">
        <v>85</v>
      </c>
      <c r="BA40" t="s">
        <v>653</v>
      </c>
      <c r="BB40" t="s">
        <v>639</v>
      </c>
      <c r="BC40" t="s">
        <v>641</v>
      </c>
      <c r="BD40" t="s">
        <v>362</v>
      </c>
      <c r="BE40" t="s">
        <v>363</v>
      </c>
      <c r="BF40" t="b">
        <f t="shared" si="0"/>
        <v>1</v>
      </c>
      <c r="BG40" t="b">
        <v>1</v>
      </c>
      <c r="BH40">
        <v>2000</v>
      </c>
      <c r="BI40" t="b">
        <v>1</v>
      </c>
      <c r="BJ40" t="s">
        <v>96</v>
      </c>
      <c r="BK40" t="s">
        <v>369</v>
      </c>
      <c r="BL40" t="b">
        <v>1</v>
      </c>
      <c r="BM40" t="b">
        <v>1</v>
      </c>
      <c r="BN40" t="b">
        <v>1</v>
      </c>
      <c r="BO40" t="s">
        <v>654</v>
      </c>
      <c r="BP40" t="b">
        <f>IF(IFERROR(VLOOKUP(A40,[1]Planilha1!$A:$A,1,0),FALSE)=FALSE,FALSE,TRUE)</f>
        <v>1</v>
      </c>
    </row>
    <row r="41" spans="1:68" x14ac:dyDescent="0.25">
      <c r="A41" t="s">
        <v>655</v>
      </c>
      <c r="B41" t="s">
        <v>68</v>
      </c>
      <c r="D41" s="1">
        <v>46204</v>
      </c>
      <c r="E41" s="1">
        <v>47664</v>
      </c>
      <c r="F41" t="s">
        <v>656</v>
      </c>
      <c r="G41" t="s">
        <v>657</v>
      </c>
      <c r="H41" s="2" t="s">
        <v>658</v>
      </c>
      <c r="I41" t="s">
        <v>657</v>
      </c>
      <c r="K41" t="s">
        <v>659</v>
      </c>
      <c r="L41">
        <v>5116695</v>
      </c>
      <c r="M41" t="s">
        <v>660</v>
      </c>
      <c r="N41" t="s">
        <v>214</v>
      </c>
      <c r="O41" t="s">
        <v>215</v>
      </c>
      <c r="P41" t="s">
        <v>76</v>
      </c>
      <c r="Q41" t="s">
        <v>661</v>
      </c>
      <c r="R41" t="s">
        <v>78</v>
      </c>
      <c r="S41" t="s">
        <v>79</v>
      </c>
      <c r="T41" t="s">
        <v>80</v>
      </c>
      <c r="U41" t="s">
        <v>81</v>
      </c>
      <c r="V41" t="s">
        <v>82</v>
      </c>
      <c r="W41" t="s">
        <v>78</v>
      </c>
      <c r="X41" t="s">
        <v>79</v>
      </c>
      <c r="Y41" t="s">
        <v>80</v>
      </c>
      <c r="Z41" t="s">
        <v>81</v>
      </c>
      <c r="AA41" t="s">
        <v>82</v>
      </c>
      <c r="AB41" t="s">
        <v>83</v>
      </c>
      <c r="AC41" t="s">
        <v>84</v>
      </c>
      <c r="AD41" t="s">
        <v>149</v>
      </c>
      <c r="AE41" t="s">
        <v>662</v>
      </c>
      <c r="AF41" t="s">
        <v>85</v>
      </c>
      <c r="AG41" t="s">
        <v>663</v>
      </c>
      <c r="AH41">
        <v>5</v>
      </c>
      <c r="AI41">
        <v>1010880</v>
      </c>
      <c r="AJ41">
        <v>185856</v>
      </c>
      <c r="AK41">
        <v>0</v>
      </c>
      <c r="AL41">
        <v>1196736</v>
      </c>
      <c r="AM41" t="s">
        <v>664</v>
      </c>
      <c r="AN41" t="s">
        <v>665</v>
      </c>
      <c r="AO41" t="s">
        <v>80</v>
      </c>
      <c r="AP41" t="s">
        <v>81</v>
      </c>
      <c r="AQ41" t="s">
        <v>82</v>
      </c>
      <c r="AR41" t="s">
        <v>666</v>
      </c>
      <c r="AS41" s="3">
        <v>46202.465223999308</v>
      </c>
      <c r="AT41" t="s">
        <v>89</v>
      </c>
      <c r="AU41" t="s">
        <v>90</v>
      </c>
      <c r="AV41" t="s">
        <v>91</v>
      </c>
      <c r="AW41" t="s">
        <v>92</v>
      </c>
      <c r="AX41" t="s">
        <v>93</v>
      </c>
      <c r="AY41" t="s">
        <v>94</v>
      </c>
      <c r="AZ41" t="s">
        <v>85</v>
      </c>
      <c r="BA41" t="s">
        <v>667</v>
      </c>
      <c r="BB41" t="s">
        <v>655</v>
      </c>
      <c r="BC41" t="s">
        <v>657</v>
      </c>
      <c r="BD41" t="s">
        <v>78</v>
      </c>
      <c r="BE41" t="s">
        <v>79</v>
      </c>
      <c r="BF41" t="b">
        <f t="shared" si="0"/>
        <v>1</v>
      </c>
      <c r="BG41" t="b">
        <v>1</v>
      </c>
      <c r="BH41">
        <v>2008</v>
      </c>
      <c r="BI41" t="b">
        <v>1</v>
      </c>
      <c r="BJ41" t="s">
        <v>96</v>
      </c>
      <c r="BK41" t="s">
        <v>97</v>
      </c>
      <c r="BL41" t="b">
        <v>1</v>
      </c>
      <c r="BM41" t="b">
        <v>1</v>
      </c>
      <c r="BN41" t="b">
        <v>0</v>
      </c>
      <c r="BO41" t="s">
        <v>668</v>
      </c>
      <c r="BP41" t="b">
        <f>IF(IFERROR(VLOOKUP(A41,[1]Planilha1!$A:$A,1,0),FALSE)=FALSE,FALSE,TRUE)</f>
        <v>1</v>
      </c>
    </row>
    <row r="42" spans="1:68" x14ac:dyDescent="0.25">
      <c r="A42" t="s">
        <v>669</v>
      </c>
      <c r="B42" t="s">
        <v>68</v>
      </c>
      <c r="D42" s="1">
        <v>46204</v>
      </c>
      <c r="E42" s="1">
        <v>47664</v>
      </c>
      <c r="F42" t="s">
        <v>670</v>
      </c>
      <c r="G42" t="s">
        <v>671</v>
      </c>
      <c r="H42" s="2" t="s">
        <v>672</v>
      </c>
      <c r="I42" t="s">
        <v>671</v>
      </c>
      <c r="K42" t="s">
        <v>673</v>
      </c>
      <c r="L42">
        <v>5116472</v>
      </c>
      <c r="M42" t="s">
        <v>674</v>
      </c>
      <c r="N42" t="s">
        <v>199</v>
      </c>
      <c r="O42" t="s">
        <v>200</v>
      </c>
      <c r="P42" t="s">
        <v>107</v>
      </c>
      <c r="Q42" t="s">
        <v>675</v>
      </c>
      <c r="R42" t="s">
        <v>182</v>
      </c>
      <c r="S42" t="s">
        <v>183</v>
      </c>
      <c r="T42" t="s">
        <v>184</v>
      </c>
      <c r="U42" t="s">
        <v>112</v>
      </c>
      <c r="V42" t="s">
        <v>82</v>
      </c>
      <c r="W42" t="s">
        <v>182</v>
      </c>
      <c r="X42" t="s">
        <v>183</v>
      </c>
      <c r="Y42" t="s">
        <v>184</v>
      </c>
      <c r="Z42" t="s">
        <v>112</v>
      </c>
      <c r="AA42" t="s">
        <v>82</v>
      </c>
      <c r="AB42" t="s">
        <v>83</v>
      </c>
      <c r="AC42" t="s">
        <v>202</v>
      </c>
      <c r="AD42" t="s">
        <v>252</v>
      </c>
      <c r="AE42" t="s">
        <v>676</v>
      </c>
      <c r="AF42" t="s">
        <v>252</v>
      </c>
      <c r="AG42" t="s">
        <v>677</v>
      </c>
      <c r="AH42">
        <v>9</v>
      </c>
      <c r="AI42">
        <v>1072800</v>
      </c>
      <c r="AJ42">
        <v>105000</v>
      </c>
      <c r="AK42">
        <v>0</v>
      </c>
      <c r="AL42">
        <v>1177800</v>
      </c>
      <c r="AM42" t="s">
        <v>182</v>
      </c>
      <c r="AN42" t="s">
        <v>183</v>
      </c>
      <c r="AO42" t="s">
        <v>184</v>
      </c>
      <c r="AP42" t="s">
        <v>112</v>
      </c>
      <c r="AQ42" t="s">
        <v>82</v>
      </c>
      <c r="AR42" t="s">
        <v>678</v>
      </c>
      <c r="AS42" s="3">
        <v>46202.465223999308</v>
      </c>
      <c r="AT42" t="s">
        <v>89</v>
      </c>
      <c r="AU42" t="s">
        <v>90</v>
      </c>
      <c r="AV42" t="s">
        <v>91</v>
      </c>
      <c r="AW42" t="s">
        <v>92</v>
      </c>
      <c r="AX42" t="s">
        <v>93</v>
      </c>
      <c r="AY42" t="s">
        <v>94</v>
      </c>
      <c r="AZ42" t="s">
        <v>85</v>
      </c>
      <c r="BA42" t="s">
        <v>679</v>
      </c>
      <c r="BB42" t="s">
        <v>669</v>
      </c>
      <c r="BC42" t="s">
        <v>671</v>
      </c>
      <c r="BD42" t="s">
        <v>182</v>
      </c>
      <c r="BE42" t="s">
        <v>183</v>
      </c>
      <c r="BF42" t="b">
        <f t="shared" si="0"/>
        <v>1</v>
      </c>
      <c r="BG42" t="b">
        <v>1</v>
      </c>
      <c r="BH42">
        <v>2006</v>
      </c>
      <c r="BI42" t="b">
        <v>1</v>
      </c>
      <c r="BJ42" t="s">
        <v>96</v>
      </c>
      <c r="BK42" t="s">
        <v>191</v>
      </c>
      <c r="BL42" t="b">
        <v>1</v>
      </c>
      <c r="BM42" t="b">
        <v>1</v>
      </c>
      <c r="BN42" t="b">
        <v>1</v>
      </c>
      <c r="BO42" t="s">
        <v>680</v>
      </c>
      <c r="BP42" t="b">
        <f>IF(IFERROR(VLOOKUP(A42,[1]Planilha1!$A:$A,1,0),FALSE)=FALSE,FALSE,TRUE)</f>
        <v>1</v>
      </c>
    </row>
    <row r="43" spans="1:68" x14ac:dyDescent="0.25">
      <c r="A43" t="s">
        <v>681</v>
      </c>
      <c r="B43" t="s">
        <v>68</v>
      </c>
      <c r="D43" s="1">
        <v>46204</v>
      </c>
      <c r="E43" s="1">
        <v>47664</v>
      </c>
      <c r="F43" t="s">
        <v>682</v>
      </c>
      <c r="G43" t="s">
        <v>683</v>
      </c>
      <c r="H43" s="2" t="s">
        <v>684</v>
      </c>
      <c r="I43" t="s">
        <v>683</v>
      </c>
      <c r="K43" t="s">
        <v>685</v>
      </c>
      <c r="L43">
        <v>5116501</v>
      </c>
      <c r="M43" t="s">
        <v>686</v>
      </c>
      <c r="N43" t="s">
        <v>527</v>
      </c>
      <c r="O43" t="s">
        <v>528</v>
      </c>
      <c r="P43" t="s">
        <v>529</v>
      </c>
      <c r="Q43" t="s">
        <v>687</v>
      </c>
      <c r="R43" t="s">
        <v>78</v>
      </c>
      <c r="S43" t="s">
        <v>79</v>
      </c>
      <c r="T43" t="s">
        <v>80</v>
      </c>
      <c r="U43" t="s">
        <v>81</v>
      </c>
      <c r="V43" t="s">
        <v>82</v>
      </c>
      <c r="W43" t="s">
        <v>78</v>
      </c>
      <c r="X43" t="s">
        <v>79</v>
      </c>
      <c r="Y43" t="s">
        <v>80</v>
      </c>
      <c r="Z43" t="s">
        <v>81</v>
      </c>
      <c r="AA43" t="s">
        <v>82</v>
      </c>
      <c r="AB43" t="s">
        <v>83</v>
      </c>
      <c r="AC43" t="s">
        <v>235</v>
      </c>
      <c r="AD43" t="s">
        <v>149</v>
      </c>
      <c r="AE43" t="s">
        <v>688</v>
      </c>
      <c r="AF43" t="s">
        <v>149</v>
      </c>
      <c r="AG43" t="s">
        <v>689</v>
      </c>
      <c r="AH43">
        <v>6</v>
      </c>
      <c r="AI43">
        <v>449280</v>
      </c>
      <c r="AJ43">
        <v>58406.400000000001</v>
      </c>
      <c r="AK43">
        <v>0</v>
      </c>
      <c r="AL43">
        <v>507686.40000000002</v>
      </c>
      <c r="AM43" t="s">
        <v>78</v>
      </c>
      <c r="AN43" t="s">
        <v>79</v>
      </c>
      <c r="AO43" t="s">
        <v>80</v>
      </c>
      <c r="AP43" t="s">
        <v>81</v>
      </c>
      <c r="AQ43" t="s">
        <v>82</v>
      </c>
      <c r="AR43" t="s">
        <v>690</v>
      </c>
      <c r="AS43" s="3">
        <v>46202.465223999308</v>
      </c>
      <c r="AT43" t="s">
        <v>89</v>
      </c>
      <c r="AU43" t="s">
        <v>90</v>
      </c>
      <c r="AV43" t="s">
        <v>91</v>
      </c>
      <c r="AW43" t="s">
        <v>92</v>
      </c>
      <c r="AX43" t="s">
        <v>93</v>
      </c>
      <c r="AY43" t="s">
        <v>94</v>
      </c>
      <c r="AZ43" t="s">
        <v>85</v>
      </c>
      <c r="BA43" t="s">
        <v>691</v>
      </c>
      <c r="BB43" t="s">
        <v>681</v>
      </c>
      <c r="BC43" t="s">
        <v>683</v>
      </c>
      <c r="BD43" t="s">
        <v>78</v>
      </c>
      <c r="BE43" t="s">
        <v>79</v>
      </c>
      <c r="BF43" t="b">
        <f t="shared" si="0"/>
        <v>1</v>
      </c>
      <c r="BG43" t="b">
        <v>1</v>
      </c>
      <c r="BH43">
        <v>2022</v>
      </c>
      <c r="BI43" t="b">
        <v>1</v>
      </c>
      <c r="BJ43" t="s">
        <v>96</v>
      </c>
      <c r="BK43" t="s">
        <v>97</v>
      </c>
      <c r="BL43" t="b">
        <v>1</v>
      </c>
      <c r="BM43" t="b">
        <v>1</v>
      </c>
      <c r="BN43" t="b">
        <v>1</v>
      </c>
      <c r="BO43" t="s">
        <v>692</v>
      </c>
      <c r="BP43" t="b">
        <f>IF(IFERROR(VLOOKUP(A43,[1]Planilha1!$A:$A,1,0),FALSE)=FALSE,FALSE,TRUE)</f>
        <v>1</v>
      </c>
    </row>
    <row r="44" spans="1:68" x14ac:dyDescent="0.25">
      <c r="A44" t="s">
        <v>693</v>
      </c>
      <c r="B44" t="s">
        <v>68</v>
      </c>
      <c r="D44" s="1">
        <v>46204</v>
      </c>
      <c r="E44" s="1">
        <v>47664</v>
      </c>
      <c r="F44" t="s">
        <v>694</v>
      </c>
      <c r="G44" t="s">
        <v>695</v>
      </c>
      <c r="H44" s="2" t="s">
        <v>696</v>
      </c>
      <c r="I44" t="s">
        <v>695</v>
      </c>
      <c r="K44" t="s">
        <v>697</v>
      </c>
      <c r="L44">
        <v>5115574</v>
      </c>
      <c r="M44" t="s">
        <v>698</v>
      </c>
      <c r="N44" t="s">
        <v>249</v>
      </c>
      <c r="O44" t="s">
        <v>250</v>
      </c>
      <c r="P44" t="s">
        <v>439</v>
      </c>
      <c r="Q44" t="s">
        <v>699</v>
      </c>
      <c r="R44" t="s">
        <v>700</v>
      </c>
      <c r="S44" t="s">
        <v>701</v>
      </c>
      <c r="T44" t="s">
        <v>80</v>
      </c>
      <c r="U44" t="s">
        <v>81</v>
      </c>
      <c r="V44" t="s">
        <v>82</v>
      </c>
      <c r="W44" t="s">
        <v>700</v>
      </c>
      <c r="X44" t="s">
        <v>701</v>
      </c>
      <c r="Y44" t="s">
        <v>80</v>
      </c>
      <c r="Z44" t="s">
        <v>81</v>
      </c>
      <c r="AA44" t="s">
        <v>82</v>
      </c>
      <c r="AB44" t="s">
        <v>83</v>
      </c>
      <c r="AC44" t="s">
        <v>202</v>
      </c>
      <c r="AD44" t="s">
        <v>702</v>
      </c>
      <c r="AE44" t="s">
        <v>703</v>
      </c>
      <c r="AF44" t="s">
        <v>702</v>
      </c>
      <c r="AG44" t="s">
        <v>704</v>
      </c>
      <c r="AH44">
        <v>7</v>
      </c>
      <c r="AI44">
        <v>1223040</v>
      </c>
      <c r="AJ44">
        <v>122304</v>
      </c>
      <c r="AK44">
        <v>0</v>
      </c>
      <c r="AL44">
        <v>1345344</v>
      </c>
      <c r="AM44" t="s">
        <v>700</v>
      </c>
      <c r="AN44" t="s">
        <v>701</v>
      </c>
      <c r="AO44" t="s">
        <v>80</v>
      </c>
      <c r="AP44" t="s">
        <v>81</v>
      </c>
      <c r="AQ44" t="s">
        <v>82</v>
      </c>
      <c r="AR44" t="s">
        <v>705</v>
      </c>
      <c r="AS44" s="3">
        <v>46202.465223999308</v>
      </c>
      <c r="AT44" t="s">
        <v>89</v>
      </c>
      <c r="AU44" t="s">
        <v>90</v>
      </c>
      <c r="AV44" t="s">
        <v>91</v>
      </c>
      <c r="AW44" t="s">
        <v>92</v>
      </c>
      <c r="AX44" t="s">
        <v>93</v>
      </c>
      <c r="AY44" t="s">
        <v>94</v>
      </c>
      <c r="AZ44" t="s">
        <v>85</v>
      </c>
      <c r="BA44" t="s">
        <v>706</v>
      </c>
      <c r="BB44" t="s">
        <v>693</v>
      </c>
      <c r="BC44" t="s">
        <v>695</v>
      </c>
      <c r="BD44" t="s">
        <v>700</v>
      </c>
      <c r="BE44" t="s">
        <v>701</v>
      </c>
      <c r="BF44" t="b">
        <f t="shared" si="0"/>
        <v>0</v>
      </c>
      <c r="BG44" t="b">
        <v>0</v>
      </c>
      <c r="BH44">
        <v>2007</v>
      </c>
      <c r="BI44" t="b">
        <v>0</v>
      </c>
      <c r="BJ44" t="s">
        <v>96</v>
      </c>
      <c r="BK44" t="s">
        <v>272</v>
      </c>
      <c r="BL44" t="b">
        <v>1</v>
      </c>
      <c r="BM44" t="b">
        <v>1</v>
      </c>
      <c r="BN44" t="b">
        <v>1</v>
      </c>
      <c r="BO44" t="s">
        <v>707</v>
      </c>
      <c r="BP44" t="b">
        <f>IF(IFERROR(VLOOKUP(A44,[1]Planilha1!$A:$A,1,0),FALSE)=FALSE,FALSE,TRUE)</f>
        <v>0</v>
      </c>
    </row>
    <row r="45" spans="1:68" x14ac:dyDescent="0.25">
      <c r="A45" t="s">
        <v>708</v>
      </c>
      <c r="B45" t="s">
        <v>68</v>
      </c>
      <c r="D45" s="1">
        <v>46204</v>
      </c>
      <c r="E45" s="1">
        <v>47664</v>
      </c>
      <c r="F45" t="s">
        <v>709</v>
      </c>
      <c r="G45" t="s">
        <v>710</v>
      </c>
      <c r="H45" s="2" t="s">
        <v>711</v>
      </c>
      <c r="I45" t="s">
        <v>710</v>
      </c>
      <c r="K45" t="s">
        <v>712</v>
      </c>
      <c r="L45">
        <v>5116671</v>
      </c>
      <c r="M45" t="s">
        <v>713</v>
      </c>
      <c r="N45" t="s">
        <v>714</v>
      </c>
      <c r="O45" t="s">
        <v>715</v>
      </c>
      <c r="P45" t="s">
        <v>107</v>
      </c>
      <c r="Q45" t="s">
        <v>716</v>
      </c>
      <c r="R45" t="s">
        <v>331</v>
      </c>
      <c r="S45" t="s">
        <v>332</v>
      </c>
      <c r="T45" t="s">
        <v>111</v>
      </c>
      <c r="U45" t="s">
        <v>112</v>
      </c>
      <c r="V45" t="s">
        <v>82</v>
      </c>
      <c r="W45" t="s">
        <v>331</v>
      </c>
      <c r="X45" t="s">
        <v>332</v>
      </c>
      <c r="Y45" t="s">
        <v>111</v>
      </c>
      <c r="Z45" t="s">
        <v>112</v>
      </c>
      <c r="AA45" t="s">
        <v>82</v>
      </c>
      <c r="AB45" t="s">
        <v>83</v>
      </c>
      <c r="AC45" t="s">
        <v>113</v>
      </c>
      <c r="AD45" t="s">
        <v>149</v>
      </c>
      <c r="AE45" t="s">
        <v>717</v>
      </c>
      <c r="AF45" t="s">
        <v>85</v>
      </c>
      <c r="AG45" t="s">
        <v>718</v>
      </c>
      <c r="AH45">
        <v>5</v>
      </c>
      <c r="AI45">
        <v>1048320</v>
      </c>
      <c r="AJ45">
        <v>136281.60000000001</v>
      </c>
      <c r="AK45">
        <v>0</v>
      </c>
      <c r="AL45">
        <v>1184601.6000000001</v>
      </c>
      <c r="AM45" t="s">
        <v>331</v>
      </c>
      <c r="AN45" t="s">
        <v>332</v>
      </c>
      <c r="AO45" t="s">
        <v>111</v>
      </c>
      <c r="AP45" t="s">
        <v>112</v>
      </c>
      <c r="AQ45" t="s">
        <v>82</v>
      </c>
      <c r="AR45" t="s">
        <v>719</v>
      </c>
      <c r="AS45" s="3">
        <v>46202.465223999308</v>
      </c>
      <c r="AT45" t="s">
        <v>89</v>
      </c>
      <c r="AU45" t="s">
        <v>90</v>
      </c>
      <c r="AV45" t="s">
        <v>91</v>
      </c>
      <c r="AW45" t="s">
        <v>92</v>
      </c>
      <c r="AX45" t="s">
        <v>93</v>
      </c>
      <c r="AY45" t="s">
        <v>94</v>
      </c>
      <c r="AZ45" t="s">
        <v>85</v>
      </c>
      <c r="BA45" t="s">
        <v>720</v>
      </c>
      <c r="BB45" t="s">
        <v>708</v>
      </c>
      <c r="BC45" t="s">
        <v>710</v>
      </c>
      <c r="BD45" t="s">
        <v>331</v>
      </c>
      <c r="BE45" t="s">
        <v>332</v>
      </c>
      <c r="BF45" t="b">
        <f t="shared" si="0"/>
        <v>0</v>
      </c>
      <c r="BG45" t="b">
        <v>1</v>
      </c>
      <c r="BH45">
        <v>1993</v>
      </c>
      <c r="BI45" t="b">
        <v>1</v>
      </c>
      <c r="BJ45" t="s">
        <v>96</v>
      </c>
      <c r="BK45" t="s">
        <v>338</v>
      </c>
      <c r="BL45" t="b">
        <v>1</v>
      </c>
      <c r="BM45" t="b">
        <v>0</v>
      </c>
      <c r="BN45" t="b">
        <v>0</v>
      </c>
      <c r="BO45" t="s">
        <v>721</v>
      </c>
      <c r="BP45" t="b">
        <f>IF(IFERROR(VLOOKUP(A45,[1]Planilha1!$A:$A,1,0),FALSE)=FALSE,FALSE,TRUE)</f>
        <v>0</v>
      </c>
    </row>
    <row r="46" spans="1:68" x14ac:dyDescent="0.25">
      <c r="A46" t="s">
        <v>722</v>
      </c>
      <c r="B46" t="s">
        <v>68</v>
      </c>
      <c r="D46" s="1">
        <v>46204</v>
      </c>
      <c r="E46" s="1">
        <v>47664</v>
      </c>
      <c r="F46" t="s">
        <v>723</v>
      </c>
      <c r="G46" t="s">
        <v>724</v>
      </c>
      <c r="H46" s="2" t="s">
        <v>725</v>
      </c>
      <c r="I46" t="s">
        <v>724</v>
      </c>
      <c r="K46" t="s">
        <v>726</v>
      </c>
      <c r="L46">
        <v>5116567</v>
      </c>
      <c r="M46" t="s">
        <v>727</v>
      </c>
      <c r="N46" t="s">
        <v>228</v>
      </c>
      <c r="O46" t="s">
        <v>229</v>
      </c>
      <c r="P46" t="s">
        <v>230</v>
      </c>
      <c r="Q46" t="s">
        <v>483</v>
      </c>
      <c r="R46" t="s">
        <v>331</v>
      </c>
      <c r="S46" t="s">
        <v>332</v>
      </c>
      <c r="T46" t="s">
        <v>111</v>
      </c>
      <c r="U46" t="s">
        <v>112</v>
      </c>
      <c r="V46" t="s">
        <v>82</v>
      </c>
      <c r="W46" t="s">
        <v>331</v>
      </c>
      <c r="X46" t="s">
        <v>332</v>
      </c>
      <c r="Y46" t="s">
        <v>111</v>
      </c>
      <c r="Z46" t="s">
        <v>112</v>
      </c>
      <c r="AA46" t="s">
        <v>82</v>
      </c>
      <c r="AB46" t="s">
        <v>83</v>
      </c>
      <c r="AC46" t="s">
        <v>235</v>
      </c>
      <c r="AD46" t="s">
        <v>252</v>
      </c>
      <c r="AE46" t="s">
        <v>728</v>
      </c>
      <c r="AF46" t="s">
        <v>85</v>
      </c>
      <c r="AG46" t="s">
        <v>729</v>
      </c>
      <c r="AH46">
        <v>3</v>
      </c>
      <c r="AI46">
        <v>499200</v>
      </c>
      <c r="AJ46">
        <v>64896</v>
      </c>
      <c r="AK46">
        <v>0</v>
      </c>
      <c r="AL46">
        <v>564096</v>
      </c>
      <c r="AM46" t="s">
        <v>331</v>
      </c>
      <c r="AN46" t="s">
        <v>332</v>
      </c>
      <c r="AO46" t="s">
        <v>111</v>
      </c>
      <c r="AP46" t="s">
        <v>112</v>
      </c>
      <c r="AQ46" t="s">
        <v>82</v>
      </c>
      <c r="AR46" t="s">
        <v>730</v>
      </c>
      <c r="AS46" s="3">
        <v>46202.465223999308</v>
      </c>
      <c r="AT46" t="s">
        <v>89</v>
      </c>
      <c r="AU46" t="s">
        <v>90</v>
      </c>
      <c r="AV46" t="s">
        <v>91</v>
      </c>
      <c r="AW46" t="s">
        <v>92</v>
      </c>
      <c r="AX46" t="s">
        <v>93</v>
      </c>
      <c r="AY46" t="s">
        <v>94</v>
      </c>
      <c r="AZ46" t="s">
        <v>85</v>
      </c>
      <c r="BA46" t="s">
        <v>731</v>
      </c>
      <c r="BB46" t="s">
        <v>722</v>
      </c>
      <c r="BC46" t="s">
        <v>724</v>
      </c>
      <c r="BD46" t="s">
        <v>331</v>
      </c>
      <c r="BE46" t="s">
        <v>332</v>
      </c>
      <c r="BF46" t="b">
        <f t="shared" si="0"/>
        <v>1</v>
      </c>
      <c r="BG46" t="b">
        <v>1</v>
      </c>
      <c r="BH46">
        <v>2004</v>
      </c>
      <c r="BI46" t="b">
        <v>1</v>
      </c>
      <c r="BJ46" t="s">
        <v>96</v>
      </c>
      <c r="BK46" t="s">
        <v>338</v>
      </c>
      <c r="BL46" t="b">
        <v>1</v>
      </c>
      <c r="BM46" t="b">
        <v>1</v>
      </c>
      <c r="BN46" t="b">
        <v>1</v>
      </c>
      <c r="BO46" t="s">
        <v>732</v>
      </c>
      <c r="BP46" t="b">
        <f>IF(IFERROR(VLOOKUP(A46,[1]Planilha1!$A:$A,1,0),FALSE)=FALSE,FALSE,TRUE)</f>
        <v>1</v>
      </c>
    </row>
    <row r="47" spans="1:68" x14ac:dyDescent="0.25">
      <c r="A47" t="s">
        <v>733</v>
      </c>
      <c r="B47" t="s">
        <v>68</v>
      </c>
      <c r="D47" s="1">
        <v>46204</v>
      </c>
      <c r="E47" s="1">
        <v>47664</v>
      </c>
      <c r="F47" t="s">
        <v>734</v>
      </c>
      <c r="G47" t="s">
        <v>735</v>
      </c>
      <c r="H47" s="2" t="s">
        <v>736</v>
      </c>
      <c r="I47" t="s">
        <v>735</v>
      </c>
      <c r="K47" t="s">
        <v>737</v>
      </c>
      <c r="L47">
        <v>5116651</v>
      </c>
      <c r="M47" t="s">
        <v>738</v>
      </c>
      <c r="N47" t="s">
        <v>295</v>
      </c>
      <c r="O47" t="s">
        <v>296</v>
      </c>
      <c r="P47" t="s">
        <v>129</v>
      </c>
      <c r="Q47" t="s">
        <v>471</v>
      </c>
      <c r="R47" t="s">
        <v>331</v>
      </c>
      <c r="S47" t="s">
        <v>332</v>
      </c>
      <c r="T47" t="s">
        <v>111</v>
      </c>
      <c r="U47" t="s">
        <v>112</v>
      </c>
      <c r="V47" t="s">
        <v>82</v>
      </c>
      <c r="W47" t="s">
        <v>331</v>
      </c>
      <c r="X47" t="s">
        <v>332</v>
      </c>
      <c r="Y47" t="s">
        <v>111</v>
      </c>
      <c r="Z47" t="s">
        <v>112</v>
      </c>
      <c r="AA47" t="s">
        <v>82</v>
      </c>
      <c r="AB47" t="s">
        <v>83</v>
      </c>
      <c r="AC47" t="s">
        <v>135</v>
      </c>
      <c r="AD47" t="s">
        <v>149</v>
      </c>
      <c r="AE47" t="s">
        <v>739</v>
      </c>
      <c r="AF47" t="s">
        <v>85</v>
      </c>
      <c r="AG47" t="s">
        <v>740</v>
      </c>
      <c r="AH47">
        <v>6</v>
      </c>
      <c r="AI47">
        <v>1054560</v>
      </c>
      <c r="AJ47">
        <v>128867.24</v>
      </c>
      <c r="AK47">
        <v>0</v>
      </c>
      <c r="AL47">
        <v>1183427.24</v>
      </c>
      <c r="AM47" t="s">
        <v>331</v>
      </c>
      <c r="AN47" t="s">
        <v>332</v>
      </c>
      <c r="AO47" t="s">
        <v>111</v>
      </c>
      <c r="AP47" t="s">
        <v>112</v>
      </c>
      <c r="AQ47" t="s">
        <v>82</v>
      </c>
      <c r="AR47" t="s">
        <v>741</v>
      </c>
      <c r="AS47" s="3">
        <v>46202.465223999308</v>
      </c>
      <c r="AT47" t="s">
        <v>89</v>
      </c>
      <c r="AU47" t="s">
        <v>90</v>
      </c>
      <c r="AV47" t="s">
        <v>91</v>
      </c>
      <c r="AW47" t="s">
        <v>92</v>
      </c>
      <c r="AX47" t="s">
        <v>93</v>
      </c>
      <c r="AY47" t="s">
        <v>94</v>
      </c>
      <c r="AZ47" t="s">
        <v>85</v>
      </c>
      <c r="BA47" t="s">
        <v>742</v>
      </c>
      <c r="BB47" t="s">
        <v>733</v>
      </c>
      <c r="BC47" t="s">
        <v>735</v>
      </c>
      <c r="BD47" t="s">
        <v>331</v>
      </c>
      <c r="BE47" t="s">
        <v>332</v>
      </c>
      <c r="BF47" t="b">
        <f t="shared" si="0"/>
        <v>1</v>
      </c>
      <c r="BG47" t="b">
        <v>1</v>
      </c>
      <c r="BH47">
        <v>2003</v>
      </c>
      <c r="BI47" t="b">
        <v>1</v>
      </c>
      <c r="BJ47" t="s">
        <v>96</v>
      </c>
      <c r="BK47" t="s">
        <v>338</v>
      </c>
      <c r="BL47" t="b">
        <v>1</v>
      </c>
      <c r="BM47" t="b">
        <v>1</v>
      </c>
      <c r="BN47" t="b">
        <v>1</v>
      </c>
      <c r="BO47" t="s">
        <v>476</v>
      </c>
      <c r="BP47" t="b">
        <f>IF(IFERROR(VLOOKUP(A47,[1]Planilha1!$A:$A,1,0),FALSE)=FALSE,FALSE,TRUE)</f>
        <v>1</v>
      </c>
    </row>
    <row r="48" spans="1:68" x14ac:dyDescent="0.25">
      <c r="A48" t="s">
        <v>743</v>
      </c>
      <c r="B48" t="s">
        <v>68</v>
      </c>
      <c r="D48" s="1">
        <v>46204</v>
      </c>
      <c r="E48" s="1">
        <v>47664</v>
      </c>
      <c r="F48" t="s">
        <v>744</v>
      </c>
      <c r="G48" t="s">
        <v>745</v>
      </c>
      <c r="H48" s="2" t="s">
        <v>746</v>
      </c>
      <c r="I48" t="s">
        <v>745</v>
      </c>
      <c r="K48" t="s">
        <v>747</v>
      </c>
      <c r="L48">
        <v>5116723</v>
      </c>
      <c r="M48" t="s">
        <v>748</v>
      </c>
      <c r="N48" t="s">
        <v>749</v>
      </c>
      <c r="O48" t="s">
        <v>750</v>
      </c>
      <c r="P48" t="s">
        <v>647</v>
      </c>
      <c r="Q48" t="s">
        <v>751</v>
      </c>
      <c r="R48" t="s">
        <v>752</v>
      </c>
      <c r="S48" t="s">
        <v>753</v>
      </c>
      <c r="T48" t="s">
        <v>754</v>
      </c>
      <c r="U48" t="s">
        <v>81</v>
      </c>
      <c r="V48" t="s">
        <v>82</v>
      </c>
      <c r="W48" t="s">
        <v>752</v>
      </c>
      <c r="X48" t="s">
        <v>753</v>
      </c>
      <c r="Y48" t="s">
        <v>754</v>
      </c>
      <c r="Z48" t="s">
        <v>81</v>
      </c>
      <c r="AA48" t="s">
        <v>82</v>
      </c>
      <c r="AB48" t="s">
        <v>83</v>
      </c>
      <c r="AC48" t="s">
        <v>649</v>
      </c>
      <c r="AD48" t="s">
        <v>149</v>
      </c>
      <c r="AE48" t="s">
        <v>755</v>
      </c>
      <c r="AF48" t="s">
        <v>85</v>
      </c>
      <c r="AG48" t="s">
        <v>756</v>
      </c>
      <c r="AH48">
        <v>4</v>
      </c>
      <c r="AI48">
        <v>748800</v>
      </c>
      <c r="AJ48">
        <v>74359.92</v>
      </c>
      <c r="AK48">
        <v>0</v>
      </c>
      <c r="AL48">
        <v>823159.92</v>
      </c>
      <c r="AM48" t="s">
        <v>752</v>
      </c>
      <c r="AN48" t="s">
        <v>753</v>
      </c>
      <c r="AO48" t="s">
        <v>754</v>
      </c>
      <c r="AP48" t="s">
        <v>81</v>
      </c>
      <c r="AQ48" t="s">
        <v>82</v>
      </c>
      <c r="AR48" t="s">
        <v>757</v>
      </c>
      <c r="AS48" s="3">
        <v>46202.465223999308</v>
      </c>
      <c r="AT48" t="s">
        <v>89</v>
      </c>
      <c r="AU48" t="s">
        <v>90</v>
      </c>
      <c r="AV48" t="s">
        <v>91</v>
      </c>
      <c r="AW48" t="s">
        <v>92</v>
      </c>
      <c r="AX48" t="s">
        <v>93</v>
      </c>
      <c r="AY48" t="s">
        <v>94</v>
      </c>
      <c r="AZ48" t="s">
        <v>85</v>
      </c>
      <c r="BA48" t="s">
        <v>758</v>
      </c>
      <c r="BB48" t="s">
        <v>743</v>
      </c>
      <c r="BC48" t="s">
        <v>745</v>
      </c>
      <c r="BD48" t="s">
        <v>752</v>
      </c>
      <c r="BE48" t="s">
        <v>753</v>
      </c>
      <c r="BF48" t="b">
        <f t="shared" si="0"/>
        <v>0</v>
      </c>
      <c r="BG48" t="b">
        <v>0</v>
      </c>
      <c r="BH48">
        <v>2018</v>
      </c>
      <c r="BI48" t="b">
        <v>0</v>
      </c>
      <c r="BJ48" t="s">
        <v>96</v>
      </c>
      <c r="BK48" t="s">
        <v>119</v>
      </c>
      <c r="BL48" t="b">
        <v>1</v>
      </c>
      <c r="BM48" t="b">
        <v>1</v>
      </c>
      <c r="BN48" t="b">
        <v>1</v>
      </c>
      <c r="BO48" t="s">
        <v>759</v>
      </c>
      <c r="BP48" t="b">
        <f>IF(IFERROR(VLOOKUP(A48,[1]Planilha1!$A:$A,1,0),FALSE)=FALSE,FALSE,TRUE)</f>
        <v>0</v>
      </c>
    </row>
    <row r="49" spans="1:68" x14ac:dyDescent="0.25">
      <c r="A49" t="s">
        <v>760</v>
      </c>
      <c r="B49" t="s">
        <v>68</v>
      </c>
      <c r="D49" s="1">
        <v>46204</v>
      </c>
      <c r="E49" s="1">
        <v>47664</v>
      </c>
      <c r="F49" t="s">
        <v>761</v>
      </c>
      <c r="G49" t="s">
        <v>762</v>
      </c>
      <c r="H49" s="2" t="s">
        <v>763</v>
      </c>
      <c r="I49" t="s">
        <v>762</v>
      </c>
      <c r="K49" t="s">
        <v>764</v>
      </c>
      <c r="L49">
        <v>5116550</v>
      </c>
      <c r="M49" t="s">
        <v>765</v>
      </c>
      <c r="N49" t="s">
        <v>199</v>
      </c>
      <c r="O49" t="s">
        <v>200</v>
      </c>
      <c r="P49" t="s">
        <v>107</v>
      </c>
      <c r="Q49" t="s">
        <v>675</v>
      </c>
      <c r="R49" t="s">
        <v>766</v>
      </c>
      <c r="S49" t="s">
        <v>767</v>
      </c>
      <c r="T49" t="s">
        <v>768</v>
      </c>
      <c r="U49" t="s">
        <v>769</v>
      </c>
      <c r="V49" t="s">
        <v>82</v>
      </c>
      <c r="W49" t="s">
        <v>766</v>
      </c>
      <c r="X49" t="s">
        <v>767</v>
      </c>
      <c r="Y49" t="s">
        <v>768</v>
      </c>
      <c r="Z49" t="s">
        <v>769</v>
      </c>
      <c r="AA49" t="s">
        <v>82</v>
      </c>
      <c r="AB49" t="s">
        <v>83</v>
      </c>
      <c r="AC49" t="s">
        <v>202</v>
      </c>
      <c r="AD49" t="s">
        <v>149</v>
      </c>
      <c r="AE49" t="s">
        <v>770</v>
      </c>
      <c r="AF49" t="s">
        <v>85</v>
      </c>
      <c r="AG49" t="s">
        <v>771</v>
      </c>
      <c r="AH49">
        <v>12</v>
      </c>
      <c r="AI49">
        <v>1339975</v>
      </c>
      <c r="AJ49">
        <v>148630</v>
      </c>
      <c r="AK49">
        <v>0</v>
      </c>
      <c r="AL49">
        <v>1488605</v>
      </c>
      <c r="AR49" t="s">
        <v>772</v>
      </c>
      <c r="AS49" s="3">
        <v>46202.465223999308</v>
      </c>
      <c r="AT49" t="s">
        <v>89</v>
      </c>
      <c r="AU49" t="s">
        <v>90</v>
      </c>
      <c r="AV49" t="s">
        <v>91</v>
      </c>
      <c r="AW49" t="s">
        <v>92</v>
      </c>
      <c r="AX49" t="s">
        <v>93</v>
      </c>
      <c r="AY49" t="s">
        <v>94</v>
      </c>
      <c r="AZ49" t="s">
        <v>85</v>
      </c>
      <c r="BA49" t="s">
        <v>773</v>
      </c>
      <c r="BB49" t="s">
        <v>760</v>
      </c>
      <c r="BC49" t="s">
        <v>762</v>
      </c>
      <c r="BD49" t="s">
        <v>766</v>
      </c>
      <c r="BE49" t="s">
        <v>767</v>
      </c>
      <c r="BF49" t="b">
        <f t="shared" si="0"/>
        <v>1</v>
      </c>
      <c r="BG49" t="b">
        <v>1</v>
      </c>
      <c r="BH49">
        <v>2002</v>
      </c>
      <c r="BI49" t="b">
        <v>1</v>
      </c>
      <c r="BJ49" t="s">
        <v>96</v>
      </c>
      <c r="BK49" t="s">
        <v>119</v>
      </c>
      <c r="BL49" t="b">
        <v>1</v>
      </c>
      <c r="BM49" t="b">
        <v>1</v>
      </c>
      <c r="BN49" t="b">
        <v>1</v>
      </c>
      <c r="BO49" t="s">
        <v>774</v>
      </c>
      <c r="BP49" t="b">
        <f>IF(IFERROR(VLOOKUP(A49,[1]Planilha1!$A:$A,1,0),FALSE)=FALSE,FALSE,TRUE)</f>
        <v>1</v>
      </c>
    </row>
    <row r="50" spans="1:68" x14ac:dyDescent="0.25">
      <c r="A50" t="s">
        <v>775</v>
      </c>
      <c r="B50" t="s">
        <v>68</v>
      </c>
      <c r="D50" s="1">
        <v>46204</v>
      </c>
      <c r="E50" s="1">
        <v>47664</v>
      </c>
      <c r="F50" t="s">
        <v>776</v>
      </c>
      <c r="G50" t="s">
        <v>777</v>
      </c>
      <c r="H50" s="2" t="s">
        <v>778</v>
      </c>
      <c r="I50" t="s">
        <v>777</v>
      </c>
      <c r="K50" t="s">
        <v>779</v>
      </c>
      <c r="L50">
        <v>5116775</v>
      </c>
      <c r="M50" t="s">
        <v>780</v>
      </c>
      <c r="N50" t="s">
        <v>127</v>
      </c>
      <c r="O50" t="s">
        <v>128</v>
      </c>
      <c r="P50" t="s">
        <v>129</v>
      </c>
      <c r="Q50" t="s">
        <v>781</v>
      </c>
      <c r="R50" t="s">
        <v>131</v>
      </c>
      <c r="S50" t="s">
        <v>132</v>
      </c>
      <c r="T50" t="s">
        <v>133</v>
      </c>
      <c r="U50" t="s">
        <v>134</v>
      </c>
      <c r="V50" t="s">
        <v>82</v>
      </c>
      <c r="W50" t="s">
        <v>131</v>
      </c>
      <c r="X50" t="s">
        <v>132</v>
      </c>
      <c r="Y50" t="s">
        <v>133</v>
      </c>
      <c r="Z50" t="s">
        <v>134</v>
      </c>
      <c r="AA50" t="s">
        <v>82</v>
      </c>
      <c r="AB50" t="s">
        <v>83</v>
      </c>
      <c r="AC50" t="s">
        <v>135</v>
      </c>
      <c r="AD50" t="s">
        <v>149</v>
      </c>
      <c r="AE50" t="s">
        <v>782</v>
      </c>
      <c r="AF50" t="s">
        <v>85</v>
      </c>
      <c r="AG50" t="s">
        <v>783</v>
      </c>
      <c r="AH50">
        <v>7</v>
      </c>
      <c r="AI50">
        <v>479040</v>
      </c>
      <c r="AJ50">
        <v>68000</v>
      </c>
      <c r="AK50">
        <v>0</v>
      </c>
      <c r="AL50">
        <v>547040</v>
      </c>
      <c r="AM50" t="s">
        <v>131</v>
      </c>
      <c r="AN50" t="s">
        <v>132</v>
      </c>
      <c r="AO50" t="s">
        <v>133</v>
      </c>
      <c r="AP50" t="s">
        <v>134</v>
      </c>
      <c r="AQ50" t="s">
        <v>82</v>
      </c>
      <c r="AR50" t="s">
        <v>784</v>
      </c>
      <c r="AS50" s="3">
        <v>46202.465223999308</v>
      </c>
      <c r="AT50" t="s">
        <v>89</v>
      </c>
      <c r="AU50" t="s">
        <v>90</v>
      </c>
      <c r="AV50" t="s">
        <v>91</v>
      </c>
      <c r="AW50" t="s">
        <v>92</v>
      </c>
      <c r="AX50" t="s">
        <v>93</v>
      </c>
      <c r="AY50" t="s">
        <v>94</v>
      </c>
      <c r="AZ50" t="s">
        <v>85</v>
      </c>
      <c r="BA50" t="s">
        <v>785</v>
      </c>
      <c r="BB50" t="s">
        <v>775</v>
      </c>
      <c r="BC50" t="s">
        <v>777</v>
      </c>
      <c r="BD50" t="s">
        <v>131</v>
      </c>
      <c r="BE50" t="s">
        <v>132</v>
      </c>
      <c r="BF50" t="b">
        <f t="shared" si="0"/>
        <v>0</v>
      </c>
      <c r="BG50" t="b">
        <v>0</v>
      </c>
      <c r="BH50">
        <v>2020</v>
      </c>
      <c r="BI50" t="b">
        <v>0</v>
      </c>
      <c r="BJ50" t="s">
        <v>96</v>
      </c>
      <c r="BK50" t="s">
        <v>141</v>
      </c>
      <c r="BL50" t="b">
        <v>1</v>
      </c>
      <c r="BM50" t="b">
        <v>1</v>
      </c>
      <c r="BN50" t="b">
        <v>1</v>
      </c>
      <c r="BO50" t="s">
        <v>786</v>
      </c>
      <c r="BP50" t="b">
        <f>IF(IFERROR(VLOOKUP(A50,[1]Planilha1!$A:$A,1,0),FALSE)=FALSE,FALSE,TRUE)</f>
        <v>0</v>
      </c>
    </row>
    <row r="51" spans="1:68" x14ac:dyDescent="0.25">
      <c r="A51" t="s">
        <v>787</v>
      </c>
      <c r="B51" t="s">
        <v>68</v>
      </c>
      <c r="D51" s="1">
        <v>46204</v>
      </c>
      <c r="E51" s="1">
        <v>47664</v>
      </c>
      <c r="F51" t="s">
        <v>788</v>
      </c>
      <c r="G51" t="s">
        <v>789</v>
      </c>
      <c r="H51" s="2" t="s">
        <v>790</v>
      </c>
      <c r="I51" t="s">
        <v>789</v>
      </c>
      <c r="K51" t="s">
        <v>791</v>
      </c>
      <c r="L51">
        <v>5114688</v>
      </c>
      <c r="M51" t="s">
        <v>792</v>
      </c>
      <c r="N51" t="s">
        <v>793</v>
      </c>
      <c r="O51" t="s">
        <v>794</v>
      </c>
      <c r="P51" t="s">
        <v>647</v>
      </c>
      <c r="Q51" t="s">
        <v>795</v>
      </c>
      <c r="R51" t="s">
        <v>796</v>
      </c>
      <c r="S51" t="s">
        <v>797</v>
      </c>
      <c r="T51" t="s">
        <v>300</v>
      </c>
      <c r="U51" t="s">
        <v>301</v>
      </c>
      <c r="V51" t="s">
        <v>82</v>
      </c>
      <c r="W51" t="s">
        <v>796</v>
      </c>
      <c r="X51" t="s">
        <v>797</v>
      </c>
      <c r="Y51" t="s">
        <v>300</v>
      </c>
      <c r="Z51" t="s">
        <v>301</v>
      </c>
      <c r="AA51" t="s">
        <v>82</v>
      </c>
      <c r="AB51" t="s">
        <v>83</v>
      </c>
      <c r="AC51" t="s">
        <v>649</v>
      </c>
      <c r="AD51" t="s">
        <v>236</v>
      </c>
      <c r="AE51" t="s">
        <v>798</v>
      </c>
      <c r="AF51" t="s">
        <v>238</v>
      </c>
      <c r="AG51" t="s">
        <v>799</v>
      </c>
      <c r="AH51">
        <v>6</v>
      </c>
      <c r="AI51">
        <v>1198080</v>
      </c>
      <c r="AJ51">
        <v>100000</v>
      </c>
      <c r="AK51">
        <v>0</v>
      </c>
      <c r="AL51">
        <v>1298080</v>
      </c>
      <c r="AM51" t="s">
        <v>796</v>
      </c>
      <c r="AN51" t="s">
        <v>797</v>
      </c>
      <c r="AO51" t="s">
        <v>300</v>
      </c>
      <c r="AP51" t="s">
        <v>301</v>
      </c>
      <c r="AQ51" t="s">
        <v>82</v>
      </c>
      <c r="AR51" t="s">
        <v>800</v>
      </c>
      <c r="AS51" s="3">
        <v>46202.465223999308</v>
      </c>
      <c r="AT51" t="s">
        <v>89</v>
      </c>
      <c r="AU51" t="s">
        <v>90</v>
      </c>
      <c r="AV51" t="s">
        <v>91</v>
      </c>
      <c r="AW51" t="s">
        <v>92</v>
      </c>
      <c r="AX51" t="s">
        <v>93</v>
      </c>
      <c r="AY51" t="s">
        <v>94</v>
      </c>
      <c r="AZ51" t="s">
        <v>85</v>
      </c>
      <c r="BA51" t="s">
        <v>801</v>
      </c>
      <c r="BB51" t="s">
        <v>787</v>
      </c>
      <c r="BC51" t="s">
        <v>789</v>
      </c>
      <c r="BD51" t="s">
        <v>796</v>
      </c>
      <c r="BE51" t="s">
        <v>797</v>
      </c>
      <c r="BF51" t="b">
        <f t="shared" si="0"/>
        <v>0</v>
      </c>
      <c r="BG51" t="b">
        <v>0</v>
      </c>
      <c r="BH51">
        <v>2000</v>
      </c>
      <c r="BI51" t="b">
        <v>0</v>
      </c>
      <c r="BJ51" t="s">
        <v>96</v>
      </c>
      <c r="BK51" t="s">
        <v>119</v>
      </c>
      <c r="BL51" t="b">
        <v>1</v>
      </c>
      <c r="BM51" t="b">
        <v>1</v>
      </c>
      <c r="BN51" t="b">
        <v>1</v>
      </c>
      <c r="BO51" t="s">
        <v>802</v>
      </c>
      <c r="BP51" t="b">
        <f>IF(IFERROR(VLOOKUP(A51,[1]Planilha1!$A:$A,1,0),FALSE)=FALSE,FALSE,TRUE)</f>
        <v>0</v>
      </c>
    </row>
    <row r="52" spans="1:68" x14ac:dyDescent="0.25">
      <c r="A52" t="s">
        <v>803</v>
      </c>
      <c r="B52" t="s">
        <v>68</v>
      </c>
      <c r="D52" s="1">
        <v>46204</v>
      </c>
      <c r="E52" s="1">
        <v>47664</v>
      </c>
      <c r="F52" t="s">
        <v>804</v>
      </c>
      <c r="G52" t="s">
        <v>805</v>
      </c>
      <c r="H52" s="2" t="s">
        <v>806</v>
      </c>
      <c r="I52" t="s">
        <v>805</v>
      </c>
      <c r="K52" t="s">
        <v>807</v>
      </c>
      <c r="L52">
        <v>5116539</v>
      </c>
      <c r="M52" t="s">
        <v>808</v>
      </c>
      <c r="N52" t="s">
        <v>809</v>
      </c>
      <c r="O52" t="s">
        <v>810</v>
      </c>
      <c r="P52" t="s">
        <v>76</v>
      </c>
      <c r="Q52" t="s">
        <v>811</v>
      </c>
      <c r="R52" t="s">
        <v>362</v>
      </c>
      <c r="S52" t="s">
        <v>363</v>
      </c>
      <c r="T52" t="s">
        <v>364</v>
      </c>
      <c r="U52" t="s">
        <v>81</v>
      </c>
      <c r="V52" t="s">
        <v>82</v>
      </c>
      <c r="W52" t="s">
        <v>362</v>
      </c>
      <c r="X52" t="s">
        <v>363</v>
      </c>
      <c r="Y52" t="s">
        <v>364</v>
      </c>
      <c r="Z52" t="s">
        <v>81</v>
      </c>
      <c r="AA52" t="s">
        <v>82</v>
      </c>
      <c r="AB52" t="s">
        <v>83</v>
      </c>
      <c r="AC52" t="s">
        <v>84</v>
      </c>
      <c r="AD52" t="s">
        <v>149</v>
      </c>
      <c r="AE52" t="s">
        <v>812</v>
      </c>
      <c r="AF52" t="s">
        <v>85</v>
      </c>
      <c r="AG52" t="s">
        <v>813</v>
      </c>
      <c r="AH52">
        <v>8</v>
      </c>
      <c r="AI52">
        <v>1047240</v>
      </c>
      <c r="AJ52">
        <v>136100</v>
      </c>
      <c r="AK52">
        <v>0</v>
      </c>
      <c r="AL52">
        <v>1183340</v>
      </c>
      <c r="AM52" t="s">
        <v>362</v>
      </c>
      <c r="AN52" t="s">
        <v>363</v>
      </c>
      <c r="AO52" t="s">
        <v>364</v>
      </c>
      <c r="AP52" t="s">
        <v>81</v>
      </c>
      <c r="AQ52" t="s">
        <v>82</v>
      </c>
      <c r="AR52" t="s">
        <v>814</v>
      </c>
      <c r="AS52" s="3">
        <v>46202.465223999308</v>
      </c>
      <c r="AT52" t="s">
        <v>89</v>
      </c>
      <c r="AU52" t="s">
        <v>90</v>
      </c>
      <c r="AV52" t="s">
        <v>91</v>
      </c>
      <c r="AW52" t="s">
        <v>92</v>
      </c>
      <c r="AX52" t="s">
        <v>93</v>
      </c>
      <c r="AY52" t="s">
        <v>94</v>
      </c>
      <c r="AZ52" t="s">
        <v>85</v>
      </c>
      <c r="BA52" t="s">
        <v>815</v>
      </c>
      <c r="BB52" t="s">
        <v>803</v>
      </c>
      <c r="BC52" t="s">
        <v>805</v>
      </c>
      <c r="BD52" t="s">
        <v>362</v>
      </c>
      <c r="BE52" t="s">
        <v>363</v>
      </c>
      <c r="BF52" t="b">
        <f t="shared" si="0"/>
        <v>1</v>
      </c>
      <c r="BG52" t="b">
        <v>1</v>
      </c>
      <c r="BH52">
        <v>2013</v>
      </c>
      <c r="BI52" t="b">
        <v>1</v>
      </c>
      <c r="BJ52" t="s">
        <v>96</v>
      </c>
      <c r="BK52" t="s">
        <v>369</v>
      </c>
      <c r="BL52" t="b">
        <v>1</v>
      </c>
      <c r="BM52" t="b">
        <v>1</v>
      </c>
      <c r="BN52" t="b">
        <v>1</v>
      </c>
      <c r="BO52" t="s">
        <v>816</v>
      </c>
      <c r="BP52" t="b">
        <f>IF(IFERROR(VLOOKUP(A52,[1]Planilha1!$A:$A,1,0),FALSE)=FALSE,FALSE,TRUE)</f>
        <v>1</v>
      </c>
    </row>
    <row r="53" spans="1:68" x14ac:dyDescent="0.25">
      <c r="A53" t="s">
        <v>817</v>
      </c>
      <c r="B53" t="s">
        <v>68</v>
      </c>
      <c r="D53" s="1">
        <v>46204</v>
      </c>
      <c r="E53" s="1">
        <v>47664</v>
      </c>
      <c r="F53" t="s">
        <v>818</v>
      </c>
      <c r="G53" t="s">
        <v>819</v>
      </c>
      <c r="H53" s="2" t="s">
        <v>820</v>
      </c>
      <c r="I53" t="s">
        <v>819</v>
      </c>
      <c r="K53" t="s">
        <v>821</v>
      </c>
      <c r="L53">
        <v>5116585</v>
      </c>
      <c r="M53" t="s">
        <v>822</v>
      </c>
      <c r="N53" t="s">
        <v>74</v>
      </c>
      <c r="O53" t="s">
        <v>75</v>
      </c>
      <c r="P53" t="s">
        <v>76</v>
      </c>
      <c r="Q53" t="s">
        <v>823</v>
      </c>
      <c r="R53" t="s">
        <v>362</v>
      </c>
      <c r="S53" t="s">
        <v>363</v>
      </c>
      <c r="T53" t="s">
        <v>364</v>
      </c>
      <c r="U53" t="s">
        <v>81</v>
      </c>
      <c r="V53" t="s">
        <v>82</v>
      </c>
      <c r="W53" t="s">
        <v>362</v>
      </c>
      <c r="X53" t="s">
        <v>363</v>
      </c>
      <c r="Y53" t="s">
        <v>364</v>
      </c>
      <c r="Z53" t="s">
        <v>81</v>
      </c>
      <c r="AA53" t="s">
        <v>82</v>
      </c>
      <c r="AB53" t="s">
        <v>83</v>
      </c>
      <c r="AC53" t="s">
        <v>84</v>
      </c>
      <c r="AD53" t="s">
        <v>252</v>
      </c>
      <c r="AE53" t="s">
        <v>824</v>
      </c>
      <c r="AF53" t="s">
        <v>85</v>
      </c>
      <c r="AG53" t="s">
        <v>825</v>
      </c>
      <c r="AH53">
        <v>7</v>
      </c>
      <c r="AI53">
        <v>1123200</v>
      </c>
      <c r="AJ53">
        <v>39840</v>
      </c>
      <c r="AK53">
        <v>0</v>
      </c>
      <c r="AL53">
        <v>1163040</v>
      </c>
      <c r="AM53" t="s">
        <v>362</v>
      </c>
      <c r="AN53" t="s">
        <v>363</v>
      </c>
      <c r="AO53" t="s">
        <v>364</v>
      </c>
      <c r="AP53" t="s">
        <v>81</v>
      </c>
      <c r="AQ53" t="s">
        <v>82</v>
      </c>
      <c r="AR53" t="s">
        <v>826</v>
      </c>
      <c r="AS53" s="3">
        <v>46202.465223999308</v>
      </c>
      <c r="AT53" t="s">
        <v>89</v>
      </c>
      <c r="AU53" t="s">
        <v>90</v>
      </c>
      <c r="AV53" t="s">
        <v>91</v>
      </c>
      <c r="AW53" t="s">
        <v>92</v>
      </c>
      <c r="AX53" t="s">
        <v>93</v>
      </c>
      <c r="AY53" t="s">
        <v>94</v>
      </c>
      <c r="AZ53" t="s">
        <v>85</v>
      </c>
      <c r="BA53" t="s">
        <v>827</v>
      </c>
      <c r="BB53" t="s">
        <v>817</v>
      </c>
      <c r="BC53" t="s">
        <v>819</v>
      </c>
      <c r="BD53" t="s">
        <v>362</v>
      </c>
      <c r="BE53" t="s">
        <v>363</v>
      </c>
      <c r="BF53" t="b">
        <f t="shared" si="0"/>
        <v>1</v>
      </c>
      <c r="BG53" t="b">
        <v>1</v>
      </c>
      <c r="BH53">
        <v>2012</v>
      </c>
      <c r="BI53" t="b">
        <v>1</v>
      </c>
      <c r="BJ53" t="s">
        <v>96</v>
      </c>
      <c r="BK53" t="s">
        <v>369</v>
      </c>
      <c r="BL53" t="b">
        <v>1</v>
      </c>
      <c r="BM53" t="b">
        <v>1</v>
      </c>
      <c r="BN53" t="b">
        <v>1</v>
      </c>
      <c r="BO53" t="s">
        <v>828</v>
      </c>
      <c r="BP53" t="b">
        <f>IF(IFERROR(VLOOKUP(A53,[1]Planilha1!$A:$A,1,0),FALSE)=FALSE,FALSE,TRUE)</f>
        <v>1</v>
      </c>
    </row>
    <row r="54" spans="1:68" x14ac:dyDescent="0.25">
      <c r="A54" t="s">
        <v>829</v>
      </c>
      <c r="B54" t="s">
        <v>68</v>
      </c>
      <c r="D54" s="1">
        <v>46204</v>
      </c>
      <c r="E54" s="1">
        <v>47664</v>
      </c>
      <c r="F54" t="s">
        <v>830</v>
      </c>
      <c r="G54" t="s">
        <v>831</v>
      </c>
      <c r="H54" s="2" t="s">
        <v>832</v>
      </c>
      <c r="I54" t="s">
        <v>831</v>
      </c>
      <c r="K54" t="s">
        <v>831</v>
      </c>
      <c r="L54">
        <v>5116689</v>
      </c>
      <c r="M54" t="s">
        <v>833</v>
      </c>
      <c r="N54" t="s">
        <v>74</v>
      </c>
      <c r="O54" t="s">
        <v>75</v>
      </c>
      <c r="P54" t="s">
        <v>76</v>
      </c>
      <c r="Q54" t="s">
        <v>77</v>
      </c>
      <c r="R54" t="s">
        <v>78</v>
      </c>
      <c r="S54" t="s">
        <v>79</v>
      </c>
      <c r="T54" t="s">
        <v>80</v>
      </c>
      <c r="U54" t="s">
        <v>81</v>
      </c>
      <c r="V54" t="s">
        <v>82</v>
      </c>
      <c r="W54" t="s">
        <v>78</v>
      </c>
      <c r="X54" t="s">
        <v>79</v>
      </c>
      <c r="Y54" t="s">
        <v>80</v>
      </c>
      <c r="Z54" t="s">
        <v>81</v>
      </c>
      <c r="AA54" t="s">
        <v>82</v>
      </c>
      <c r="AB54" t="s">
        <v>83</v>
      </c>
      <c r="AC54" t="s">
        <v>84</v>
      </c>
      <c r="AD54" t="s">
        <v>149</v>
      </c>
      <c r="AE54" t="s">
        <v>834</v>
      </c>
      <c r="AF54" t="s">
        <v>85</v>
      </c>
      <c r="AG54" t="s">
        <v>835</v>
      </c>
      <c r="AH54">
        <v>5</v>
      </c>
      <c r="AI54">
        <v>585000</v>
      </c>
      <c r="AJ54">
        <v>17950</v>
      </c>
      <c r="AK54">
        <v>0</v>
      </c>
      <c r="AL54">
        <v>602950</v>
      </c>
      <c r="AM54" t="s">
        <v>78</v>
      </c>
      <c r="AN54" t="s">
        <v>79</v>
      </c>
      <c r="AO54" t="s">
        <v>80</v>
      </c>
      <c r="AP54" t="s">
        <v>81</v>
      </c>
      <c r="AQ54" t="s">
        <v>82</v>
      </c>
      <c r="AR54" t="s">
        <v>836</v>
      </c>
      <c r="AS54" s="3">
        <v>46202.465223999308</v>
      </c>
      <c r="AT54" t="s">
        <v>89</v>
      </c>
      <c r="AU54" t="s">
        <v>90</v>
      </c>
      <c r="AV54" t="s">
        <v>91</v>
      </c>
      <c r="AW54" t="s">
        <v>92</v>
      </c>
      <c r="AX54" t="s">
        <v>93</v>
      </c>
      <c r="AY54" t="s">
        <v>94</v>
      </c>
      <c r="AZ54" t="s">
        <v>85</v>
      </c>
      <c r="BA54" t="s">
        <v>837</v>
      </c>
      <c r="BB54" t="s">
        <v>829</v>
      </c>
      <c r="BC54" t="s">
        <v>831</v>
      </c>
      <c r="BD54" t="s">
        <v>78</v>
      </c>
      <c r="BE54" t="s">
        <v>79</v>
      </c>
      <c r="BF54" t="b">
        <f t="shared" si="0"/>
        <v>1</v>
      </c>
      <c r="BG54" t="b">
        <v>1</v>
      </c>
      <c r="BH54">
        <v>2012</v>
      </c>
      <c r="BI54" t="b">
        <v>1</v>
      </c>
      <c r="BJ54" t="s">
        <v>96</v>
      </c>
      <c r="BK54" t="s">
        <v>97</v>
      </c>
      <c r="BL54" t="b">
        <v>1</v>
      </c>
      <c r="BM54" t="b">
        <v>1</v>
      </c>
      <c r="BN54" t="b">
        <v>1</v>
      </c>
      <c r="BO54" t="s">
        <v>838</v>
      </c>
      <c r="BP54" t="b">
        <f>IF(IFERROR(VLOOKUP(A54,[1]Planilha1!$A:$A,1,0),FALSE)=FALSE,FALSE,TRUE)</f>
        <v>1</v>
      </c>
    </row>
    <row r="55" spans="1:68" x14ac:dyDescent="0.25">
      <c r="A55" t="s">
        <v>839</v>
      </c>
      <c r="B55" t="s">
        <v>68</v>
      </c>
      <c r="D55" s="1">
        <v>46204</v>
      </c>
      <c r="E55" s="1">
        <v>47664</v>
      </c>
      <c r="F55" t="s">
        <v>840</v>
      </c>
      <c r="G55" t="s">
        <v>841</v>
      </c>
      <c r="H55" s="2" t="s">
        <v>842</v>
      </c>
      <c r="I55" t="s">
        <v>841</v>
      </c>
      <c r="K55" t="s">
        <v>843</v>
      </c>
      <c r="L55">
        <v>5116708</v>
      </c>
      <c r="M55" t="s">
        <v>844</v>
      </c>
      <c r="N55" t="s">
        <v>809</v>
      </c>
      <c r="O55" t="s">
        <v>810</v>
      </c>
      <c r="P55" t="s">
        <v>76</v>
      </c>
      <c r="Q55" t="s">
        <v>811</v>
      </c>
      <c r="R55" t="s">
        <v>78</v>
      </c>
      <c r="S55" t="s">
        <v>79</v>
      </c>
      <c r="T55" t="s">
        <v>80</v>
      </c>
      <c r="U55" t="s">
        <v>81</v>
      </c>
      <c r="V55" t="s">
        <v>82</v>
      </c>
      <c r="W55" t="s">
        <v>78</v>
      </c>
      <c r="X55" t="s">
        <v>79</v>
      </c>
      <c r="Y55" t="s">
        <v>80</v>
      </c>
      <c r="Z55" t="s">
        <v>81</v>
      </c>
      <c r="AA55" t="s">
        <v>82</v>
      </c>
      <c r="AB55" t="s">
        <v>83</v>
      </c>
      <c r="AC55" t="s">
        <v>84</v>
      </c>
      <c r="AD55" t="s">
        <v>149</v>
      </c>
      <c r="AE55" t="s">
        <v>845</v>
      </c>
      <c r="AF55" t="s">
        <v>85</v>
      </c>
      <c r="AG55" t="s">
        <v>846</v>
      </c>
      <c r="AH55">
        <v>14</v>
      </c>
      <c r="AI55">
        <v>1009920</v>
      </c>
      <c r="AJ55">
        <v>130000</v>
      </c>
      <c r="AK55">
        <v>0</v>
      </c>
      <c r="AL55">
        <v>1139920</v>
      </c>
      <c r="AM55" t="s">
        <v>78</v>
      </c>
      <c r="AN55" t="s">
        <v>79</v>
      </c>
      <c r="AO55" t="s">
        <v>80</v>
      </c>
      <c r="AP55" t="s">
        <v>81</v>
      </c>
      <c r="AQ55" t="s">
        <v>82</v>
      </c>
      <c r="AR55" t="s">
        <v>847</v>
      </c>
      <c r="AS55" s="3">
        <v>46202.465223999308</v>
      </c>
      <c r="AT55" t="s">
        <v>89</v>
      </c>
      <c r="AU55" t="s">
        <v>90</v>
      </c>
      <c r="AV55" t="s">
        <v>91</v>
      </c>
      <c r="AW55" t="s">
        <v>92</v>
      </c>
      <c r="AX55" t="s">
        <v>93</v>
      </c>
      <c r="AY55" t="s">
        <v>94</v>
      </c>
      <c r="AZ55" t="s">
        <v>85</v>
      </c>
      <c r="BA55" t="s">
        <v>848</v>
      </c>
      <c r="BB55" t="s">
        <v>839</v>
      </c>
      <c r="BC55" t="s">
        <v>841</v>
      </c>
      <c r="BD55" t="s">
        <v>78</v>
      </c>
      <c r="BE55" t="s">
        <v>79</v>
      </c>
      <c r="BF55" t="b">
        <f t="shared" si="0"/>
        <v>1</v>
      </c>
      <c r="BG55" t="b">
        <v>1</v>
      </c>
      <c r="BH55">
        <v>2020</v>
      </c>
      <c r="BI55" t="b">
        <v>1</v>
      </c>
      <c r="BJ55" t="s">
        <v>96</v>
      </c>
      <c r="BK55" t="s">
        <v>97</v>
      </c>
      <c r="BL55" t="b">
        <v>1</v>
      </c>
      <c r="BM55" t="b">
        <v>1</v>
      </c>
      <c r="BN55" t="b">
        <v>1</v>
      </c>
      <c r="BO55" t="s">
        <v>849</v>
      </c>
      <c r="BP55" t="b">
        <f>IF(IFERROR(VLOOKUP(A55,[1]Planilha1!$A:$A,1,0),FALSE)=FALSE,FALSE,TRUE)</f>
        <v>1</v>
      </c>
    </row>
    <row r="56" spans="1:68" x14ac:dyDescent="0.25">
      <c r="A56" t="s">
        <v>850</v>
      </c>
      <c r="B56" t="s">
        <v>68</v>
      </c>
      <c r="D56" s="1">
        <v>46204</v>
      </c>
      <c r="E56" s="1">
        <v>47664</v>
      </c>
      <c r="F56" t="s">
        <v>851</v>
      </c>
      <c r="G56" t="s">
        <v>852</v>
      </c>
      <c r="H56" s="2" t="s">
        <v>853</v>
      </c>
      <c r="I56" t="s">
        <v>852</v>
      </c>
      <c r="K56" t="s">
        <v>854</v>
      </c>
      <c r="L56">
        <v>5114566</v>
      </c>
      <c r="M56" t="s">
        <v>855</v>
      </c>
      <c r="N56" t="s">
        <v>856</v>
      </c>
      <c r="O56" t="s">
        <v>857</v>
      </c>
      <c r="P56" t="s">
        <v>454</v>
      </c>
      <c r="Q56" t="s">
        <v>858</v>
      </c>
      <c r="R56" t="s">
        <v>859</v>
      </c>
      <c r="S56" t="s">
        <v>860</v>
      </c>
      <c r="T56" t="s">
        <v>111</v>
      </c>
      <c r="U56" t="s">
        <v>112</v>
      </c>
      <c r="V56" t="s">
        <v>82</v>
      </c>
      <c r="W56" t="s">
        <v>859</v>
      </c>
      <c r="X56" t="s">
        <v>860</v>
      </c>
      <c r="Y56" t="s">
        <v>111</v>
      </c>
      <c r="Z56" t="s">
        <v>112</v>
      </c>
      <c r="AA56" t="s">
        <v>82</v>
      </c>
      <c r="AB56" t="s">
        <v>83</v>
      </c>
      <c r="AC56" t="s">
        <v>459</v>
      </c>
      <c r="AD56" t="s">
        <v>238</v>
      </c>
      <c r="AE56" t="s">
        <v>861</v>
      </c>
      <c r="AF56" t="s">
        <v>238</v>
      </c>
      <c r="AG56" t="s">
        <v>862</v>
      </c>
      <c r="AH56">
        <v>7</v>
      </c>
      <c r="AI56">
        <v>1423240</v>
      </c>
      <c r="AJ56">
        <v>76000</v>
      </c>
      <c r="AK56">
        <v>0</v>
      </c>
      <c r="AL56">
        <v>1499240</v>
      </c>
      <c r="AR56" t="s">
        <v>863</v>
      </c>
      <c r="AS56" s="3">
        <v>46202.465223999308</v>
      </c>
      <c r="AT56" t="s">
        <v>89</v>
      </c>
      <c r="AU56" t="s">
        <v>90</v>
      </c>
      <c r="AV56" t="s">
        <v>91</v>
      </c>
      <c r="AW56" t="s">
        <v>92</v>
      </c>
      <c r="AX56" t="s">
        <v>93</v>
      </c>
      <c r="AY56" t="s">
        <v>94</v>
      </c>
      <c r="AZ56" t="s">
        <v>85</v>
      </c>
      <c r="BA56" t="s">
        <v>864</v>
      </c>
      <c r="BB56" t="s">
        <v>850</v>
      </c>
      <c r="BC56" t="s">
        <v>852</v>
      </c>
      <c r="BD56" t="s">
        <v>859</v>
      </c>
      <c r="BE56" t="s">
        <v>860</v>
      </c>
      <c r="BF56" t="b">
        <f t="shared" si="0"/>
        <v>0</v>
      </c>
      <c r="BG56" t="b">
        <v>0</v>
      </c>
      <c r="BH56">
        <v>2005</v>
      </c>
      <c r="BI56" t="b">
        <v>0</v>
      </c>
      <c r="BJ56" t="s">
        <v>96</v>
      </c>
      <c r="BK56" t="s">
        <v>119</v>
      </c>
      <c r="BL56" t="b">
        <v>1</v>
      </c>
      <c r="BM56" t="b">
        <v>1</v>
      </c>
      <c r="BN56" t="b">
        <v>1</v>
      </c>
      <c r="BO56" t="s">
        <v>865</v>
      </c>
      <c r="BP56" t="b">
        <f>IF(IFERROR(VLOOKUP(A56,[1]Planilha1!$A:$A,1,0),FALSE)=FALSE,FALSE,TRUE)</f>
        <v>0</v>
      </c>
    </row>
    <row r="57" spans="1:68" x14ac:dyDescent="0.25">
      <c r="A57" t="s">
        <v>866</v>
      </c>
      <c r="B57" t="s">
        <v>68</v>
      </c>
      <c r="D57" s="1">
        <v>46204</v>
      </c>
      <c r="E57" s="1">
        <v>47664</v>
      </c>
      <c r="F57" t="s">
        <v>867</v>
      </c>
      <c r="G57" t="s">
        <v>868</v>
      </c>
      <c r="H57" s="2" t="s">
        <v>869</v>
      </c>
      <c r="I57" t="s">
        <v>868</v>
      </c>
      <c r="K57" t="s">
        <v>870</v>
      </c>
      <c r="L57">
        <v>5116803</v>
      </c>
      <c r="M57" t="s">
        <v>871</v>
      </c>
      <c r="N57" t="s">
        <v>872</v>
      </c>
      <c r="O57" t="s">
        <v>873</v>
      </c>
      <c r="P57" t="s">
        <v>647</v>
      </c>
      <c r="Q57" t="s">
        <v>874</v>
      </c>
      <c r="R57" t="s">
        <v>362</v>
      </c>
      <c r="S57" t="s">
        <v>363</v>
      </c>
      <c r="T57" t="s">
        <v>364</v>
      </c>
      <c r="U57" t="s">
        <v>81</v>
      </c>
      <c r="V57" t="s">
        <v>82</v>
      </c>
      <c r="W57" t="s">
        <v>362</v>
      </c>
      <c r="X57" t="s">
        <v>363</v>
      </c>
      <c r="Y57" t="s">
        <v>364</v>
      </c>
      <c r="Z57" t="s">
        <v>81</v>
      </c>
      <c r="AA57" t="s">
        <v>82</v>
      </c>
      <c r="AB57" t="s">
        <v>83</v>
      </c>
      <c r="AC57" t="s">
        <v>649</v>
      </c>
      <c r="AD57" t="s">
        <v>85</v>
      </c>
      <c r="AE57" t="s">
        <v>875</v>
      </c>
      <c r="AF57" t="s">
        <v>85</v>
      </c>
      <c r="AG57" t="s">
        <v>876</v>
      </c>
      <c r="AH57">
        <v>7</v>
      </c>
      <c r="AI57">
        <v>1272960</v>
      </c>
      <c r="AJ57">
        <v>150000</v>
      </c>
      <c r="AK57">
        <v>0</v>
      </c>
      <c r="AL57">
        <v>1422960</v>
      </c>
      <c r="AM57" t="s">
        <v>362</v>
      </c>
      <c r="AN57" t="s">
        <v>363</v>
      </c>
      <c r="AO57" t="s">
        <v>364</v>
      </c>
      <c r="AP57" t="s">
        <v>81</v>
      </c>
      <c r="AQ57" t="s">
        <v>82</v>
      </c>
      <c r="AR57" t="s">
        <v>877</v>
      </c>
      <c r="AS57" s="3">
        <v>46202.465223999308</v>
      </c>
      <c r="AT57" t="s">
        <v>89</v>
      </c>
      <c r="AU57" t="s">
        <v>90</v>
      </c>
      <c r="AV57" t="s">
        <v>91</v>
      </c>
      <c r="AW57" t="s">
        <v>92</v>
      </c>
      <c r="AX57" t="s">
        <v>93</v>
      </c>
      <c r="AY57" t="s">
        <v>94</v>
      </c>
      <c r="AZ57" t="s">
        <v>85</v>
      </c>
      <c r="BA57" t="s">
        <v>878</v>
      </c>
      <c r="BB57" t="s">
        <v>866</v>
      </c>
      <c r="BC57" t="s">
        <v>868</v>
      </c>
      <c r="BD57" t="s">
        <v>362</v>
      </c>
      <c r="BE57" t="s">
        <v>363</v>
      </c>
      <c r="BF57" t="b">
        <f t="shared" si="0"/>
        <v>1</v>
      </c>
      <c r="BG57" t="b">
        <v>1</v>
      </c>
      <c r="BH57">
        <v>2006</v>
      </c>
      <c r="BI57" t="b">
        <v>1</v>
      </c>
      <c r="BJ57" t="s">
        <v>96</v>
      </c>
      <c r="BK57" t="s">
        <v>369</v>
      </c>
      <c r="BL57" t="b">
        <v>1</v>
      </c>
      <c r="BM57" t="b">
        <v>1</v>
      </c>
      <c r="BN57" t="b">
        <v>1</v>
      </c>
      <c r="BO57" t="s">
        <v>879</v>
      </c>
      <c r="BP57" t="b">
        <f>IF(IFERROR(VLOOKUP(A57,[1]Planilha1!$A:$A,1,0),FALSE)=FALSE,FALSE,TRUE)</f>
        <v>1</v>
      </c>
    </row>
    <row r="58" spans="1:68" x14ac:dyDescent="0.25">
      <c r="A58" t="s">
        <v>880</v>
      </c>
      <c r="B58" t="s">
        <v>68</v>
      </c>
      <c r="D58" s="1">
        <v>46204</v>
      </c>
      <c r="E58" s="1">
        <v>47664</v>
      </c>
      <c r="F58" t="s">
        <v>881</v>
      </c>
      <c r="G58" t="s">
        <v>882</v>
      </c>
      <c r="H58" s="2" t="s">
        <v>883</v>
      </c>
      <c r="I58" t="s">
        <v>882</v>
      </c>
      <c r="K58" t="s">
        <v>884</v>
      </c>
      <c r="L58">
        <v>5116724</v>
      </c>
      <c r="M58" t="s">
        <v>885</v>
      </c>
      <c r="N58" t="s">
        <v>886</v>
      </c>
      <c r="O58" t="s">
        <v>887</v>
      </c>
      <c r="P58" t="s">
        <v>107</v>
      </c>
      <c r="Q58" t="s">
        <v>888</v>
      </c>
      <c r="R58" t="s">
        <v>606</v>
      </c>
      <c r="S58" t="s">
        <v>607</v>
      </c>
      <c r="T58" t="s">
        <v>184</v>
      </c>
      <c r="U58" t="s">
        <v>112</v>
      </c>
      <c r="V58" t="s">
        <v>82</v>
      </c>
      <c r="W58" t="s">
        <v>606</v>
      </c>
      <c r="X58" t="s">
        <v>607</v>
      </c>
      <c r="Y58" t="s">
        <v>184</v>
      </c>
      <c r="Z58" t="s">
        <v>112</v>
      </c>
      <c r="AA58" t="s">
        <v>82</v>
      </c>
      <c r="AB58" t="s">
        <v>83</v>
      </c>
      <c r="AC58" t="s">
        <v>202</v>
      </c>
      <c r="AD58" t="s">
        <v>149</v>
      </c>
      <c r="AE58" t="s">
        <v>889</v>
      </c>
      <c r="AF58" t="s">
        <v>85</v>
      </c>
      <c r="AG58" t="s">
        <v>890</v>
      </c>
      <c r="AH58">
        <v>3</v>
      </c>
      <c r="AI58">
        <v>202560</v>
      </c>
      <c r="AJ58">
        <v>161400</v>
      </c>
      <c r="AK58">
        <v>0</v>
      </c>
      <c r="AL58">
        <v>363960</v>
      </c>
      <c r="AR58" t="s">
        <v>891</v>
      </c>
      <c r="AS58" s="3">
        <v>46202.465223999308</v>
      </c>
      <c r="AT58" t="s">
        <v>89</v>
      </c>
      <c r="AU58" t="s">
        <v>90</v>
      </c>
      <c r="AV58" t="s">
        <v>91</v>
      </c>
      <c r="AW58" t="s">
        <v>92</v>
      </c>
      <c r="AX58" t="s">
        <v>93</v>
      </c>
      <c r="AY58" t="s">
        <v>94</v>
      </c>
      <c r="AZ58" t="s">
        <v>85</v>
      </c>
      <c r="BA58" t="s">
        <v>892</v>
      </c>
      <c r="BB58" t="s">
        <v>880</v>
      </c>
      <c r="BC58" t="s">
        <v>882</v>
      </c>
      <c r="BD58" t="s">
        <v>606</v>
      </c>
      <c r="BE58" t="s">
        <v>607</v>
      </c>
      <c r="BF58" t="b">
        <f t="shared" si="0"/>
        <v>0</v>
      </c>
      <c r="BG58" t="b">
        <v>0</v>
      </c>
      <c r="BH58">
        <v>2017</v>
      </c>
      <c r="BI58" t="b">
        <v>0</v>
      </c>
      <c r="BJ58" t="s">
        <v>96</v>
      </c>
      <c r="BK58" t="s">
        <v>287</v>
      </c>
      <c r="BL58" t="b">
        <v>1</v>
      </c>
      <c r="BM58" t="b">
        <v>1</v>
      </c>
      <c r="BN58" t="b">
        <v>0</v>
      </c>
      <c r="BO58" t="s">
        <v>893</v>
      </c>
      <c r="BP58" t="b">
        <f>IF(IFERROR(VLOOKUP(A58,[1]Planilha1!$A:$A,1,0),FALSE)=FALSE,FALSE,TRUE)</f>
        <v>0</v>
      </c>
    </row>
    <row r="59" spans="1:68" x14ac:dyDescent="0.25">
      <c r="A59" t="s">
        <v>894</v>
      </c>
      <c r="B59" t="s">
        <v>68</v>
      </c>
      <c r="D59" s="1">
        <v>46204</v>
      </c>
      <c r="E59" s="1">
        <v>47664</v>
      </c>
      <c r="F59" t="s">
        <v>895</v>
      </c>
      <c r="G59" t="s">
        <v>896</v>
      </c>
      <c r="H59" s="2" t="s">
        <v>897</v>
      </c>
      <c r="I59" t="s">
        <v>896</v>
      </c>
      <c r="K59" t="s">
        <v>898</v>
      </c>
      <c r="L59">
        <v>5116319</v>
      </c>
      <c r="M59" t="s">
        <v>899</v>
      </c>
      <c r="N59" t="s">
        <v>295</v>
      </c>
      <c r="O59" t="s">
        <v>296</v>
      </c>
      <c r="P59" t="s">
        <v>129</v>
      </c>
      <c r="Q59" t="s">
        <v>900</v>
      </c>
      <c r="R59" t="s">
        <v>182</v>
      </c>
      <c r="S59" t="s">
        <v>183</v>
      </c>
      <c r="T59" t="s">
        <v>184</v>
      </c>
      <c r="U59" t="s">
        <v>112</v>
      </c>
      <c r="V59" t="s">
        <v>82</v>
      </c>
      <c r="W59" t="s">
        <v>182</v>
      </c>
      <c r="X59" t="s">
        <v>183</v>
      </c>
      <c r="Y59" t="s">
        <v>184</v>
      </c>
      <c r="Z59" t="s">
        <v>112</v>
      </c>
      <c r="AA59" t="s">
        <v>82</v>
      </c>
      <c r="AB59" t="s">
        <v>83</v>
      </c>
      <c r="AC59" t="s">
        <v>135</v>
      </c>
      <c r="AD59" t="s">
        <v>136</v>
      </c>
      <c r="AE59" t="s">
        <v>901</v>
      </c>
      <c r="AF59" t="s">
        <v>136</v>
      </c>
      <c r="AG59" t="s">
        <v>902</v>
      </c>
      <c r="AH59">
        <v>1</v>
      </c>
      <c r="AI59">
        <v>249600</v>
      </c>
      <c r="AJ59">
        <v>32020</v>
      </c>
      <c r="AK59">
        <v>0</v>
      </c>
      <c r="AL59">
        <v>281620</v>
      </c>
      <c r="AM59" t="s">
        <v>182</v>
      </c>
      <c r="AN59" t="s">
        <v>183</v>
      </c>
      <c r="AO59" t="s">
        <v>184</v>
      </c>
      <c r="AP59" t="s">
        <v>112</v>
      </c>
      <c r="AQ59" t="s">
        <v>82</v>
      </c>
      <c r="AR59" t="s">
        <v>903</v>
      </c>
      <c r="AS59" s="3">
        <v>46202.465223999308</v>
      </c>
      <c r="AT59" t="s">
        <v>89</v>
      </c>
      <c r="AU59" t="s">
        <v>90</v>
      </c>
      <c r="AV59" t="s">
        <v>91</v>
      </c>
      <c r="AW59" t="s">
        <v>92</v>
      </c>
      <c r="AX59" t="s">
        <v>93</v>
      </c>
      <c r="AY59" t="s">
        <v>94</v>
      </c>
      <c r="AZ59" t="s">
        <v>85</v>
      </c>
      <c r="BA59" t="s">
        <v>904</v>
      </c>
      <c r="BB59" t="s">
        <v>894</v>
      </c>
      <c r="BC59" t="s">
        <v>896</v>
      </c>
      <c r="BD59" t="s">
        <v>182</v>
      </c>
      <c r="BE59" t="s">
        <v>183</v>
      </c>
      <c r="BF59" t="b">
        <f t="shared" si="0"/>
        <v>1</v>
      </c>
      <c r="BG59" t="b">
        <v>1</v>
      </c>
      <c r="BH59">
        <v>1995</v>
      </c>
      <c r="BI59" t="b">
        <v>1</v>
      </c>
      <c r="BJ59" t="s">
        <v>96</v>
      </c>
      <c r="BK59" t="s">
        <v>191</v>
      </c>
      <c r="BL59" t="b">
        <v>1</v>
      </c>
      <c r="BM59" t="b">
        <v>1</v>
      </c>
      <c r="BN59" t="b">
        <v>1</v>
      </c>
      <c r="BO59" t="s">
        <v>905</v>
      </c>
      <c r="BP59" t="b">
        <f>IF(IFERROR(VLOOKUP(A59,[1]Planilha1!$A:$A,1,0),FALSE)=FALSE,FALSE,TRUE)</f>
        <v>1</v>
      </c>
    </row>
    <row r="60" spans="1:68" x14ac:dyDescent="0.25">
      <c r="A60" t="s">
        <v>906</v>
      </c>
      <c r="B60" t="s">
        <v>68</v>
      </c>
      <c r="D60" s="1">
        <v>46204</v>
      </c>
      <c r="E60" s="1">
        <v>47664</v>
      </c>
      <c r="F60" t="s">
        <v>907</v>
      </c>
      <c r="G60" t="s">
        <v>908</v>
      </c>
      <c r="H60" s="2" t="s">
        <v>909</v>
      </c>
      <c r="I60" t="s">
        <v>908</v>
      </c>
      <c r="K60" t="s">
        <v>910</v>
      </c>
      <c r="L60">
        <v>5116912</v>
      </c>
      <c r="M60" t="s">
        <v>911</v>
      </c>
      <c r="N60" t="s">
        <v>179</v>
      </c>
      <c r="O60" t="s">
        <v>180</v>
      </c>
      <c r="P60" t="s">
        <v>129</v>
      </c>
      <c r="Q60" t="s">
        <v>912</v>
      </c>
      <c r="R60" t="s">
        <v>182</v>
      </c>
      <c r="S60" t="s">
        <v>183</v>
      </c>
      <c r="T60" t="s">
        <v>184</v>
      </c>
      <c r="U60" t="s">
        <v>112</v>
      </c>
      <c r="V60" t="s">
        <v>82</v>
      </c>
      <c r="W60" t="s">
        <v>182</v>
      </c>
      <c r="X60" t="s">
        <v>183</v>
      </c>
      <c r="Y60" t="s">
        <v>184</v>
      </c>
      <c r="Z60" t="s">
        <v>112</v>
      </c>
      <c r="AA60" t="s">
        <v>82</v>
      </c>
      <c r="AB60" t="s">
        <v>83</v>
      </c>
      <c r="AC60" t="s">
        <v>185</v>
      </c>
      <c r="AD60" t="s">
        <v>85</v>
      </c>
      <c r="AE60" t="s">
        <v>913</v>
      </c>
      <c r="AF60" t="s">
        <v>85</v>
      </c>
      <c r="AG60" t="s">
        <v>914</v>
      </c>
      <c r="AH60">
        <v>7</v>
      </c>
      <c r="AI60">
        <v>511160</v>
      </c>
      <c r="AJ60">
        <v>70000</v>
      </c>
      <c r="AK60">
        <v>0</v>
      </c>
      <c r="AL60">
        <v>581160</v>
      </c>
      <c r="AM60" t="s">
        <v>182</v>
      </c>
      <c r="AN60" t="s">
        <v>183</v>
      </c>
      <c r="AO60" t="s">
        <v>184</v>
      </c>
      <c r="AP60" t="s">
        <v>112</v>
      </c>
      <c r="AQ60" t="s">
        <v>82</v>
      </c>
      <c r="AR60" t="s">
        <v>915</v>
      </c>
      <c r="AS60" s="3">
        <v>46202.465223999308</v>
      </c>
      <c r="AT60" t="s">
        <v>89</v>
      </c>
      <c r="AU60" t="s">
        <v>90</v>
      </c>
      <c r="AV60" t="s">
        <v>91</v>
      </c>
      <c r="AW60" t="s">
        <v>92</v>
      </c>
      <c r="AX60" t="s">
        <v>93</v>
      </c>
      <c r="AY60" t="s">
        <v>94</v>
      </c>
      <c r="AZ60" t="s">
        <v>85</v>
      </c>
      <c r="BA60" t="s">
        <v>916</v>
      </c>
      <c r="BB60" t="s">
        <v>906</v>
      </c>
      <c r="BC60" t="s">
        <v>908</v>
      </c>
      <c r="BD60" t="s">
        <v>182</v>
      </c>
      <c r="BE60" t="s">
        <v>183</v>
      </c>
      <c r="BF60" t="b">
        <f t="shared" si="0"/>
        <v>1</v>
      </c>
      <c r="BG60" t="b">
        <v>1</v>
      </c>
      <c r="BH60">
        <v>2004</v>
      </c>
      <c r="BI60" t="b">
        <v>1</v>
      </c>
      <c r="BJ60" t="s">
        <v>96</v>
      </c>
      <c r="BK60" t="s">
        <v>191</v>
      </c>
      <c r="BL60" t="b">
        <v>1</v>
      </c>
      <c r="BM60" t="b">
        <v>1</v>
      </c>
      <c r="BN60" t="b">
        <v>1</v>
      </c>
      <c r="BO60" t="s">
        <v>917</v>
      </c>
      <c r="BP60" t="b">
        <f>IF(IFERROR(VLOOKUP(A60,[1]Planilha1!$A:$A,1,0),FALSE)=FALSE,FALSE,TRUE)</f>
        <v>1</v>
      </c>
    </row>
    <row r="61" spans="1:68" x14ac:dyDescent="0.25">
      <c r="A61" t="s">
        <v>918</v>
      </c>
      <c r="B61" t="s">
        <v>68</v>
      </c>
      <c r="D61" s="1">
        <v>46204</v>
      </c>
      <c r="E61" s="1">
        <v>47664</v>
      </c>
      <c r="F61" t="s">
        <v>919</v>
      </c>
      <c r="G61" t="s">
        <v>920</v>
      </c>
      <c r="H61" s="2" t="s">
        <v>921</v>
      </c>
      <c r="I61" t="s">
        <v>920</v>
      </c>
      <c r="K61" t="s">
        <v>922</v>
      </c>
      <c r="L61">
        <v>5116664</v>
      </c>
      <c r="M61" t="s">
        <v>923</v>
      </c>
      <c r="N61" t="s">
        <v>161</v>
      </c>
      <c r="O61" t="s">
        <v>162</v>
      </c>
      <c r="P61" t="s">
        <v>76</v>
      </c>
      <c r="Q61" t="s">
        <v>924</v>
      </c>
      <c r="R61" t="s">
        <v>362</v>
      </c>
      <c r="S61" t="s">
        <v>363</v>
      </c>
      <c r="T61" t="s">
        <v>364</v>
      </c>
      <c r="U61" t="s">
        <v>81</v>
      </c>
      <c r="V61" t="s">
        <v>82</v>
      </c>
      <c r="W61" t="s">
        <v>362</v>
      </c>
      <c r="X61" t="s">
        <v>363</v>
      </c>
      <c r="Y61" t="s">
        <v>364</v>
      </c>
      <c r="Z61" t="s">
        <v>81</v>
      </c>
      <c r="AA61" t="s">
        <v>82</v>
      </c>
      <c r="AB61" t="s">
        <v>83</v>
      </c>
      <c r="AC61" t="s">
        <v>166</v>
      </c>
      <c r="AD61" t="s">
        <v>149</v>
      </c>
      <c r="AE61" t="s">
        <v>925</v>
      </c>
      <c r="AF61" t="s">
        <v>85</v>
      </c>
      <c r="AG61" t="s">
        <v>926</v>
      </c>
      <c r="AH61">
        <v>9</v>
      </c>
      <c r="AI61">
        <v>1346880</v>
      </c>
      <c r="AJ61">
        <v>153120</v>
      </c>
      <c r="AK61">
        <v>0</v>
      </c>
      <c r="AL61">
        <v>1500000</v>
      </c>
      <c r="AM61" t="s">
        <v>362</v>
      </c>
      <c r="AN61" t="s">
        <v>363</v>
      </c>
      <c r="AO61" t="s">
        <v>364</v>
      </c>
      <c r="AP61" t="s">
        <v>81</v>
      </c>
      <c r="AQ61" t="s">
        <v>82</v>
      </c>
      <c r="AR61" t="s">
        <v>927</v>
      </c>
      <c r="AS61" s="3">
        <v>46202.465223999308</v>
      </c>
      <c r="AT61" t="s">
        <v>89</v>
      </c>
      <c r="AU61" t="s">
        <v>90</v>
      </c>
      <c r="AV61" t="s">
        <v>91</v>
      </c>
      <c r="AW61" t="s">
        <v>92</v>
      </c>
      <c r="AX61" t="s">
        <v>93</v>
      </c>
      <c r="AY61" t="s">
        <v>94</v>
      </c>
      <c r="AZ61" t="s">
        <v>85</v>
      </c>
      <c r="BA61" t="s">
        <v>928</v>
      </c>
      <c r="BB61" t="s">
        <v>918</v>
      </c>
      <c r="BC61" t="s">
        <v>920</v>
      </c>
      <c r="BD61" t="s">
        <v>362</v>
      </c>
      <c r="BE61" t="s">
        <v>363</v>
      </c>
      <c r="BF61" t="b">
        <f t="shared" si="0"/>
        <v>1</v>
      </c>
      <c r="BG61" t="b">
        <v>1</v>
      </c>
      <c r="BH61">
        <v>2023</v>
      </c>
      <c r="BI61" t="b">
        <v>1</v>
      </c>
      <c r="BJ61" t="s">
        <v>96</v>
      </c>
      <c r="BK61" t="s">
        <v>369</v>
      </c>
      <c r="BL61" t="b">
        <v>1</v>
      </c>
      <c r="BM61" t="b">
        <v>1</v>
      </c>
      <c r="BN61" t="b">
        <v>1</v>
      </c>
      <c r="BO61" t="s">
        <v>929</v>
      </c>
      <c r="BP61" t="b">
        <f>IF(IFERROR(VLOOKUP(A61,[1]Planilha1!$A:$A,1,0),FALSE)=FALSE,FALSE,TRUE)</f>
        <v>1</v>
      </c>
    </row>
    <row r="62" spans="1:68" x14ac:dyDescent="0.25">
      <c r="A62" t="s">
        <v>930</v>
      </c>
      <c r="B62" t="s">
        <v>68</v>
      </c>
      <c r="D62" s="1">
        <v>46204</v>
      </c>
      <c r="E62" s="1">
        <v>47664</v>
      </c>
      <c r="F62" t="s">
        <v>931</v>
      </c>
      <c r="G62" t="s">
        <v>932</v>
      </c>
      <c r="H62" s="2" t="s">
        <v>933</v>
      </c>
      <c r="I62" t="s">
        <v>932</v>
      </c>
      <c r="K62" t="s">
        <v>934</v>
      </c>
      <c r="L62">
        <v>5116736</v>
      </c>
      <c r="M62" t="s">
        <v>935</v>
      </c>
      <c r="N62" t="s">
        <v>714</v>
      </c>
      <c r="O62" t="s">
        <v>715</v>
      </c>
      <c r="P62" t="s">
        <v>107</v>
      </c>
      <c r="Q62" t="s">
        <v>716</v>
      </c>
      <c r="R62" t="s">
        <v>331</v>
      </c>
      <c r="S62" t="s">
        <v>332</v>
      </c>
      <c r="T62" t="s">
        <v>111</v>
      </c>
      <c r="U62" t="s">
        <v>112</v>
      </c>
      <c r="V62" t="s">
        <v>82</v>
      </c>
      <c r="W62" t="s">
        <v>331</v>
      </c>
      <c r="X62" t="s">
        <v>332</v>
      </c>
      <c r="Y62" t="s">
        <v>111</v>
      </c>
      <c r="Z62" t="s">
        <v>112</v>
      </c>
      <c r="AA62" t="s">
        <v>82</v>
      </c>
      <c r="AB62" t="s">
        <v>83</v>
      </c>
      <c r="AC62" t="s">
        <v>113</v>
      </c>
      <c r="AD62" t="s">
        <v>149</v>
      </c>
      <c r="AE62" t="s">
        <v>936</v>
      </c>
      <c r="AF62" t="s">
        <v>85</v>
      </c>
      <c r="AG62" t="s">
        <v>937</v>
      </c>
      <c r="AH62">
        <v>6</v>
      </c>
      <c r="AI62">
        <v>1038700</v>
      </c>
      <c r="AJ62">
        <v>149690</v>
      </c>
      <c r="AK62">
        <v>0</v>
      </c>
      <c r="AL62">
        <v>1188390</v>
      </c>
      <c r="AM62" t="s">
        <v>331</v>
      </c>
      <c r="AN62" t="s">
        <v>332</v>
      </c>
      <c r="AO62" t="s">
        <v>111</v>
      </c>
      <c r="AP62" t="s">
        <v>112</v>
      </c>
      <c r="AQ62" t="s">
        <v>82</v>
      </c>
      <c r="AR62" t="s">
        <v>938</v>
      </c>
      <c r="AS62" s="3">
        <v>46202.465223999308</v>
      </c>
      <c r="AT62" t="s">
        <v>89</v>
      </c>
      <c r="AU62" t="s">
        <v>90</v>
      </c>
      <c r="AV62" t="s">
        <v>91</v>
      </c>
      <c r="AW62" t="s">
        <v>92</v>
      </c>
      <c r="AX62" t="s">
        <v>93</v>
      </c>
      <c r="AY62" t="s">
        <v>94</v>
      </c>
      <c r="AZ62" t="s">
        <v>85</v>
      </c>
      <c r="BA62" t="s">
        <v>939</v>
      </c>
      <c r="BB62" t="s">
        <v>930</v>
      </c>
      <c r="BC62" t="s">
        <v>932</v>
      </c>
      <c r="BD62" t="s">
        <v>331</v>
      </c>
      <c r="BE62" t="s">
        <v>332</v>
      </c>
      <c r="BF62" t="b">
        <f t="shared" si="0"/>
        <v>1</v>
      </c>
      <c r="BG62" t="b">
        <v>1</v>
      </c>
      <c r="BH62">
        <v>1999</v>
      </c>
      <c r="BI62" t="b">
        <v>1</v>
      </c>
      <c r="BJ62" t="s">
        <v>96</v>
      </c>
      <c r="BK62" t="s">
        <v>338</v>
      </c>
      <c r="BL62" t="b">
        <v>1</v>
      </c>
      <c r="BM62" t="b">
        <v>1</v>
      </c>
      <c r="BN62" t="b">
        <v>1</v>
      </c>
      <c r="BO62" t="s">
        <v>940</v>
      </c>
      <c r="BP62" t="b">
        <f>IF(IFERROR(VLOOKUP(A62,[1]Planilha1!$A:$A,1,0),FALSE)=FALSE,FALSE,TRUE)</f>
        <v>1</v>
      </c>
    </row>
    <row r="63" spans="1:68" x14ac:dyDescent="0.25">
      <c r="A63" t="s">
        <v>941</v>
      </c>
      <c r="B63" t="s">
        <v>68</v>
      </c>
      <c r="D63" s="1">
        <v>46204</v>
      </c>
      <c r="E63" s="1">
        <v>47664</v>
      </c>
      <c r="F63" t="s">
        <v>942</v>
      </c>
      <c r="G63" t="s">
        <v>943</v>
      </c>
      <c r="H63" s="2" t="s">
        <v>944</v>
      </c>
      <c r="I63" t="s">
        <v>943</v>
      </c>
      <c r="K63" t="s">
        <v>945</v>
      </c>
      <c r="L63">
        <v>5116648</v>
      </c>
      <c r="M63" t="s">
        <v>946</v>
      </c>
      <c r="N63" t="s">
        <v>249</v>
      </c>
      <c r="O63" t="s">
        <v>250</v>
      </c>
      <c r="P63" t="s">
        <v>76</v>
      </c>
      <c r="Q63" t="s">
        <v>947</v>
      </c>
      <c r="R63" t="s">
        <v>362</v>
      </c>
      <c r="S63" t="s">
        <v>363</v>
      </c>
      <c r="T63" t="s">
        <v>364</v>
      </c>
      <c r="U63" t="s">
        <v>81</v>
      </c>
      <c r="V63" t="s">
        <v>82</v>
      </c>
      <c r="W63" t="s">
        <v>362</v>
      </c>
      <c r="X63" t="s">
        <v>363</v>
      </c>
      <c r="Y63" t="s">
        <v>364</v>
      </c>
      <c r="Z63" t="s">
        <v>81</v>
      </c>
      <c r="AA63" t="s">
        <v>82</v>
      </c>
      <c r="AB63" t="s">
        <v>83</v>
      </c>
      <c r="AC63" t="s">
        <v>202</v>
      </c>
      <c r="AD63" t="s">
        <v>149</v>
      </c>
      <c r="AE63" t="s">
        <v>948</v>
      </c>
      <c r="AF63" t="s">
        <v>85</v>
      </c>
      <c r="AG63" t="s">
        <v>949</v>
      </c>
      <c r="AH63">
        <v>7</v>
      </c>
      <c r="AI63">
        <v>1349400</v>
      </c>
      <c r="AJ63">
        <v>150000</v>
      </c>
      <c r="AK63">
        <v>0</v>
      </c>
      <c r="AL63">
        <v>1499400</v>
      </c>
      <c r="AM63" t="s">
        <v>362</v>
      </c>
      <c r="AN63" t="s">
        <v>363</v>
      </c>
      <c r="AO63" t="s">
        <v>364</v>
      </c>
      <c r="AP63" t="s">
        <v>81</v>
      </c>
      <c r="AQ63" t="s">
        <v>82</v>
      </c>
      <c r="AR63" t="s">
        <v>950</v>
      </c>
      <c r="AS63" s="3">
        <v>46202.465223999308</v>
      </c>
      <c r="AT63" t="s">
        <v>89</v>
      </c>
      <c r="AU63" t="s">
        <v>90</v>
      </c>
      <c r="AV63" t="s">
        <v>91</v>
      </c>
      <c r="AW63" t="s">
        <v>92</v>
      </c>
      <c r="AX63" t="s">
        <v>93</v>
      </c>
      <c r="AY63" t="s">
        <v>94</v>
      </c>
      <c r="AZ63" t="s">
        <v>85</v>
      </c>
      <c r="BA63" t="s">
        <v>951</v>
      </c>
      <c r="BB63" t="s">
        <v>941</v>
      </c>
      <c r="BC63" t="s">
        <v>943</v>
      </c>
      <c r="BD63" t="s">
        <v>362</v>
      </c>
      <c r="BE63" t="s">
        <v>363</v>
      </c>
      <c r="BF63" t="b">
        <f t="shared" si="0"/>
        <v>1</v>
      </c>
      <c r="BG63" t="b">
        <v>1</v>
      </c>
      <c r="BH63">
        <v>2012</v>
      </c>
      <c r="BI63" t="b">
        <v>1</v>
      </c>
      <c r="BJ63" t="s">
        <v>96</v>
      </c>
      <c r="BK63" t="s">
        <v>369</v>
      </c>
      <c r="BL63" t="b">
        <v>1</v>
      </c>
      <c r="BM63" t="b">
        <v>1</v>
      </c>
      <c r="BN63" t="b">
        <v>1</v>
      </c>
      <c r="BO63" t="s">
        <v>952</v>
      </c>
      <c r="BP63" t="b">
        <f>IF(IFERROR(VLOOKUP(A63,[1]Planilha1!$A:$A,1,0),FALSE)=FALSE,FALSE,TRUE)</f>
        <v>1</v>
      </c>
    </row>
    <row r="64" spans="1:68" x14ac:dyDescent="0.25">
      <c r="A64" t="s">
        <v>953</v>
      </c>
      <c r="B64" t="s">
        <v>68</v>
      </c>
      <c r="D64" s="1">
        <v>46204</v>
      </c>
      <c r="E64" s="1">
        <v>47664</v>
      </c>
      <c r="F64" t="s">
        <v>954</v>
      </c>
      <c r="G64" t="s">
        <v>955</v>
      </c>
      <c r="H64" s="2" t="s">
        <v>956</v>
      </c>
      <c r="I64" t="s">
        <v>955</v>
      </c>
      <c r="K64" t="s">
        <v>957</v>
      </c>
      <c r="L64">
        <v>5116470</v>
      </c>
      <c r="M64" t="s">
        <v>958</v>
      </c>
      <c r="N64" t="s">
        <v>328</v>
      </c>
      <c r="O64" t="s">
        <v>329</v>
      </c>
      <c r="P64" t="s">
        <v>129</v>
      </c>
      <c r="Q64" t="s">
        <v>330</v>
      </c>
      <c r="R64" t="s">
        <v>331</v>
      </c>
      <c r="S64" t="s">
        <v>332</v>
      </c>
      <c r="T64" t="s">
        <v>111</v>
      </c>
      <c r="U64" t="s">
        <v>112</v>
      </c>
      <c r="V64" t="s">
        <v>82</v>
      </c>
      <c r="W64" t="s">
        <v>331</v>
      </c>
      <c r="X64" t="s">
        <v>332</v>
      </c>
      <c r="Y64" t="s">
        <v>111</v>
      </c>
      <c r="Z64" t="s">
        <v>112</v>
      </c>
      <c r="AA64" t="s">
        <v>82</v>
      </c>
      <c r="AB64" t="s">
        <v>83</v>
      </c>
      <c r="AC64" t="s">
        <v>333</v>
      </c>
      <c r="AD64" t="s">
        <v>252</v>
      </c>
      <c r="AE64" t="s">
        <v>959</v>
      </c>
      <c r="AF64" t="s">
        <v>252</v>
      </c>
      <c r="AG64" t="s">
        <v>960</v>
      </c>
      <c r="AH64">
        <v>6</v>
      </c>
      <c r="AI64">
        <v>748800</v>
      </c>
      <c r="AJ64">
        <v>22000</v>
      </c>
      <c r="AK64">
        <v>0</v>
      </c>
      <c r="AL64">
        <v>770800</v>
      </c>
      <c r="AR64" t="s">
        <v>961</v>
      </c>
      <c r="AS64" s="3">
        <v>46202.465223999308</v>
      </c>
      <c r="AT64" t="s">
        <v>89</v>
      </c>
      <c r="AU64" t="s">
        <v>90</v>
      </c>
      <c r="AV64" t="s">
        <v>91</v>
      </c>
      <c r="AW64" t="s">
        <v>92</v>
      </c>
      <c r="AX64" t="s">
        <v>93</v>
      </c>
      <c r="AY64" t="s">
        <v>94</v>
      </c>
      <c r="AZ64" t="s">
        <v>85</v>
      </c>
      <c r="BA64" t="s">
        <v>962</v>
      </c>
      <c r="BB64" t="s">
        <v>953</v>
      </c>
      <c r="BC64" t="s">
        <v>955</v>
      </c>
      <c r="BD64" t="s">
        <v>331</v>
      </c>
      <c r="BE64" t="s">
        <v>332</v>
      </c>
      <c r="BF64" t="b">
        <f t="shared" si="0"/>
        <v>1</v>
      </c>
      <c r="BG64" t="b">
        <v>1</v>
      </c>
      <c r="BH64">
        <v>2008</v>
      </c>
      <c r="BI64" t="b">
        <v>1</v>
      </c>
      <c r="BJ64" t="s">
        <v>96</v>
      </c>
      <c r="BK64" t="s">
        <v>338</v>
      </c>
      <c r="BL64" t="b">
        <v>1</v>
      </c>
      <c r="BM64" t="b">
        <v>1</v>
      </c>
      <c r="BN64" t="b">
        <v>0</v>
      </c>
      <c r="BO64" t="s">
        <v>963</v>
      </c>
      <c r="BP64" t="b">
        <f>IF(IFERROR(VLOOKUP(A64,[1]Planilha1!$A:$A,1,0),FALSE)=FALSE,FALSE,TRUE)</f>
        <v>1</v>
      </c>
    </row>
    <row r="65" spans="1:68" x14ac:dyDescent="0.25">
      <c r="A65" t="s">
        <v>964</v>
      </c>
      <c r="B65" t="s">
        <v>68</v>
      </c>
      <c r="D65" s="1">
        <v>46204</v>
      </c>
      <c r="E65" s="1">
        <v>47664</v>
      </c>
      <c r="F65" t="s">
        <v>965</v>
      </c>
      <c r="G65" t="s">
        <v>966</v>
      </c>
      <c r="H65" s="2" t="s">
        <v>967</v>
      </c>
      <c r="I65" t="s">
        <v>966</v>
      </c>
      <c r="K65" t="s">
        <v>968</v>
      </c>
      <c r="L65">
        <v>5116834</v>
      </c>
      <c r="M65" t="s">
        <v>969</v>
      </c>
      <c r="N65" t="s">
        <v>970</v>
      </c>
      <c r="O65" t="s">
        <v>528</v>
      </c>
      <c r="P65" t="s">
        <v>529</v>
      </c>
      <c r="Q65" t="s">
        <v>971</v>
      </c>
      <c r="R65" t="s">
        <v>78</v>
      </c>
      <c r="S65" t="s">
        <v>79</v>
      </c>
      <c r="T65" t="s">
        <v>80</v>
      </c>
      <c r="U65" t="s">
        <v>81</v>
      </c>
      <c r="V65" t="s">
        <v>82</v>
      </c>
      <c r="W65" t="s">
        <v>78</v>
      </c>
      <c r="X65" t="s">
        <v>79</v>
      </c>
      <c r="Y65" t="s">
        <v>80</v>
      </c>
      <c r="Z65" t="s">
        <v>81</v>
      </c>
      <c r="AA65" t="s">
        <v>82</v>
      </c>
      <c r="AB65" t="s">
        <v>83</v>
      </c>
      <c r="AC65" t="s">
        <v>235</v>
      </c>
      <c r="AD65" t="s">
        <v>85</v>
      </c>
      <c r="AE65" t="s">
        <v>972</v>
      </c>
      <c r="AF65" t="s">
        <v>85</v>
      </c>
      <c r="AG65" t="s">
        <v>973</v>
      </c>
      <c r="AH65">
        <v>13</v>
      </c>
      <c r="AI65">
        <v>590030</v>
      </c>
      <c r="AJ65">
        <v>59000</v>
      </c>
      <c r="AK65">
        <v>0</v>
      </c>
      <c r="AL65">
        <v>649030</v>
      </c>
      <c r="AM65" t="s">
        <v>78</v>
      </c>
      <c r="AN65" t="s">
        <v>79</v>
      </c>
      <c r="AO65" t="s">
        <v>80</v>
      </c>
      <c r="AP65" t="s">
        <v>81</v>
      </c>
      <c r="AQ65" t="s">
        <v>82</v>
      </c>
      <c r="AR65" t="s">
        <v>974</v>
      </c>
      <c r="AS65" s="3">
        <v>46202.465223999308</v>
      </c>
      <c r="AT65" t="s">
        <v>89</v>
      </c>
      <c r="AU65" t="s">
        <v>90</v>
      </c>
      <c r="AV65" t="s">
        <v>91</v>
      </c>
      <c r="AW65" t="s">
        <v>92</v>
      </c>
      <c r="AX65" t="s">
        <v>93</v>
      </c>
      <c r="AY65" t="s">
        <v>94</v>
      </c>
      <c r="AZ65" t="s">
        <v>85</v>
      </c>
      <c r="BA65" t="s">
        <v>975</v>
      </c>
      <c r="BB65" t="s">
        <v>964</v>
      </c>
      <c r="BC65" t="s">
        <v>966</v>
      </c>
      <c r="BD65" t="s">
        <v>78</v>
      </c>
      <c r="BE65" t="s">
        <v>79</v>
      </c>
      <c r="BF65" t="b">
        <f t="shared" si="0"/>
        <v>1</v>
      </c>
      <c r="BG65" t="b">
        <v>1</v>
      </c>
      <c r="BH65">
        <v>1999</v>
      </c>
      <c r="BI65" t="b">
        <v>1</v>
      </c>
      <c r="BJ65" t="s">
        <v>96</v>
      </c>
      <c r="BK65" t="s">
        <v>97</v>
      </c>
      <c r="BL65" t="b">
        <v>1</v>
      </c>
      <c r="BM65" t="b">
        <v>1</v>
      </c>
      <c r="BN65" t="b">
        <v>1</v>
      </c>
      <c r="BO65" t="s">
        <v>976</v>
      </c>
      <c r="BP65" t="b">
        <f>IF(IFERROR(VLOOKUP(A65,[1]Planilha1!$A:$A,1,0),FALSE)=FALSE,FALSE,TRUE)</f>
        <v>1</v>
      </c>
    </row>
    <row r="66" spans="1:68" x14ac:dyDescent="0.25">
      <c r="A66" t="s">
        <v>977</v>
      </c>
      <c r="B66" t="s">
        <v>68</v>
      </c>
      <c r="D66" s="1">
        <v>46204</v>
      </c>
      <c r="E66" s="1">
        <v>47664</v>
      </c>
      <c r="F66" t="s">
        <v>978</v>
      </c>
      <c r="G66" t="s">
        <v>979</v>
      </c>
      <c r="H66" s="2" t="s">
        <v>980</v>
      </c>
      <c r="I66" t="s">
        <v>979</v>
      </c>
      <c r="K66" t="s">
        <v>981</v>
      </c>
      <c r="L66">
        <v>5112740</v>
      </c>
      <c r="M66" t="s">
        <v>982</v>
      </c>
      <c r="N66" t="s">
        <v>983</v>
      </c>
      <c r="O66" t="s">
        <v>768</v>
      </c>
      <c r="P66" t="s">
        <v>107</v>
      </c>
      <c r="Q66" t="s">
        <v>984</v>
      </c>
      <c r="R66" t="s">
        <v>985</v>
      </c>
      <c r="S66" t="s">
        <v>986</v>
      </c>
      <c r="T66" t="s">
        <v>234</v>
      </c>
      <c r="U66" t="s">
        <v>112</v>
      </c>
      <c r="V66" t="s">
        <v>82</v>
      </c>
      <c r="W66" t="s">
        <v>985</v>
      </c>
      <c r="X66" t="s">
        <v>986</v>
      </c>
      <c r="Y66" t="s">
        <v>234</v>
      </c>
      <c r="Z66" t="s">
        <v>112</v>
      </c>
      <c r="AA66" t="s">
        <v>82</v>
      </c>
      <c r="AB66" t="s">
        <v>83</v>
      </c>
      <c r="AC66" t="s">
        <v>113</v>
      </c>
      <c r="AD66" t="s">
        <v>236</v>
      </c>
      <c r="AE66" t="s">
        <v>987</v>
      </c>
      <c r="AF66" t="s">
        <v>236</v>
      </c>
      <c r="AG66" t="s">
        <v>988</v>
      </c>
      <c r="AH66">
        <v>6</v>
      </c>
      <c r="AI66">
        <v>1370980</v>
      </c>
      <c r="AJ66">
        <v>129020</v>
      </c>
      <c r="AK66">
        <v>0</v>
      </c>
      <c r="AL66">
        <v>1500000</v>
      </c>
      <c r="AM66" t="s">
        <v>985</v>
      </c>
      <c r="AN66" t="s">
        <v>986</v>
      </c>
      <c r="AO66" t="s">
        <v>234</v>
      </c>
      <c r="AP66" t="s">
        <v>112</v>
      </c>
      <c r="AQ66" t="s">
        <v>82</v>
      </c>
      <c r="AR66" t="s">
        <v>989</v>
      </c>
      <c r="AS66" s="3">
        <v>46202.465223999308</v>
      </c>
      <c r="AT66" t="s">
        <v>89</v>
      </c>
      <c r="AU66" t="s">
        <v>90</v>
      </c>
      <c r="AV66" t="s">
        <v>91</v>
      </c>
      <c r="AW66" t="s">
        <v>92</v>
      </c>
      <c r="AX66" t="s">
        <v>93</v>
      </c>
      <c r="AY66" t="s">
        <v>94</v>
      </c>
      <c r="AZ66" t="s">
        <v>85</v>
      </c>
      <c r="BA66" t="s">
        <v>990</v>
      </c>
      <c r="BB66" t="s">
        <v>977</v>
      </c>
      <c r="BC66" t="s">
        <v>979</v>
      </c>
      <c r="BD66" t="s">
        <v>985</v>
      </c>
      <c r="BE66" t="s">
        <v>986</v>
      </c>
      <c r="BF66" t="b">
        <f t="shared" si="0"/>
        <v>0</v>
      </c>
      <c r="BG66" t="b">
        <v>0</v>
      </c>
      <c r="BH66">
        <v>2024</v>
      </c>
      <c r="BI66" t="b">
        <v>0</v>
      </c>
      <c r="BJ66" t="s">
        <v>96</v>
      </c>
      <c r="BK66" t="s">
        <v>119</v>
      </c>
      <c r="BL66" t="b">
        <v>1</v>
      </c>
      <c r="BM66" t="b">
        <v>1</v>
      </c>
      <c r="BN66" t="b">
        <v>1</v>
      </c>
      <c r="BO66" t="s">
        <v>991</v>
      </c>
      <c r="BP66" t="b">
        <f>IF(IFERROR(VLOOKUP(A66,[1]Planilha1!$A:$A,1,0),FALSE)=FALSE,FALSE,TRUE)</f>
        <v>0</v>
      </c>
    </row>
    <row r="67" spans="1:68" x14ac:dyDescent="0.25">
      <c r="A67" t="s">
        <v>992</v>
      </c>
      <c r="B67" t="s">
        <v>68</v>
      </c>
      <c r="D67" s="1">
        <v>46204</v>
      </c>
      <c r="E67" s="1">
        <v>47664</v>
      </c>
      <c r="F67" t="s">
        <v>993</v>
      </c>
      <c r="G67" t="s">
        <v>994</v>
      </c>
      <c r="H67" s="2" t="s">
        <v>995</v>
      </c>
      <c r="I67" t="s">
        <v>994</v>
      </c>
      <c r="K67" t="s">
        <v>996</v>
      </c>
      <c r="L67">
        <v>5116485</v>
      </c>
      <c r="M67" t="s">
        <v>997</v>
      </c>
      <c r="N67" t="s">
        <v>527</v>
      </c>
      <c r="O67" t="s">
        <v>528</v>
      </c>
      <c r="P67" t="s">
        <v>529</v>
      </c>
      <c r="Q67" t="s">
        <v>687</v>
      </c>
      <c r="R67" t="s">
        <v>78</v>
      </c>
      <c r="S67" t="s">
        <v>79</v>
      </c>
      <c r="T67" t="s">
        <v>80</v>
      </c>
      <c r="U67" t="s">
        <v>81</v>
      </c>
      <c r="V67" t="s">
        <v>82</v>
      </c>
      <c r="W67" t="s">
        <v>78</v>
      </c>
      <c r="X67" t="s">
        <v>79</v>
      </c>
      <c r="Y67" t="s">
        <v>80</v>
      </c>
      <c r="Z67" t="s">
        <v>81</v>
      </c>
      <c r="AA67" t="s">
        <v>82</v>
      </c>
      <c r="AB67" t="s">
        <v>83</v>
      </c>
      <c r="AC67" t="s">
        <v>235</v>
      </c>
      <c r="AD67" t="s">
        <v>252</v>
      </c>
      <c r="AE67" t="s">
        <v>998</v>
      </c>
      <c r="AF67" t="s">
        <v>252</v>
      </c>
      <c r="AG67" t="s">
        <v>999</v>
      </c>
      <c r="AH67">
        <v>22</v>
      </c>
      <c r="AI67">
        <v>1039450</v>
      </c>
      <c r="AJ67">
        <v>148715</v>
      </c>
      <c r="AK67">
        <v>0</v>
      </c>
      <c r="AL67">
        <v>1188165</v>
      </c>
      <c r="AM67" t="s">
        <v>78</v>
      </c>
      <c r="AN67" t="s">
        <v>79</v>
      </c>
      <c r="AO67" t="s">
        <v>80</v>
      </c>
      <c r="AP67" t="s">
        <v>81</v>
      </c>
      <c r="AQ67" t="s">
        <v>82</v>
      </c>
      <c r="AR67" t="s">
        <v>1000</v>
      </c>
      <c r="AS67" s="3">
        <v>46202.465223999308</v>
      </c>
      <c r="AT67" t="s">
        <v>89</v>
      </c>
      <c r="AU67" t="s">
        <v>90</v>
      </c>
      <c r="AV67" t="s">
        <v>91</v>
      </c>
      <c r="AW67" t="s">
        <v>92</v>
      </c>
      <c r="AX67" t="s">
        <v>93</v>
      </c>
      <c r="AY67" t="s">
        <v>94</v>
      </c>
      <c r="AZ67" t="s">
        <v>85</v>
      </c>
      <c r="BA67" t="s">
        <v>1001</v>
      </c>
      <c r="BB67" t="s">
        <v>992</v>
      </c>
      <c r="BC67" t="s">
        <v>994</v>
      </c>
      <c r="BD67" t="s">
        <v>78</v>
      </c>
      <c r="BE67" t="s">
        <v>79</v>
      </c>
      <c r="BF67" t="b">
        <f t="shared" ref="BF67:BF130" si="1">IF(AND(BG67,BI67,BL67,BM67),TRUE,FALSE)</f>
        <v>1</v>
      </c>
      <c r="BG67" t="b">
        <v>1</v>
      </c>
      <c r="BH67">
        <v>2008</v>
      </c>
      <c r="BI67" t="b">
        <v>1</v>
      </c>
      <c r="BJ67" t="s">
        <v>96</v>
      </c>
      <c r="BK67" t="s">
        <v>97</v>
      </c>
      <c r="BL67" t="b">
        <v>1</v>
      </c>
      <c r="BM67" t="b">
        <v>1</v>
      </c>
      <c r="BN67" t="b">
        <v>1</v>
      </c>
      <c r="BO67" t="s">
        <v>1002</v>
      </c>
      <c r="BP67" t="b">
        <f>IF(IFERROR(VLOOKUP(A67,[1]Planilha1!$A:$A,1,0),FALSE)=FALSE,FALSE,TRUE)</f>
        <v>1</v>
      </c>
    </row>
    <row r="68" spans="1:68" x14ac:dyDescent="0.25">
      <c r="A68" t="s">
        <v>1003</v>
      </c>
      <c r="B68" t="s">
        <v>68</v>
      </c>
      <c r="D68" s="1">
        <v>46204</v>
      </c>
      <c r="E68" s="1">
        <v>47664</v>
      </c>
      <c r="F68" t="s">
        <v>1004</v>
      </c>
      <c r="G68" t="s">
        <v>1005</v>
      </c>
      <c r="H68" s="2" t="s">
        <v>1006</v>
      </c>
      <c r="I68" t="s">
        <v>1005</v>
      </c>
      <c r="K68" t="s">
        <v>1007</v>
      </c>
      <c r="L68">
        <v>5116826</v>
      </c>
      <c r="M68" t="s">
        <v>1008</v>
      </c>
      <c r="N68" t="s">
        <v>1009</v>
      </c>
      <c r="O68" t="s">
        <v>1010</v>
      </c>
      <c r="P68" t="s">
        <v>1011</v>
      </c>
      <c r="Q68" t="s">
        <v>1012</v>
      </c>
      <c r="R68" t="s">
        <v>78</v>
      </c>
      <c r="S68" t="s">
        <v>79</v>
      </c>
      <c r="T68" t="s">
        <v>80</v>
      </c>
      <c r="U68" t="s">
        <v>81</v>
      </c>
      <c r="V68" t="s">
        <v>82</v>
      </c>
      <c r="W68" t="s">
        <v>78</v>
      </c>
      <c r="X68" t="s">
        <v>79</v>
      </c>
      <c r="Y68" t="s">
        <v>80</v>
      </c>
      <c r="Z68" t="s">
        <v>81</v>
      </c>
      <c r="AA68" t="s">
        <v>82</v>
      </c>
      <c r="AB68" t="s">
        <v>83</v>
      </c>
      <c r="AC68" t="s">
        <v>1013</v>
      </c>
      <c r="AD68" t="s">
        <v>85</v>
      </c>
      <c r="AE68" t="s">
        <v>1014</v>
      </c>
      <c r="AF68" t="s">
        <v>85</v>
      </c>
      <c r="AG68" t="s">
        <v>1015</v>
      </c>
      <c r="AH68">
        <v>7</v>
      </c>
      <c r="AI68">
        <v>1073280</v>
      </c>
      <c r="AJ68">
        <v>104736</v>
      </c>
      <c r="AK68">
        <v>0</v>
      </c>
      <c r="AL68">
        <v>1178016</v>
      </c>
      <c r="AM68" t="s">
        <v>78</v>
      </c>
      <c r="AN68" t="s">
        <v>79</v>
      </c>
      <c r="AO68" t="s">
        <v>80</v>
      </c>
      <c r="AP68" t="s">
        <v>81</v>
      </c>
      <c r="AQ68" t="s">
        <v>82</v>
      </c>
      <c r="AR68" t="s">
        <v>1016</v>
      </c>
      <c r="AS68" s="3">
        <v>46202.465223999308</v>
      </c>
      <c r="AT68" t="s">
        <v>89</v>
      </c>
      <c r="AU68" t="s">
        <v>90</v>
      </c>
      <c r="AV68" t="s">
        <v>91</v>
      </c>
      <c r="AW68" t="s">
        <v>92</v>
      </c>
      <c r="AX68" t="s">
        <v>93</v>
      </c>
      <c r="AY68" t="s">
        <v>94</v>
      </c>
      <c r="AZ68" t="s">
        <v>85</v>
      </c>
      <c r="BA68" t="s">
        <v>1017</v>
      </c>
      <c r="BB68" t="s">
        <v>1003</v>
      </c>
      <c r="BC68" t="s">
        <v>1005</v>
      </c>
      <c r="BD68" t="s">
        <v>78</v>
      </c>
      <c r="BE68" t="s">
        <v>79</v>
      </c>
      <c r="BF68" t="b">
        <f t="shared" si="1"/>
        <v>1</v>
      </c>
      <c r="BG68" t="b">
        <v>1</v>
      </c>
      <c r="BH68">
        <v>2000</v>
      </c>
      <c r="BI68" t="b">
        <v>1</v>
      </c>
      <c r="BJ68" t="s">
        <v>96</v>
      </c>
      <c r="BK68" t="s">
        <v>97</v>
      </c>
      <c r="BL68" t="b">
        <v>1</v>
      </c>
      <c r="BM68" t="b">
        <v>1</v>
      </c>
      <c r="BN68" t="b">
        <v>1</v>
      </c>
      <c r="BO68" t="s">
        <v>1018</v>
      </c>
      <c r="BP68" t="b">
        <f>IF(IFERROR(VLOOKUP(A68,[1]Planilha1!$A:$A,1,0),FALSE)=FALSE,FALSE,TRUE)</f>
        <v>1</v>
      </c>
    </row>
    <row r="69" spans="1:68" x14ac:dyDescent="0.25">
      <c r="A69" t="s">
        <v>1019</v>
      </c>
      <c r="B69" t="s">
        <v>68</v>
      </c>
      <c r="D69" s="1">
        <v>46204</v>
      </c>
      <c r="E69" s="1">
        <v>47664</v>
      </c>
      <c r="F69" t="s">
        <v>1020</v>
      </c>
      <c r="G69" t="s">
        <v>1021</v>
      </c>
      <c r="H69" s="2" t="s">
        <v>1022</v>
      </c>
      <c r="I69" t="s">
        <v>1021</v>
      </c>
      <c r="K69" t="s">
        <v>1023</v>
      </c>
      <c r="L69">
        <v>5116546</v>
      </c>
      <c r="M69" t="s">
        <v>1024</v>
      </c>
      <c r="N69" t="s">
        <v>1025</v>
      </c>
      <c r="O69" t="s">
        <v>715</v>
      </c>
      <c r="P69" t="s">
        <v>107</v>
      </c>
      <c r="Q69" t="s">
        <v>1026</v>
      </c>
      <c r="R69" t="s">
        <v>1027</v>
      </c>
      <c r="S69" t="s">
        <v>1028</v>
      </c>
      <c r="T69" t="s">
        <v>1029</v>
      </c>
      <c r="U69" t="s">
        <v>769</v>
      </c>
      <c r="V69" t="s">
        <v>82</v>
      </c>
      <c r="W69" t="s">
        <v>1027</v>
      </c>
      <c r="X69" t="s">
        <v>1028</v>
      </c>
      <c r="Y69" t="s">
        <v>1029</v>
      </c>
      <c r="Z69" t="s">
        <v>769</v>
      </c>
      <c r="AA69" t="s">
        <v>82</v>
      </c>
      <c r="AB69" t="s">
        <v>83</v>
      </c>
      <c r="AC69" t="s">
        <v>113</v>
      </c>
      <c r="AD69" t="s">
        <v>149</v>
      </c>
      <c r="AE69" t="s">
        <v>1030</v>
      </c>
      <c r="AF69" t="s">
        <v>85</v>
      </c>
      <c r="AG69" t="s">
        <v>1031</v>
      </c>
      <c r="AH69">
        <v>18</v>
      </c>
      <c r="AI69">
        <v>1320930</v>
      </c>
      <c r="AJ69">
        <v>160583</v>
      </c>
      <c r="AK69">
        <v>0</v>
      </c>
      <c r="AL69">
        <v>1481513</v>
      </c>
      <c r="AM69" t="s">
        <v>1032</v>
      </c>
      <c r="AN69" t="s">
        <v>1033</v>
      </c>
      <c r="AO69" t="s">
        <v>1029</v>
      </c>
      <c r="AP69" t="s">
        <v>769</v>
      </c>
      <c r="AQ69" t="s">
        <v>82</v>
      </c>
      <c r="AR69" t="s">
        <v>1034</v>
      </c>
      <c r="AS69" s="3">
        <v>46202.465223999308</v>
      </c>
      <c r="AT69" t="s">
        <v>89</v>
      </c>
      <c r="AU69" t="s">
        <v>90</v>
      </c>
      <c r="AV69" t="s">
        <v>91</v>
      </c>
      <c r="AW69" t="s">
        <v>92</v>
      </c>
      <c r="AX69" t="s">
        <v>93</v>
      </c>
      <c r="AY69" t="s">
        <v>94</v>
      </c>
      <c r="AZ69" t="s">
        <v>85</v>
      </c>
      <c r="BA69" t="s">
        <v>1035</v>
      </c>
      <c r="BB69" t="s">
        <v>1019</v>
      </c>
      <c r="BC69" t="s">
        <v>1021</v>
      </c>
      <c r="BD69" t="s">
        <v>1027</v>
      </c>
      <c r="BE69" t="s">
        <v>1028</v>
      </c>
      <c r="BF69" t="b">
        <f t="shared" si="1"/>
        <v>0</v>
      </c>
      <c r="BG69" t="b">
        <v>0</v>
      </c>
      <c r="BH69">
        <v>1998</v>
      </c>
      <c r="BI69" t="b">
        <v>0</v>
      </c>
      <c r="BJ69" t="s">
        <v>96</v>
      </c>
      <c r="BK69" t="s">
        <v>119</v>
      </c>
      <c r="BL69" t="b">
        <v>1</v>
      </c>
      <c r="BM69" t="b">
        <v>1</v>
      </c>
      <c r="BN69" t="b">
        <v>0</v>
      </c>
      <c r="BO69" t="s">
        <v>1036</v>
      </c>
      <c r="BP69" t="b">
        <f>IF(IFERROR(VLOOKUP(A69,[1]Planilha1!$A:$A,1,0),FALSE)=FALSE,FALSE,TRUE)</f>
        <v>0</v>
      </c>
    </row>
    <row r="70" spans="1:68" x14ac:dyDescent="0.25">
      <c r="A70" t="s">
        <v>1037</v>
      </c>
      <c r="B70" t="s">
        <v>68</v>
      </c>
      <c r="D70" s="1">
        <v>46204</v>
      </c>
      <c r="E70" s="1">
        <v>47664</v>
      </c>
      <c r="F70" t="s">
        <v>1038</v>
      </c>
      <c r="G70" t="s">
        <v>1039</v>
      </c>
      <c r="H70" s="2" t="s">
        <v>1040</v>
      </c>
      <c r="I70" t="s">
        <v>1039</v>
      </c>
      <c r="K70" t="s">
        <v>1041</v>
      </c>
      <c r="L70">
        <v>5116836</v>
      </c>
      <c r="M70" t="s">
        <v>1042</v>
      </c>
      <c r="N70" t="s">
        <v>1043</v>
      </c>
      <c r="O70" t="s">
        <v>1044</v>
      </c>
      <c r="P70" t="s">
        <v>647</v>
      </c>
      <c r="Q70" t="s">
        <v>1045</v>
      </c>
      <c r="R70" t="s">
        <v>362</v>
      </c>
      <c r="S70" t="s">
        <v>363</v>
      </c>
      <c r="T70" t="s">
        <v>364</v>
      </c>
      <c r="U70" t="s">
        <v>81</v>
      </c>
      <c r="V70" t="s">
        <v>82</v>
      </c>
      <c r="W70" t="s">
        <v>362</v>
      </c>
      <c r="X70" t="s">
        <v>363</v>
      </c>
      <c r="Y70" t="s">
        <v>364</v>
      </c>
      <c r="Z70" t="s">
        <v>81</v>
      </c>
      <c r="AA70" t="s">
        <v>82</v>
      </c>
      <c r="AB70" t="s">
        <v>83</v>
      </c>
      <c r="AC70" t="s">
        <v>649</v>
      </c>
      <c r="AD70" t="s">
        <v>85</v>
      </c>
      <c r="AE70" t="s">
        <v>1046</v>
      </c>
      <c r="AF70" t="s">
        <v>85</v>
      </c>
      <c r="AG70" t="s">
        <v>1047</v>
      </c>
      <c r="AH70">
        <v>6</v>
      </c>
      <c r="AI70">
        <v>1048320</v>
      </c>
      <c r="AJ70">
        <v>131000</v>
      </c>
      <c r="AK70">
        <v>0</v>
      </c>
      <c r="AL70">
        <v>1179320</v>
      </c>
      <c r="AM70" t="s">
        <v>362</v>
      </c>
      <c r="AN70" t="s">
        <v>363</v>
      </c>
      <c r="AO70" t="s">
        <v>364</v>
      </c>
      <c r="AP70" t="s">
        <v>81</v>
      </c>
      <c r="AQ70" t="s">
        <v>82</v>
      </c>
      <c r="AR70" t="s">
        <v>1048</v>
      </c>
      <c r="AS70" s="3">
        <v>46202.465223999308</v>
      </c>
      <c r="AT70" t="s">
        <v>89</v>
      </c>
      <c r="AU70" t="s">
        <v>90</v>
      </c>
      <c r="AV70" t="s">
        <v>91</v>
      </c>
      <c r="AW70" t="s">
        <v>92</v>
      </c>
      <c r="AX70" t="s">
        <v>93</v>
      </c>
      <c r="AY70" t="s">
        <v>94</v>
      </c>
      <c r="AZ70" t="s">
        <v>85</v>
      </c>
      <c r="BA70" t="s">
        <v>1049</v>
      </c>
      <c r="BB70" t="s">
        <v>1037</v>
      </c>
      <c r="BC70" t="s">
        <v>1039</v>
      </c>
      <c r="BD70" t="s">
        <v>362</v>
      </c>
      <c r="BE70" t="s">
        <v>363</v>
      </c>
      <c r="BF70" t="b">
        <f t="shared" si="1"/>
        <v>1</v>
      </c>
      <c r="BG70" t="b">
        <v>1</v>
      </c>
      <c r="BH70">
        <v>2019</v>
      </c>
      <c r="BI70" t="b">
        <v>1</v>
      </c>
      <c r="BJ70" t="s">
        <v>96</v>
      </c>
      <c r="BK70" t="s">
        <v>369</v>
      </c>
      <c r="BL70" t="b">
        <v>1</v>
      </c>
      <c r="BM70" t="b">
        <v>1</v>
      </c>
      <c r="BN70" t="b">
        <v>1</v>
      </c>
      <c r="BO70" t="s">
        <v>1050</v>
      </c>
      <c r="BP70" t="b">
        <f>IF(IFERROR(VLOOKUP(A70,[1]Planilha1!$A:$A,1,0),FALSE)=FALSE,FALSE,TRUE)</f>
        <v>1</v>
      </c>
    </row>
    <row r="71" spans="1:68" x14ac:dyDescent="0.25">
      <c r="A71" t="s">
        <v>1051</v>
      </c>
      <c r="B71" t="s">
        <v>68</v>
      </c>
      <c r="D71" s="1">
        <v>46204</v>
      </c>
      <c r="E71" s="1">
        <v>47664</v>
      </c>
      <c r="F71" t="s">
        <v>1052</v>
      </c>
      <c r="G71" t="s">
        <v>1053</v>
      </c>
      <c r="H71" s="2" t="s">
        <v>1054</v>
      </c>
      <c r="I71" t="s">
        <v>1053</v>
      </c>
      <c r="K71" t="s">
        <v>1055</v>
      </c>
      <c r="L71">
        <v>5105694</v>
      </c>
      <c r="M71" t="s">
        <v>1056</v>
      </c>
      <c r="N71" t="s">
        <v>809</v>
      </c>
      <c r="O71" t="s">
        <v>810</v>
      </c>
      <c r="P71" t="s">
        <v>76</v>
      </c>
      <c r="Q71" t="s">
        <v>811</v>
      </c>
      <c r="R71" t="s">
        <v>1057</v>
      </c>
      <c r="S71" t="s">
        <v>1058</v>
      </c>
      <c r="T71" t="s">
        <v>364</v>
      </c>
      <c r="U71" t="s">
        <v>81</v>
      </c>
      <c r="V71" t="s">
        <v>82</v>
      </c>
      <c r="W71" t="s">
        <v>1057</v>
      </c>
      <c r="X71" t="s">
        <v>1058</v>
      </c>
      <c r="Y71" t="s">
        <v>364</v>
      </c>
      <c r="Z71" t="s">
        <v>81</v>
      </c>
      <c r="AA71" t="s">
        <v>82</v>
      </c>
      <c r="AB71" t="s">
        <v>83</v>
      </c>
      <c r="AC71" t="s">
        <v>84</v>
      </c>
      <c r="AD71" t="s">
        <v>1059</v>
      </c>
      <c r="AE71" t="s">
        <v>1060</v>
      </c>
      <c r="AF71" t="s">
        <v>1059</v>
      </c>
      <c r="AG71" t="s">
        <v>1061</v>
      </c>
      <c r="AH71">
        <v>3</v>
      </c>
      <c r="AI71">
        <v>549120</v>
      </c>
      <c r="AJ71">
        <v>149600</v>
      </c>
      <c r="AK71">
        <v>0</v>
      </c>
      <c r="AL71">
        <v>698720</v>
      </c>
      <c r="AM71" t="s">
        <v>1057</v>
      </c>
      <c r="AN71" t="s">
        <v>1058</v>
      </c>
      <c r="AO71" t="s">
        <v>364</v>
      </c>
      <c r="AP71" t="s">
        <v>81</v>
      </c>
      <c r="AQ71" t="s">
        <v>82</v>
      </c>
      <c r="AR71" t="s">
        <v>1062</v>
      </c>
      <c r="AS71" s="3">
        <v>46202.465223999308</v>
      </c>
      <c r="AT71" t="s">
        <v>89</v>
      </c>
      <c r="AU71" t="s">
        <v>90</v>
      </c>
      <c r="AV71" t="s">
        <v>91</v>
      </c>
      <c r="AW71" t="s">
        <v>92</v>
      </c>
      <c r="AX71" t="s">
        <v>93</v>
      </c>
      <c r="AY71" t="s">
        <v>94</v>
      </c>
      <c r="AZ71" t="s">
        <v>85</v>
      </c>
      <c r="BA71" t="s">
        <v>1063</v>
      </c>
      <c r="BB71" t="s">
        <v>1051</v>
      </c>
      <c r="BC71" t="s">
        <v>1053</v>
      </c>
      <c r="BD71" t="s">
        <v>1057</v>
      </c>
      <c r="BE71" t="s">
        <v>1058</v>
      </c>
      <c r="BF71" t="b">
        <f t="shared" si="1"/>
        <v>0</v>
      </c>
      <c r="BG71" t="b">
        <v>0</v>
      </c>
      <c r="BH71">
        <v>2003</v>
      </c>
      <c r="BI71" t="b">
        <v>0</v>
      </c>
      <c r="BJ71" t="s">
        <v>96</v>
      </c>
      <c r="BK71" t="s">
        <v>119</v>
      </c>
      <c r="BL71" t="b">
        <v>1</v>
      </c>
      <c r="BM71" t="b">
        <v>1</v>
      </c>
      <c r="BN71" t="b">
        <v>1</v>
      </c>
      <c r="BO71" t="s">
        <v>1064</v>
      </c>
      <c r="BP71" t="b">
        <f>IF(IFERROR(VLOOKUP(A71,[1]Planilha1!$A:$A,1,0),FALSE)=FALSE,FALSE,TRUE)</f>
        <v>0</v>
      </c>
    </row>
    <row r="72" spans="1:68" x14ac:dyDescent="0.25">
      <c r="A72" t="s">
        <v>1065</v>
      </c>
      <c r="B72" t="s">
        <v>68</v>
      </c>
      <c r="D72" s="1">
        <v>46204</v>
      </c>
      <c r="E72" s="1">
        <v>47664</v>
      </c>
      <c r="F72" t="s">
        <v>1066</v>
      </c>
      <c r="G72" t="s">
        <v>1067</v>
      </c>
      <c r="H72" s="2" t="s">
        <v>1068</v>
      </c>
      <c r="I72" t="s">
        <v>1067</v>
      </c>
      <c r="K72" t="s">
        <v>1069</v>
      </c>
      <c r="L72">
        <v>5116718</v>
      </c>
      <c r="M72" t="s">
        <v>1070</v>
      </c>
      <c r="N72" t="s">
        <v>199</v>
      </c>
      <c r="O72" t="s">
        <v>200</v>
      </c>
      <c r="P72" t="s">
        <v>107</v>
      </c>
      <c r="Q72" t="s">
        <v>427</v>
      </c>
      <c r="R72" t="s">
        <v>182</v>
      </c>
      <c r="S72" t="s">
        <v>183</v>
      </c>
      <c r="T72" t="s">
        <v>184</v>
      </c>
      <c r="U72" t="s">
        <v>112</v>
      </c>
      <c r="V72" t="s">
        <v>82</v>
      </c>
      <c r="W72" t="s">
        <v>182</v>
      </c>
      <c r="X72" t="s">
        <v>183</v>
      </c>
      <c r="Y72" t="s">
        <v>184</v>
      </c>
      <c r="Z72" t="s">
        <v>112</v>
      </c>
      <c r="AA72" t="s">
        <v>82</v>
      </c>
      <c r="AB72" t="s">
        <v>83</v>
      </c>
      <c r="AC72" t="s">
        <v>202</v>
      </c>
      <c r="AD72" t="s">
        <v>149</v>
      </c>
      <c r="AE72" t="s">
        <v>1071</v>
      </c>
      <c r="AF72" t="s">
        <v>85</v>
      </c>
      <c r="AG72" t="s">
        <v>1072</v>
      </c>
      <c r="AH72">
        <v>5</v>
      </c>
      <c r="AI72">
        <v>960960</v>
      </c>
      <c r="AJ72">
        <v>96000</v>
      </c>
      <c r="AK72">
        <v>0</v>
      </c>
      <c r="AL72">
        <v>1056960</v>
      </c>
      <c r="AM72" t="s">
        <v>182</v>
      </c>
      <c r="AN72" t="s">
        <v>183</v>
      </c>
      <c r="AO72" t="s">
        <v>184</v>
      </c>
      <c r="AP72" t="s">
        <v>112</v>
      </c>
      <c r="AQ72" t="s">
        <v>82</v>
      </c>
      <c r="AR72" t="s">
        <v>1073</v>
      </c>
      <c r="AS72" s="3">
        <v>46202.465223999308</v>
      </c>
      <c r="AT72" t="s">
        <v>89</v>
      </c>
      <c r="AU72" t="s">
        <v>90</v>
      </c>
      <c r="AV72" t="s">
        <v>91</v>
      </c>
      <c r="AW72" t="s">
        <v>92</v>
      </c>
      <c r="AX72" t="s">
        <v>93</v>
      </c>
      <c r="AY72" t="s">
        <v>94</v>
      </c>
      <c r="AZ72" t="s">
        <v>85</v>
      </c>
      <c r="BA72" t="s">
        <v>1074</v>
      </c>
      <c r="BB72" t="s">
        <v>1065</v>
      </c>
      <c r="BC72" t="s">
        <v>1067</v>
      </c>
      <c r="BD72" t="s">
        <v>182</v>
      </c>
      <c r="BE72" t="s">
        <v>183</v>
      </c>
      <c r="BF72" t="b">
        <f t="shared" si="1"/>
        <v>1</v>
      </c>
      <c r="BG72" t="b">
        <v>1</v>
      </c>
      <c r="BH72">
        <v>1999</v>
      </c>
      <c r="BI72" t="b">
        <v>1</v>
      </c>
      <c r="BJ72" t="s">
        <v>96</v>
      </c>
      <c r="BK72" t="s">
        <v>191</v>
      </c>
      <c r="BL72" t="b">
        <v>1</v>
      </c>
      <c r="BM72" t="b">
        <v>1</v>
      </c>
      <c r="BN72" t="b">
        <v>1</v>
      </c>
      <c r="BO72" t="s">
        <v>1075</v>
      </c>
      <c r="BP72" t="b">
        <f>IF(IFERROR(VLOOKUP(A72,[1]Planilha1!$A:$A,1,0),FALSE)=FALSE,FALSE,TRUE)</f>
        <v>1</v>
      </c>
    </row>
    <row r="73" spans="1:68" x14ac:dyDescent="0.25">
      <c r="A73" t="s">
        <v>1076</v>
      </c>
      <c r="B73" t="s">
        <v>68</v>
      </c>
      <c r="D73" s="1">
        <v>46204</v>
      </c>
      <c r="E73" s="1">
        <v>47664</v>
      </c>
      <c r="F73" t="s">
        <v>1077</v>
      </c>
      <c r="G73" t="s">
        <v>1078</v>
      </c>
      <c r="H73" s="2" t="s">
        <v>1079</v>
      </c>
      <c r="I73" t="s">
        <v>1078</v>
      </c>
      <c r="K73" t="s">
        <v>1080</v>
      </c>
      <c r="L73">
        <v>5111274</v>
      </c>
      <c r="M73" t="s">
        <v>1081</v>
      </c>
      <c r="N73" t="s">
        <v>389</v>
      </c>
      <c r="O73" t="s">
        <v>390</v>
      </c>
      <c r="P73" t="s">
        <v>107</v>
      </c>
      <c r="Q73" t="s">
        <v>1082</v>
      </c>
      <c r="R73" t="s">
        <v>281</v>
      </c>
      <c r="S73" t="s">
        <v>282</v>
      </c>
      <c r="T73" t="s">
        <v>111</v>
      </c>
      <c r="U73" t="s">
        <v>112</v>
      </c>
      <c r="V73" t="s">
        <v>82</v>
      </c>
      <c r="W73" t="s">
        <v>281</v>
      </c>
      <c r="X73" t="s">
        <v>282</v>
      </c>
      <c r="Y73" t="s">
        <v>111</v>
      </c>
      <c r="Z73" t="s">
        <v>112</v>
      </c>
      <c r="AA73" t="s">
        <v>82</v>
      </c>
      <c r="AB73" t="s">
        <v>83</v>
      </c>
      <c r="AC73" t="s">
        <v>202</v>
      </c>
      <c r="AD73" t="s">
        <v>167</v>
      </c>
      <c r="AE73" t="s">
        <v>1083</v>
      </c>
      <c r="AF73" t="s">
        <v>167</v>
      </c>
      <c r="AG73" t="s">
        <v>1084</v>
      </c>
      <c r="AH73">
        <v>16</v>
      </c>
      <c r="AI73">
        <v>1247900</v>
      </c>
      <c r="AJ73">
        <v>147817.51999999999</v>
      </c>
      <c r="AK73">
        <v>0</v>
      </c>
      <c r="AL73">
        <v>1395717.52</v>
      </c>
      <c r="AM73" t="s">
        <v>182</v>
      </c>
      <c r="AN73" t="s">
        <v>183</v>
      </c>
      <c r="AO73" t="s">
        <v>184</v>
      </c>
      <c r="AP73" t="s">
        <v>112</v>
      </c>
      <c r="AQ73" t="s">
        <v>82</v>
      </c>
      <c r="AR73" t="s">
        <v>1085</v>
      </c>
      <c r="AS73" s="3">
        <v>46202.465223999308</v>
      </c>
      <c r="AT73" t="s">
        <v>89</v>
      </c>
      <c r="AU73" t="s">
        <v>90</v>
      </c>
      <c r="AV73" t="s">
        <v>91</v>
      </c>
      <c r="AW73" t="s">
        <v>92</v>
      </c>
      <c r="AX73" t="s">
        <v>93</v>
      </c>
      <c r="AY73" t="s">
        <v>94</v>
      </c>
      <c r="AZ73" t="s">
        <v>85</v>
      </c>
      <c r="BA73" t="s">
        <v>1086</v>
      </c>
      <c r="BB73" t="s">
        <v>1076</v>
      </c>
      <c r="BC73" t="s">
        <v>1078</v>
      </c>
      <c r="BD73" t="s">
        <v>281</v>
      </c>
      <c r="BE73" t="s">
        <v>282</v>
      </c>
      <c r="BF73" t="b">
        <f t="shared" si="1"/>
        <v>1</v>
      </c>
      <c r="BG73" t="b">
        <v>1</v>
      </c>
      <c r="BH73">
        <v>1991</v>
      </c>
      <c r="BI73" t="b">
        <v>1</v>
      </c>
      <c r="BJ73" t="s">
        <v>96</v>
      </c>
      <c r="BK73" t="s">
        <v>287</v>
      </c>
      <c r="BL73" t="b">
        <v>1</v>
      </c>
      <c r="BM73" t="b">
        <v>1</v>
      </c>
      <c r="BN73" t="b">
        <v>1</v>
      </c>
      <c r="BO73" t="s">
        <v>1087</v>
      </c>
      <c r="BP73" t="b">
        <f>IF(IFERROR(VLOOKUP(A73,[1]Planilha1!$A:$A,1,0),FALSE)=FALSE,FALSE,TRUE)</f>
        <v>1</v>
      </c>
    </row>
    <row r="74" spans="1:68" x14ac:dyDescent="0.25">
      <c r="A74" t="s">
        <v>1088</v>
      </c>
      <c r="B74" t="s">
        <v>68</v>
      </c>
      <c r="D74" s="1">
        <v>46204</v>
      </c>
      <c r="E74" s="1">
        <v>47664</v>
      </c>
      <c r="F74" t="s">
        <v>1089</v>
      </c>
      <c r="G74" t="s">
        <v>1090</v>
      </c>
      <c r="H74" s="2" t="s">
        <v>1091</v>
      </c>
      <c r="I74" t="s">
        <v>1090</v>
      </c>
      <c r="K74" t="s">
        <v>1092</v>
      </c>
      <c r="L74">
        <v>5116528</v>
      </c>
      <c r="M74" t="s">
        <v>1093</v>
      </c>
      <c r="N74" t="s">
        <v>105</v>
      </c>
      <c r="O74" t="s">
        <v>106</v>
      </c>
      <c r="P74" t="s">
        <v>107</v>
      </c>
      <c r="Q74" t="s">
        <v>1094</v>
      </c>
      <c r="R74" t="s">
        <v>1095</v>
      </c>
      <c r="S74" t="s">
        <v>1096</v>
      </c>
      <c r="T74" t="s">
        <v>1029</v>
      </c>
      <c r="U74" t="s">
        <v>769</v>
      </c>
      <c r="V74" t="s">
        <v>82</v>
      </c>
      <c r="W74" t="s">
        <v>1095</v>
      </c>
      <c r="X74" t="s">
        <v>1096</v>
      </c>
      <c r="Y74" t="s">
        <v>1029</v>
      </c>
      <c r="Z74" t="s">
        <v>769</v>
      </c>
      <c r="AA74" t="s">
        <v>82</v>
      </c>
      <c r="AB74" t="s">
        <v>83</v>
      </c>
      <c r="AC74" t="s">
        <v>113</v>
      </c>
      <c r="AD74" t="s">
        <v>149</v>
      </c>
      <c r="AE74" t="s">
        <v>1097</v>
      </c>
      <c r="AF74" t="s">
        <v>85</v>
      </c>
      <c r="AG74" t="s">
        <v>1098</v>
      </c>
      <c r="AH74">
        <v>25</v>
      </c>
      <c r="AI74">
        <v>1299810</v>
      </c>
      <c r="AJ74">
        <v>144400</v>
      </c>
      <c r="AK74">
        <v>0</v>
      </c>
      <c r="AL74">
        <v>1444210</v>
      </c>
      <c r="AR74" t="s">
        <v>1099</v>
      </c>
      <c r="AS74" s="3">
        <v>46202.465223999308</v>
      </c>
      <c r="AT74" t="s">
        <v>89</v>
      </c>
      <c r="AU74" t="s">
        <v>90</v>
      </c>
      <c r="AV74" t="s">
        <v>91</v>
      </c>
      <c r="AW74" t="s">
        <v>92</v>
      </c>
      <c r="AX74" t="s">
        <v>93</v>
      </c>
      <c r="AY74" t="s">
        <v>94</v>
      </c>
      <c r="AZ74" t="s">
        <v>85</v>
      </c>
      <c r="BA74" t="s">
        <v>1100</v>
      </c>
      <c r="BB74" t="s">
        <v>1088</v>
      </c>
      <c r="BC74" t="s">
        <v>1090</v>
      </c>
      <c r="BD74" t="s">
        <v>1095</v>
      </c>
      <c r="BE74" t="s">
        <v>1096</v>
      </c>
      <c r="BF74" t="b">
        <f t="shared" si="1"/>
        <v>0</v>
      </c>
      <c r="BG74" t="b">
        <v>0</v>
      </c>
      <c r="BH74">
        <v>2023</v>
      </c>
      <c r="BI74" t="b">
        <v>0</v>
      </c>
      <c r="BJ74" t="s">
        <v>96</v>
      </c>
      <c r="BK74" t="s">
        <v>119</v>
      </c>
      <c r="BL74" t="b">
        <v>1</v>
      </c>
      <c r="BM74" t="b">
        <v>1</v>
      </c>
      <c r="BN74" t="b">
        <v>1</v>
      </c>
      <c r="BO74" t="s">
        <v>1101</v>
      </c>
      <c r="BP74" t="b">
        <f>IF(IFERROR(VLOOKUP(A74,[1]Planilha1!$A:$A,1,0),FALSE)=FALSE,FALSE,TRUE)</f>
        <v>0</v>
      </c>
    </row>
    <row r="75" spans="1:68" x14ac:dyDescent="0.25">
      <c r="A75" t="s">
        <v>1102</v>
      </c>
      <c r="B75" t="s">
        <v>68</v>
      </c>
      <c r="D75" s="1">
        <v>46204</v>
      </c>
      <c r="E75" s="1">
        <v>47664</v>
      </c>
      <c r="F75" t="s">
        <v>1103</v>
      </c>
      <c r="G75" t="s">
        <v>1104</v>
      </c>
      <c r="H75" s="2" t="s">
        <v>1105</v>
      </c>
      <c r="I75" t="s">
        <v>1104</v>
      </c>
      <c r="K75" t="s">
        <v>1106</v>
      </c>
      <c r="L75">
        <v>5116476</v>
      </c>
      <c r="M75" t="s">
        <v>1107</v>
      </c>
      <c r="N75" t="s">
        <v>295</v>
      </c>
      <c r="O75" t="s">
        <v>296</v>
      </c>
      <c r="P75" t="s">
        <v>129</v>
      </c>
      <c r="Q75" t="s">
        <v>471</v>
      </c>
      <c r="R75" t="s">
        <v>331</v>
      </c>
      <c r="S75" t="s">
        <v>332</v>
      </c>
      <c r="T75" t="s">
        <v>111</v>
      </c>
      <c r="U75" t="s">
        <v>112</v>
      </c>
      <c r="V75" t="s">
        <v>82</v>
      </c>
      <c r="W75" t="s">
        <v>331</v>
      </c>
      <c r="X75" t="s">
        <v>332</v>
      </c>
      <c r="Y75" t="s">
        <v>111</v>
      </c>
      <c r="Z75" t="s">
        <v>112</v>
      </c>
      <c r="AA75" t="s">
        <v>82</v>
      </c>
      <c r="AB75" t="s">
        <v>83</v>
      </c>
      <c r="AC75" t="s">
        <v>135</v>
      </c>
      <c r="AD75" t="s">
        <v>252</v>
      </c>
      <c r="AE75" t="s">
        <v>1108</v>
      </c>
      <c r="AF75" t="s">
        <v>252</v>
      </c>
      <c r="AG75" t="s">
        <v>1109</v>
      </c>
      <c r="AH75">
        <v>3</v>
      </c>
      <c r="AI75">
        <v>648960</v>
      </c>
      <c r="AJ75">
        <v>0</v>
      </c>
      <c r="AK75">
        <v>0</v>
      </c>
      <c r="AL75">
        <v>648960</v>
      </c>
      <c r="AR75" t="s">
        <v>1110</v>
      </c>
      <c r="AS75" s="3">
        <v>46202.465223999308</v>
      </c>
      <c r="AT75" t="s">
        <v>89</v>
      </c>
      <c r="AU75" t="s">
        <v>90</v>
      </c>
      <c r="AV75" t="s">
        <v>91</v>
      </c>
      <c r="AW75" t="s">
        <v>92</v>
      </c>
      <c r="AX75" t="s">
        <v>93</v>
      </c>
      <c r="AY75" t="s">
        <v>94</v>
      </c>
      <c r="AZ75" t="s">
        <v>85</v>
      </c>
      <c r="BA75" t="s">
        <v>1111</v>
      </c>
      <c r="BB75" t="s">
        <v>1102</v>
      </c>
      <c r="BC75" t="s">
        <v>1104</v>
      </c>
      <c r="BD75" t="s">
        <v>331</v>
      </c>
      <c r="BE75" t="s">
        <v>332</v>
      </c>
      <c r="BF75" t="b">
        <f t="shared" si="1"/>
        <v>1</v>
      </c>
      <c r="BG75" t="b">
        <v>1</v>
      </c>
      <c r="BH75">
        <v>1990</v>
      </c>
      <c r="BI75" t="b">
        <v>1</v>
      </c>
      <c r="BJ75" t="s">
        <v>96</v>
      </c>
      <c r="BK75" t="s">
        <v>338</v>
      </c>
      <c r="BL75" t="b">
        <v>1</v>
      </c>
      <c r="BM75" t="b">
        <v>1</v>
      </c>
      <c r="BN75" t="b">
        <v>1</v>
      </c>
      <c r="BO75" t="s">
        <v>1112</v>
      </c>
      <c r="BP75" t="b">
        <f>IF(IFERROR(VLOOKUP(A75,[1]Planilha1!$A:$A,1,0),FALSE)=FALSE,FALSE,TRUE)</f>
        <v>1</v>
      </c>
    </row>
    <row r="76" spans="1:68" x14ac:dyDescent="0.25">
      <c r="A76" t="s">
        <v>1113</v>
      </c>
      <c r="B76" t="s">
        <v>68</v>
      </c>
      <c r="D76" s="1">
        <v>46204</v>
      </c>
      <c r="E76" s="1">
        <v>47664</v>
      </c>
      <c r="F76" t="s">
        <v>1114</v>
      </c>
      <c r="G76" t="s">
        <v>1115</v>
      </c>
      <c r="H76" s="2" t="s">
        <v>1116</v>
      </c>
      <c r="I76" t="s">
        <v>1115</v>
      </c>
      <c r="K76" t="s">
        <v>1117</v>
      </c>
      <c r="L76">
        <v>5116598</v>
      </c>
      <c r="M76" t="s">
        <v>1118</v>
      </c>
      <c r="N76" t="s">
        <v>809</v>
      </c>
      <c r="O76" t="s">
        <v>810</v>
      </c>
      <c r="P76" t="s">
        <v>76</v>
      </c>
      <c r="Q76" t="s">
        <v>811</v>
      </c>
      <c r="R76" t="s">
        <v>362</v>
      </c>
      <c r="S76" t="s">
        <v>363</v>
      </c>
      <c r="T76" t="s">
        <v>364</v>
      </c>
      <c r="U76" t="s">
        <v>81</v>
      </c>
      <c r="V76" t="s">
        <v>82</v>
      </c>
      <c r="W76" t="s">
        <v>362</v>
      </c>
      <c r="X76" t="s">
        <v>363</v>
      </c>
      <c r="Y76" t="s">
        <v>364</v>
      </c>
      <c r="Z76" t="s">
        <v>81</v>
      </c>
      <c r="AA76" t="s">
        <v>82</v>
      </c>
      <c r="AB76" t="s">
        <v>83</v>
      </c>
      <c r="AC76" t="s">
        <v>84</v>
      </c>
      <c r="AD76" t="s">
        <v>149</v>
      </c>
      <c r="AE76" t="s">
        <v>1119</v>
      </c>
      <c r="AF76" t="s">
        <v>85</v>
      </c>
      <c r="AG76" t="s">
        <v>1120</v>
      </c>
      <c r="AH76">
        <v>10</v>
      </c>
      <c r="AI76">
        <v>1361400</v>
      </c>
      <c r="AJ76">
        <v>136151.6</v>
      </c>
      <c r="AK76">
        <v>0</v>
      </c>
      <c r="AL76">
        <v>1497551.6</v>
      </c>
      <c r="AM76" t="s">
        <v>362</v>
      </c>
      <c r="AN76" t="s">
        <v>363</v>
      </c>
      <c r="AO76" t="s">
        <v>364</v>
      </c>
      <c r="AP76" t="s">
        <v>81</v>
      </c>
      <c r="AQ76" t="s">
        <v>82</v>
      </c>
      <c r="AR76" t="s">
        <v>1121</v>
      </c>
      <c r="AS76" s="3">
        <v>46202.465223999308</v>
      </c>
      <c r="AT76" t="s">
        <v>89</v>
      </c>
      <c r="AU76" t="s">
        <v>90</v>
      </c>
      <c r="AV76" t="s">
        <v>91</v>
      </c>
      <c r="AW76" t="s">
        <v>92</v>
      </c>
      <c r="AX76" t="s">
        <v>93</v>
      </c>
      <c r="AY76" t="s">
        <v>94</v>
      </c>
      <c r="AZ76" t="s">
        <v>85</v>
      </c>
      <c r="BA76" t="s">
        <v>1122</v>
      </c>
      <c r="BB76" t="s">
        <v>1113</v>
      </c>
      <c r="BC76" t="s">
        <v>1115</v>
      </c>
      <c r="BD76" t="s">
        <v>362</v>
      </c>
      <c r="BE76" t="s">
        <v>363</v>
      </c>
      <c r="BF76" t="b">
        <f t="shared" si="1"/>
        <v>0</v>
      </c>
      <c r="BG76" t="b">
        <v>1</v>
      </c>
      <c r="BH76">
        <v>2003</v>
      </c>
      <c r="BI76" t="b">
        <v>0</v>
      </c>
      <c r="BJ76" t="s">
        <v>96</v>
      </c>
      <c r="BK76" t="s">
        <v>369</v>
      </c>
      <c r="BL76" t="b">
        <v>1</v>
      </c>
      <c r="BM76" t="b">
        <v>1</v>
      </c>
      <c r="BN76" t="b">
        <v>1</v>
      </c>
      <c r="BO76" t="s">
        <v>1123</v>
      </c>
      <c r="BP76" t="b">
        <f>IF(IFERROR(VLOOKUP(A76,[1]Planilha1!$A:$A,1,0),FALSE)=FALSE,FALSE,TRUE)</f>
        <v>0</v>
      </c>
    </row>
    <row r="77" spans="1:68" x14ac:dyDescent="0.25">
      <c r="A77" t="s">
        <v>1124</v>
      </c>
      <c r="B77" t="s">
        <v>68</v>
      </c>
      <c r="D77" s="1">
        <v>46204</v>
      </c>
      <c r="E77" s="1">
        <v>47664</v>
      </c>
      <c r="F77" t="s">
        <v>1125</v>
      </c>
      <c r="G77" t="s">
        <v>1126</v>
      </c>
      <c r="H77" s="2" t="s">
        <v>1127</v>
      </c>
      <c r="I77" t="s">
        <v>1126</v>
      </c>
      <c r="K77" t="s">
        <v>1128</v>
      </c>
      <c r="L77">
        <v>5114499</v>
      </c>
      <c r="M77" t="s">
        <v>1129</v>
      </c>
      <c r="N77" t="s">
        <v>1130</v>
      </c>
      <c r="O77" t="s">
        <v>1131</v>
      </c>
      <c r="P77" t="s">
        <v>529</v>
      </c>
      <c r="Q77" t="s">
        <v>1132</v>
      </c>
      <c r="R77" t="s">
        <v>1133</v>
      </c>
      <c r="S77" t="s">
        <v>1134</v>
      </c>
      <c r="T77" t="s">
        <v>184</v>
      </c>
      <c r="U77" t="s">
        <v>112</v>
      </c>
      <c r="V77" t="s">
        <v>82</v>
      </c>
      <c r="W77" t="s">
        <v>1133</v>
      </c>
      <c r="X77" t="s">
        <v>1134</v>
      </c>
      <c r="Y77" t="s">
        <v>184</v>
      </c>
      <c r="Z77" t="s">
        <v>112</v>
      </c>
      <c r="AA77" t="s">
        <v>82</v>
      </c>
      <c r="AB77" t="s">
        <v>83</v>
      </c>
      <c r="AC77" t="s">
        <v>1135</v>
      </c>
      <c r="AD77" t="s">
        <v>238</v>
      </c>
      <c r="AE77" t="s">
        <v>1136</v>
      </c>
      <c r="AF77" t="s">
        <v>238</v>
      </c>
      <c r="AG77" t="s">
        <v>1137</v>
      </c>
      <c r="AH77">
        <v>13</v>
      </c>
      <c r="AI77">
        <v>1349220</v>
      </c>
      <c r="AJ77">
        <v>150000</v>
      </c>
      <c r="AK77">
        <v>0</v>
      </c>
      <c r="AL77">
        <v>1499220</v>
      </c>
      <c r="AM77" t="s">
        <v>1133</v>
      </c>
      <c r="AN77" t="s">
        <v>1134</v>
      </c>
      <c r="AO77" t="s">
        <v>184</v>
      </c>
      <c r="AP77" t="s">
        <v>112</v>
      </c>
      <c r="AQ77" t="s">
        <v>82</v>
      </c>
      <c r="AR77" t="s">
        <v>1138</v>
      </c>
      <c r="AS77" s="3">
        <v>46202.465223999308</v>
      </c>
      <c r="AT77" t="s">
        <v>89</v>
      </c>
      <c r="AU77" t="s">
        <v>90</v>
      </c>
      <c r="AV77" t="s">
        <v>91</v>
      </c>
      <c r="AW77" t="s">
        <v>92</v>
      </c>
      <c r="AX77" t="s">
        <v>93</v>
      </c>
      <c r="AY77" t="s">
        <v>94</v>
      </c>
      <c r="AZ77" t="s">
        <v>85</v>
      </c>
      <c r="BA77" t="s">
        <v>1139</v>
      </c>
      <c r="BB77" t="s">
        <v>1124</v>
      </c>
      <c r="BC77" t="s">
        <v>1126</v>
      </c>
      <c r="BD77" t="s">
        <v>1133</v>
      </c>
      <c r="BE77" t="s">
        <v>1134</v>
      </c>
      <c r="BF77" t="b">
        <f t="shared" si="1"/>
        <v>0</v>
      </c>
      <c r="BG77" t="b">
        <v>1</v>
      </c>
      <c r="BH77">
        <v>1983</v>
      </c>
      <c r="BI77" t="b">
        <v>0</v>
      </c>
      <c r="BJ77" t="s">
        <v>96</v>
      </c>
      <c r="BK77" t="s">
        <v>1140</v>
      </c>
      <c r="BL77" t="b">
        <v>0</v>
      </c>
      <c r="BM77" t="b">
        <v>1</v>
      </c>
      <c r="BN77" t="b">
        <v>1</v>
      </c>
      <c r="BO77" t="s">
        <v>1141</v>
      </c>
      <c r="BP77" t="b">
        <f>IF(IFERROR(VLOOKUP(A77,[1]Planilha1!$A:$A,1,0),FALSE)=FALSE,FALSE,TRUE)</f>
        <v>0</v>
      </c>
    </row>
    <row r="78" spans="1:68" x14ac:dyDescent="0.25">
      <c r="A78" t="s">
        <v>1142</v>
      </c>
      <c r="B78" t="s">
        <v>68</v>
      </c>
      <c r="D78" s="1">
        <v>46204</v>
      </c>
      <c r="E78" s="1">
        <v>47664</v>
      </c>
      <c r="F78" t="s">
        <v>1143</v>
      </c>
      <c r="G78" t="s">
        <v>1144</v>
      </c>
      <c r="H78" s="2" t="s">
        <v>1145</v>
      </c>
      <c r="I78" t="s">
        <v>1144</v>
      </c>
      <c r="K78" t="s">
        <v>1146</v>
      </c>
      <c r="L78">
        <v>5115108</v>
      </c>
      <c r="M78" t="s">
        <v>1147</v>
      </c>
      <c r="N78" t="s">
        <v>359</v>
      </c>
      <c r="O78" t="s">
        <v>360</v>
      </c>
      <c r="P78" t="s">
        <v>129</v>
      </c>
      <c r="Q78" t="s">
        <v>1148</v>
      </c>
      <c r="R78" t="s">
        <v>1149</v>
      </c>
      <c r="S78" t="s">
        <v>1150</v>
      </c>
      <c r="T78" t="s">
        <v>1151</v>
      </c>
      <c r="U78" t="s">
        <v>769</v>
      </c>
      <c r="V78" t="s">
        <v>82</v>
      </c>
      <c r="W78" t="s">
        <v>1149</v>
      </c>
      <c r="X78" t="s">
        <v>1150</v>
      </c>
      <c r="Y78" t="s">
        <v>1151</v>
      </c>
      <c r="Z78" t="s">
        <v>769</v>
      </c>
      <c r="AA78" t="s">
        <v>82</v>
      </c>
      <c r="AB78" t="s">
        <v>83</v>
      </c>
      <c r="AC78" t="s">
        <v>185</v>
      </c>
      <c r="AD78" t="s">
        <v>238</v>
      </c>
      <c r="AE78" t="s">
        <v>1152</v>
      </c>
      <c r="AF78" t="s">
        <v>238</v>
      </c>
      <c r="AG78" t="s">
        <v>1153</v>
      </c>
      <c r="AH78">
        <v>4</v>
      </c>
      <c r="AI78">
        <v>187200</v>
      </c>
      <c r="AJ78">
        <v>0</v>
      </c>
      <c r="AK78">
        <v>0</v>
      </c>
      <c r="AL78">
        <v>187200</v>
      </c>
      <c r="AM78" t="s">
        <v>1149</v>
      </c>
      <c r="AN78" t="s">
        <v>1150</v>
      </c>
      <c r="AO78" t="s">
        <v>1151</v>
      </c>
      <c r="AP78" t="s">
        <v>769</v>
      </c>
      <c r="AQ78" t="s">
        <v>82</v>
      </c>
      <c r="AR78" t="s">
        <v>1154</v>
      </c>
      <c r="AS78" s="3">
        <v>46202.465223999308</v>
      </c>
      <c r="AT78" t="s">
        <v>89</v>
      </c>
      <c r="AU78" t="s">
        <v>90</v>
      </c>
      <c r="AV78" t="s">
        <v>91</v>
      </c>
      <c r="AW78" t="s">
        <v>92</v>
      </c>
      <c r="AX78" t="s">
        <v>93</v>
      </c>
      <c r="AY78" t="s">
        <v>94</v>
      </c>
      <c r="AZ78" t="s">
        <v>85</v>
      </c>
      <c r="BA78" t="s">
        <v>1155</v>
      </c>
      <c r="BB78" t="s">
        <v>1142</v>
      </c>
      <c r="BC78" t="s">
        <v>1144</v>
      </c>
      <c r="BD78" t="s">
        <v>1149</v>
      </c>
      <c r="BE78" t="s">
        <v>1150</v>
      </c>
      <c r="BF78" t="b">
        <f t="shared" si="1"/>
        <v>0</v>
      </c>
      <c r="BG78" t="b">
        <v>0</v>
      </c>
      <c r="BH78">
        <v>2016</v>
      </c>
      <c r="BI78" t="b">
        <v>0</v>
      </c>
      <c r="BJ78" t="s">
        <v>96</v>
      </c>
      <c r="BK78" t="s">
        <v>272</v>
      </c>
      <c r="BL78" t="b">
        <v>1</v>
      </c>
      <c r="BM78" t="b">
        <v>1</v>
      </c>
      <c r="BN78" t="b">
        <v>1</v>
      </c>
      <c r="BO78" t="s">
        <v>1156</v>
      </c>
      <c r="BP78" t="b">
        <f>IF(IFERROR(VLOOKUP(A78,[1]Planilha1!$A:$A,1,0),FALSE)=FALSE,FALSE,TRUE)</f>
        <v>0</v>
      </c>
    </row>
    <row r="79" spans="1:68" x14ac:dyDescent="0.25">
      <c r="A79" t="s">
        <v>1157</v>
      </c>
      <c r="B79" t="s">
        <v>68</v>
      </c>
      <c r="D79" s="1">
        <v>46204</v>
      </c>
      <c r="E79" s="1">
        <v>47664</v>
      </c>
      <c r="F79" t="s">
        <v>1158</v>
      </c>
      <c r="G79" t="s">
        <v>1159</v>
      </c>
      <c r="H79" s="2" t="s">
        <v>1160</v>
      </c>
      <c r="I79" t="s">
        <v>1159</v>
      </c>
      <c r="K79" t="s">
        <v>1161</v>
      </c>
      <c r="L79">
        <v>5116824</v>
      </c>
      <c r="M79" t="s">
        <v>1162</v>
      </c>
      <c r="N79" t="s">
        <v>127</v>
      </c>
      <c r="O79" t="s">
        <v>128</v>
      </c>
      <c r="P79" t="s">
        <v>129</v>
      </c>
      <c r="Q79" t="s">
        <v>130</v>
      </c>
      <c r="R79" t="s">
        <v>182</v>
      </c>
      <c r="S79" t="s">
        <v>183</v>
      </c>
      <c r="T79" t="s">
        <v>184</v>
      </c>
      <c r="U79" t="s">
        <v>112</v>
      </c>
      <c r="V79" t="s">
        <v>82</v>
      </c>
      <c r="W79" t="s">
        <v>182</v>
      </c>
      <c r="X79" t="s">
        <v>183</v>
      </c>
      <c r="Y79" t="s">
        <v>184</v>
      </c>
      <c r="Z79" t="s">
        <v>112</v>
      </c>
      <c r="AA79" t="s">
        <v>82</v>
      </c>
      <c r="AB79" t="s">
        <v>83</v>
      </c>
      <c r="AC79" t="s">
        <v>135</v>
      </c>
      <c r="AD79" t="s">
        <v>85</v>
      </c>
      <c r="AE79" t="s">
        <v>1163</v>
      </c>
      <c r="AF79" t="s">
        <v>85</v>
      </c>
      <c r="AG79" t="s">
        <v>1164</v>
      </c>
      <c r="AH79">
        <v>4</v>
      </c>
      <c r="AI79">
        <v>686400</v>
      </c>
      <c r="AJ79">
        <v>99146.66</v>
      </c>
      <c r="AK79">
        <v>0</v>
      </c>
      <c r="AL79">
        <v>785546.66</v>
      </c>
      <c r="AM79" t="s">
        <v>182</v>
      </c>
      <c r="AN79" t="s">
        <v>183</v>
      </c>
      <c r="AO79" t="s">
        <v>184</v>
      </c>
      <c r="AP79" t="s">
        <v>112</v>
      </c>
      <c r="AQ79" t="s">
        <v>82</v>
      </c>
      <c r="AR79" t="s">
        <v>1165</v>
      </c>
      <c r="AS79" s="3">
        <v>46202.465223999308</v>
      </c>
      <c r="AT79" t="s">
        <v>89</v>
      </c>
      <c r="AU79" t="s">
        <v>90</v>
      </c>
      <c r="AV79" t="s">
        <v>91</v>
      </c>
      <c r="AW79" t="s">
        <v>92</v>
      </c>
      <c r="AX79" t="s">
        <v>93</v>
      </c>
      <c r="AY79" t="s">
        <v>94</v>
      </c>
      <c r="AZ79" t="s">
        <v>85</v>
      </c>
      <c r="BA79" t="s">
        <v>1166</v>
      </c>
      <c r="BB79" t="s">
        <v>1157</v>
      </c>
      <c r="BC79" t="s">
        <v>1159</v>
      </c>
      <c r="BD79" t="s">
        <v>182</v>
      </c>
      <c r="BE79" t="s">
        <v>183</v>
      </c>
      <c r="BF79" t="b">
        <f t="shared" si="1"/>
        <v>0</v>
      </c>
      <c r="BG79" t="b">
        <v>1</v>
      </c>
      <c r="BH79">
        <v>1996</v>
      </c>
      <c r="BI79" t="b">
        <v>0</v>
      </c>
      <c r="BJ79" t="s">
        <v>96</v>
      </c>
      <c r="BK79" t="s">
        <v>191</v>
      </c>
      <c r="BL79" t="b">
        <v>1</v>
      </c>
      <c r="BM79" t="b">
        <v>1</v>
      </c>
      <c r="BN79" t="b">
        <v>1</v>
      </c>
      <c r="BO79" t="s">
        <v>1167</v>
      </c>
      <c r="BP79" t="b">
        <f>IF(IFERROR(VLOOKUP(A79,[1]Planilha1!$A:$A,1,0),FALSE)=FALSE,FALSE,TRUE)</f>
        <v>0</v>
      </c>
    </row>
    <row r="80" spans="1:68" x14ac:dyDescent="0.25">
      <c r="A80" t="s">
        <v>1168</v>
      </c>
      <c r="B80" t="s">
        <v>68</v>
      </c>
      <c r="D80" s="1">
        <v>46204</v>
      </c>
      <c r="E80" s="1">
        <v>47664</v>
      </c>
      <c r="F80" t="s">
        <v>1169</v>
      </c>
      <c r="G80" t="s">
        <v>1170</v>
      </c>
      <c r="H80" s="2" t="s">
        <v>1171</v>
      </c>
      <c r="I80" t="s">
        <v>1170</v>
      </c>
      <c r="K80" t="s">
        <v>1172</v>
      </c>
      <c r="L80">
        <v>5116506</v>
      </c>
      <c r="M80" t="s">
        <v>1173</v>
      </c>
      <c r="N80" t="s">
        <v>179</v>
      </c>
      <c r="O80" t="s">
        <v>180</v>
      </c>
      <c r="P80" t="s">
        <v>129</v>
      </c>
      <c r="Q80" t="s">
        <v>1174</v>
      </c>
      <c r="R80" t="s">
        <v>182</v>
      </c>
      <c r="S80" t="s">
        <v>183</v>
      </c>
      <c r="T80" t="s">
        <v>184</v>
      </c>
      <c r="U80" t="s">
        <v>112</v>
      </c>
      <c r="V80" t="s">
        <v>82</v>
      </c>
      <c r="W80" t="s">
        <v>182</v>
      </c>
      <c r="X80" t="s">
        <v>183</v>
      </c>
      <c r="Y80" t="s">
        <v>184</v>
      </c>
      <c r="Z80" t="s">
        <v>112</v>
      </c>
      <c r="AA80" t="s">
        <v>82</v>
      </c>
      <c r="AB80" t="s">
        <v>83</v>
      </c>
      <c r="AC80" t="s">
        <v>185</v>
      </c>
      <c r="AD80" t="s">
        <v>149</v>
      </c>
      <c r="AE80" t="s">
        <v>1175</v>
      </c>
      <c r="AF80" t="s">
        <v>149</v>
      </c>
      <c r="AG80" t="s">
        <v>1176</v>
      </c>
      <c r="AH80">
        <v>5</v>
      </c>
      <c r="AI80">
        <v>1248000</v>
      </c>
      <c r="AJ80">
        <v>144213.32999999999</v>
      </c>
      <c r="AK80">
        <v>0</v>
      </c>
      <c r="AL80">
        <v>1392213.33</v>
      </c>
      <c r="AR80" t="s">
        <v>1177</v>
      </c>
      <c r="AS80" s="3">
        <v>46202.465223999308</v>
      </c>
      <c r="AT80" t="s">
        <v>89</v>
      </c>
      <c r="AU80" t="s">
        <v>90</v>
      </c>
      <c r="AV80" t="s">
        <v>91</v>
      </c>
      <c r="AW80" t="s">
        <v>92</v>
      </c>
      <c r="AX80" t="s">
        <v>93</v>
      </c>
      <c r="AY80" t="s">
        <v>94</v>
      </c>
      <c r="AZ80" t="s">
        <v>85</v>
      </c>
      <c r="BA80" t="s">
        <v>1178</v>
      </c>
      <c r="BB80" t="s">
        <v>1168</v>
      </c>
      <c r="BC80" t="s">
        <v>1170</v>
      </c>
      <c r="BD80" t="s">
        <v>182</v>
      </c>
      <c r="BE80" t="s">
        <v>183</v>
      </c>
      <c r="BF80" t="b">
        <f t="shared" si="1"/>
        <v>1</v>
      </c>
      <c r="BG80" t="b">
        <v>1</v>
      </c>
      <c r="BH80">
        <v>1995</v>
      </c>
      <c r="BI80" t="b">
        <v>1</v>
      </c>
      <c r="BJ80" t="s">
        <v>96</v>
      </c>
      <c r="BK80" t="s">
        <v>191</v>
      </c>
      <c r="BL80" t="b">
        <v>1</v>
      </c>
      <c r="BM80" t="b">
        <v>1</v>
      </c>
      <c r="BN80" t="b">
        <v>1</v>
      </c>
      <c r="BO80" t="s">
        <v>1179</v>
      </c>
      <c r="BP80" t="b">
        <f>IF(IFERROR(VLOOKUP(A80,[1]Planilha1!$A:$A,1,0),FALSE)=FALSE,FALSE,TRUE)</f>
        <v>1</v>
      </c>
    </row>
    <row r="81" spans="1:68" x14ac:dyDescent="0.25">
      <c r="A81" t="s">
        <v>1180</v>
      </c>
      <c r="B81" t="s">
        <v>68</v>
      </c>
      <c r="D81" s="1">
        <v>46204</v>
      </c>
      <c r="E81" s="1">
        <v>47664</v>
      </c>
      <c r="F81" t="s">
        <v>1181</v>
      </c>
      <c r="G81" t="s">
        <v>1182</v>
      </c>
      <c r="H81" s="2" t="s">
        <v>1183</v>
      </c>
      <c r="I81" t="s">
        <v>1182</v>
      </c>
      <c r="K81" t="s">
        <v>1184</v>
      </c>
      <c r="L81">
        <v>5116463</v>
      </c>
      <c r="M81" t="s">
        <v>1185</v>
      </c>
      <c r="N81" t="s">
        <v>1025</v>
      </c>
      <c r="O81" t="s">
        <v>715</v>
      </c>
      <c r="P81" t="s">
        <v>107</v>
      </c>
      <c r="Q81" t="s">
        <v>1186</v>
      </c>
      <c r="R81" t="s">
        <v>331</v>
      </c>
      <c r="S81" t="s">
        <v>332</v>
      </c>
      <c r="T81" t="s">
        <v>111</v>
      </c>
      <c r="U81" t="s">
        <v>112</v>
      </c>
      <c r="V81" t="s">
        <v>82</v>
      </c>
      <c r="W81" t="s">
        <v>331</v>
      </c>
      <c r="X81" t="s">
        <v>332</v>
      </c>
      <c r="Y81" t="s">
        <v>111</v>
      </c>
      <c r="Z81" t="s">
        <v>112</v>
      </c>
      <c r="AA81" t="s">
        <v>82</v>
      </c>
      <c r="AB81" t="s">
        <v>83</v>
      </c>
      <c r="AC81" t="s">
        <v>113</v>
      </c>
      <c r="AD81" t="s">
        <v>252</v>
      </c>
      <c r="AE81" t="s">
        <v>1187</v>
      </c>
      <c r="AF81" t="s">
        <v>252</v>
      </c>
      <c r="AG81" t="s">
        <v>1188</v>
      </c>
      <c r="AH81">
        <v>9</v>
      </c>
      <c r="AI81">
        <v>1396720</v>
      </c>
      <c r="AJ81">
        <v>126547.2</v>
      </c>
      <c r="AK81">
        <v>0</v>
      </c>
      <c r="AL81">
        <v>1523267.2</v>
      </c>
      <c r="AM81" t="s">
        <v>331</v>
      </c>
      <c r="AN81" t="s">
        <v>332</v>
      </c>
      <c r="AO81" t="s">
        <v>111</v>
      </c>
      <c r="AP81" t="s">
        <v>112</v>
      </c>
      <c r="AQ81" t="s">
        <v>82</v>
      </c>
      <c r="AR81" t="s">
        <v>1189</v>
      </c>
      <c r="AS81" s="3">
        <v>46202.465223999308</v>
      </c>
      <c r="AT81" t="s">
        <v>89</v>
      </c>
      <c r="AU81" t="s">
        <v>90</v>
      </c>
      <c r="AV81" t="s">
        <v>91</v>
      </c>
      <c r="AW81" t="s">
        <v>92</v>
      </c>
      <c r="AX81" t="s">
        <v>93</v>
      </c>
      <c r="AY81" t="s">
        <v>94</v>
      </c>
      <c r="AZ81" t="s">
        <v>85</v>
      </c>
      <c r="BA81" t="s">
        <v>1190</v>
      </c>
      <c r="BB81" t="s">
        <v>1180</v>
      </c>
      <c r="BC81" t="s">
        <v>1182</v>
      </c>
      <c r="BD81" t="s">
        <v>331</v>
      </c>
      <c r="BE81" t="s">
        <v>332</v>
      </c>
      <c r="BF81" t="b">
        <f t="shared" si="1"/>
        <v>1</v>
      </c>
      <c r="BG81" t="b">
        <v>1</v>
      </c>
      <c r="BH81">
        <v>2004</v>
      </c>
      <c r="BI81" t="b">
        <v>1</v>
      </c>
      <c r="BJ81" t="s">
        <v>96</v>
      </c>
      <c r="BK81" t="s">
        <v>338</v>
      </c>
      <c r="BL81" t="b">
        <v>1</v>
      </c>
      <c r="BM81" t="b">
        <v>1</v>
      </c>
      <c r="BN81" t="b">
        <v>1</v>
      </c>
      <c r="BO81" t="s">
        <v>1191</v>
      </c>
      <c r="BP81" t="b">
        <f>IF(IFERROR(VLOOKUP(A81,[1]Planilha1!$A:$A,1,0),FALSE)=FALSE,FALSE,TRUE)</f>
        <v>1</v>
      </c>
    </row>
    <row r="82" spans="1:68" x14ac:dyDescent="0.25">
      <c r="A82" t="s">
        <v>1192</v>
      </c>
      <c r="B82" t="s">
        <v>68</v>
      </c>
      <c r="D82" s="1">
        <v>46204</v>
      </c>
      <c r="E82" s="1">
        <v>47664</v>
      </c>
      <c r="F82" t="s">
        <v>1193</v>
      </c>
      <c r="G82" t="s">
        <v>1194</v>
      </c>
      <c r="H82" s="2" t="s">
        <v>1195</v>
      </c>
      <c r="I82" t="s">
        <v>1194</v>
      </c>
      <c r="K82" t="s">
        <v>1196</v>
      </c>
      <c r="L82">
        <v>5116446</v>
      </c>
      <c r="M82" t="s">
        <v>1197</v>
      </c>
      <c r="N82" t="s">
        <v>295</v>
      </c>
      <c r="O82" t="s">
        <v>296</v>
      </c>
      <c r="P82" t="s">
        <v>129</v>
      </c>
      <c r="Q82" t="s">
        <v>1198</v>
      </c>
      <c r="R82" t="s">
        <v>78</v>
      </c>
      <c r="S82" t="s">
        <v>79</v>
      </c>
      <c r="T82" t="s">
        <v>80</v>
      </c>
      <c r="U82" t="s">
        <v>81</v>
      </c>
      <c r="V82" t="s">
        <v>82</v>
      </c>
      <c r="W82" t="s">
        <v>78</v>
      </c>
      <c r="X82" t="s">
        <v>79</v>
      </c>
      <c r="Y82" t="s">
        <v>80</v>
      </c>
      <c r="Z82" t="s">
        <v>81</v>
      </c>
      <c r="AA82" t="s">
        <v>82</v>
      </c>
      <c r="AB82" t="s">
        <v>83</v>
      </c>
      <c r="AC82" t="s">
        <v>135</v>
      </c>
      <c r="AD82" t="s">
        <v>252</v>
      </c>
      <c r="AE82" t="s">
        <v>1199</v>
      </c>
      <c r="AF82" t="s">
        <v>252</v>
      </c>
      <c r="AG82" t="s">
        <v>1200</v>
      </c>
      <c r="AH82">
        <v>9</v>
      </c>
      <c r="AI82">
        <v>1358448</v>
      </c>
      <c r="AJ82">
        <v>135844.79999999999</v>
      </c>
      <c r="AK82">
        <v>0</v>
      </c>
      <c r="AL82">
        <v>1494292.8</v>
      </c>
      <c r="AM82" t="s">
        <v>78</v>
      </c>
      <c r="AN82" t="s">
        <v>79</v>
      </c>
      <c r="AO82" t="s">
        <v>80</v>
      </c>
      <c r="AP82" t="s">
        <v>81</v>
      </c>
      <c r="AQ82" t="s">
        <v>82</v>
      </c>
      <c r="AR82" t="s">
        <v>1201</v>
      </c>
      <c r="AS82" s="3">
        <v>46202.465223999308</v>
      </c>
      <c r="AT82" t="s">
        <v>89</v>
      </c>
      <c r="AU82" t="s">
        <v>90</v>
      </c>
      <c r="AV82" t="s">
        <v>91</v>
      </c>
      <c r="AW82" t="s">
        <v>92</v>
      </c>
      <c r="AX82" t="s">
        <v>93</v>
      </c>
      <c r="AY82" t="s">
        <v>94</v>
      </c>
      <c r="AZ82" t="s">
        <v>85</v>
      </c>
      <c r="BA82" t="s">
        <v>1202</v>
      </c>
      <c r="BB82" t="s">
        <v>1192</v>
      </c>
      <c r="BC82" t="s">
        <v>1194</v>
      </c>
      <c r="BD82" t="s">
        <v>78</v>
      </c>
      <c r="BE82" t="s">
        <v>79</v>
      </c>
      <c r="BF82" t="b">
        <f t="shared" si="1"/>
        <v>1</v>
      </c>
      <c r="BG82" t="b">
        <v>1</v>
      </c>
      <c r="BH82">
        <v>2006</v>
      </c>
      <c r="BI82" t="b">
        <v>1</v>
      </c>
      <c r="BJ82" t="s">
        <v>96</v>
      </c>
      <c r="BK82" t="s">
        <v>97</v>
      </c>
      <c r="BL82" t="b">
        <v>1</v>
      </c>
      <c r="BM82" t="b">
        <v>1</v>
      </c>
      <c r="BN82" t="b">
        <v>1</v>
      </c>
      <c r="BO82" t="s">
        <v>1203</v>
      </c>
      <c r="BP82" t="b">
        <f>IF(IFERROR(VLOOKUP(A82,[1]Planilha1!$A:$A,1,0),FALSE)=FALSE,FALSE,TRUE)</f>
        <v>1</v>
      </c>
    </row>
    <row r="83" spans="1:68" x14ac:dyDescent="0.25">
      <c r="A83" t="s">
        <v>1204</v>
      </c>
      <c r="B83" t="s">
        <v>68</v>
      </c>
      <c r="D83" s="1">
        <v>46204</v>
      </c>
      <c r="E83" s="1">
        <v>47664</v>
      </c>
      <c r="F83" t="s">
        <v>1205</v>
      </c>
      <c r="G83" t="s">
        <v>1206</v>
      </c>
      <c r="H83" s="2" t="s">
        <v>1207</v>
      </c>
      <c r="I83" t="s">
        <v>1206</v>
      </c>
      <c r="K83" t="s">
        <v>1208</v>
      </c>
      <c r="L83">
        <v>5116820</v>
      </c>
      <c r="M83" t="s">
        <v>1209</v>
      </c>
      <c r="N83" t="s">
        <v>228</v>
      </c>
      <c r="O83" t="s">
        <v>229</v>
      </c>
      <c r="P83" t="s">
        <v>230</v>
      </c>
      <c r="Q83" t="s">
        <v>1210</v>
      </c>
      <c r="R83" t="s">
        <v>1211</v>
      </c>
      <c r="S83" t="s">
        <v>1212</v>
      </c>
      <c r="T83" t="s">
        <v>768</v>
      </c>
      <c r="U83" t="s">
        <v>769</v>
      </c>
      <c r="V83" t="s">
        <v>82</v>
      </c>
      <c r="W83" t="s">
        <v>1211</v>
      </c>
      <c r="X83" t="s">
        <v>1212</v>
      </c>
      <c r="Y83" t="s">
        <v>768</v>
      </c>
      <c r="Z83" t="s">
        <v>769</v>
      </c>
      <c r="AA83" t="s">
        <v>82</v>
      </c>
      <c r="AB83" t="s">
        <v>83</v>
      </c>
      <c r="AC83" t="s">
        <v>235</v>
      </c>
      <c r="AD83" t="s">
        <v>85</v>
      </c>
      <c r="AE83" t="s">
        <v>1213</v>
      </c>
      <c r="AF83" t="s">
        <v>85</v>
      </c>
      <c r="AG83" t="s">
        <v>1214</v>
      </c>
      <c r="AH83">
        <v>4</v>
      </c>
      <c r="AI83">
        <v>686400</v>
      </c>
      <c r="AJ83">
        <v>396768</v>
      </c>
      <c r="AK83">
        <v>0</v>
      </c>
      <c r="AL83">
        <v>1083168</v>
      </c>
      <c r="AM83" t="s">
        <v>1211</v>
      </c>
      <c r="AN83" t="s">
        <v>1212</v>
      </c>
      <c r="AO83" t="s">
        <v>768</v>
      </c>
      <c r="AP83" t="s">
        <v>769</v>
      </c>
      <c r="AQ83" t="s">
        <v>82</v>
      </c>
      <c r="AR83" t="s">
        <v>1215</v>
      </c>
      <c r="AS83" s="3">
        <v>46202.465223999308</v>
      </c>
      <c r="AT83" t="s">
        <v>89</v>
      </c>
      <c r="AU83" t="s">
        <v>90</v>
      </c>
      <c r="AV83" t="s">
        <v>91</v>
      </c>
      <c r="AW83" t="s">
        <v>92</v>
      </c>
      <c r="AX83" t="s">
        <v>93</v>
      </c>
      <c r="AY83" t="s">
        <v>94</v>
      </c>
      <c r="AZ83" t="s">
        <v>85</v>
      </c>
      <c r="BA83" t="s">
        <v>1216</v>
      </c>
      <c r="BB83" t="s">
        <v>1204</v>
      </c>
      <c r="BC83" t="s">
        <v>1206</v>
      </c>
      <c r="BD83" t="s">
        <v>1211</v>
      </c>
      <c r="BE83" t="s">
        <v>1212</v>
      </c>
      <c r="BF83" t="b">
        <f t="shared" si="1"/>
        <v>0</v>
      </c>
      <c r="BG83" t="b">
        <v>0</v>
      </c>
      <c r="BH83">
        <v>2011</v>
      </c>
      <c r="BI83" t="b">
        <v>0</v>
      </c>
      <c r="BJ83" t="s">
        <v>96</v>
      </c>
      <c r="BK83" t="s">
        <v>119</v>
      </c>
      <c r="BL83" t="b">
        <v>1</v>
      </c>
      <c r="BM83" t="b">
        <v>1</v>
      </c>
      <c r="BN83" t="b">
        <v>1</v>
      </c>
      <c r="BO83" t="s">
        <v>1217</v>
      </c>
      <c r="BP83" t="b">
        <f>IF(IFERROR(VLOOKUP(A83,[1]Planilha1!$A:$A,1,0),FALSE)=FALSE,FALSE,TRUE)</f>
        <v>0</v>
      </c>
    </row>
    <row r="84" spans="1:68" x14ac:dyDescent="0.25">
      <c r="A84" t="s">
        <v>1218</v>
      </c>
      <c r="B84" t="s">
        <v>68</v>
      </c>
      <c r="D84" s="1">
        <v>46204</v>
      </c>
      <c r="E84" s="1">
        <v>47664</v>
      </c>
      <c r="F84" t="s">
        <v>1219</v>
      </c>
      <c r="G84" t="s">
        <v>1220</v>
      </c>
      <c r="H84" s="2" t="s">
        <v>1221</v>
      </c>
      <c r="I84" t="s">
        <v>1220</v>
      </c>
      <c r="K84" t="s">
        <v>1222</v>
      </c>
      <c r="L84">
        <v>5116684</v>
      </c>
      <c r="M84" t="s">
        <v>1223</v>
      </c>
      <c r="N84" t="s">
        <v>127</v>
      </c>
      <c r="O84" t="s">
        <v>128</v>
      </c>
      <c r="P84" t="s">
        <v>129</v>
      </c>
      <c r="Q84" t="s">
        <v>1224</v>
      </c>
      <c r="R84" t="s">
        <v>131</v>
      </c>
      <c r="S84" t="s">
        <v>132</v>
      </c>
      <c r="T84" t="s">
        <v>133</v>
      </c>
      <c r="U84" t="s">
        <v>134</v>
      </c>
      <c r="V84" t="s">
        <v>82</v>
      </c>
      <c r="W84" t="s">
        <v>131</v>
      </c>
      <c r="X84" t="s">
        <v>132</v>
      </c>
      <c r="Y84" t="s">
        <v>133</v>
      </c>
      <c r="Z84" t="s">
        <v>134</v>
      </c>
      <c r="AA84" t="s">
        <v>82</v>
      </c>
      <c r="AB84" t="s">
        <v>83</v>
      </c>
      <c r="AC84" t="s">
        <v>135</v>
      </c>
      <c r="AD84" t="s">
        <v>149</v>
      </c>
      <c r="AE84" t="s">
        <v>1225</v>
      </c>
      <c r="AF84" t="s">
        <v>85</v>
      </c>
      <c r="AG84" t="s">
        <v>1226</v>
      </c>
      <c r="AH84">
        <v>12</v>
      </c>
      <c r="AI84">
        <v>1049820</v>
      </c>
      <c r="AJ84">
        <v>104982</v>
      </c>
      <c r="AK84">
        <v>0</v>
      </c>
      <c r="AL84">
        <v>1154802</v>
      </c>
      <c r="AM84" t="s">
        <v>131</v>
      </c>
      <c r="AN84" t="s">
        <v>132</v>
      </c>
      <c r="AO84" t="s">
        <v>133</v>
      </c>
      <c r="AP84" t="s">
        <v>134</v>
      </c>
      <c r="AQ84" t="s">
        <v>82</v>
      </c>
      <c r="AR84" t="s">
        <v>1227</v>
      </c>
      <c r="AS84" s="3">
        <v>46202.465223999308</v>
      </c>
      <c r="AT84" t="s">
        <v>89</v>
      </c>
      <c r="AU84" t="s">
        <v>90</v>
      </c>
      <c r="AV84" t="s">
        <v>91</v>
      </c>
      <c r="AW84" t="s">
        <v>92</v>
      </c>
      <c r="AX84" t="s">
        <v>93</v>
      </c>
      <c r="AY84" t="s">
        <v>94</v>
      </c>
      <c r="AZ84" t="s">
        <v>85</v>
      </c>
      <c r="BA84" t="s">
        <v>1228</v>
      </c>
      <c r="BB84" t="s">
        <v>1218</v>
      </c>
      <c r="BC84" t="s">
        <v>1220</v>
      </c>
      <c r="BD84" t="s">
        <v>131</v>
      </c>
      <c r="BE84" t="s">
        <v>132</v>
      </c>
      <c r="BF84" t="b">
        <f t="shared" si="1"/>
        <v>0</v>
      </c>
      <c r="BG84" t="b">
        <v>0</v>
      </c>
      <c r="BH84">
        <v>2005</v>
      </c>
      <c r="BI84" t="b">
        <v>0</v>
      </c>
      <c r="BJ84" t="s">
        <v>96</v>
      </c>
      <c r="BK84" t="s">
        <v>141</v>
      </c>
      <c r="BL84" t="b">
        <v>1</v>
      </c>
      <c r="BM84" t="b">
        <v>1</v>
      </c>
      <c r="BN84" t="b">
        <v>1</v>
      </c>
      <c r="BO84" t="s">
        <v>1229</v>
      </c>
      <c r="BP84" t="b">
        <f>IF(IFERROR(VLOOKUP(A84,[1]Planilha1!$A:$A,1,0),FALSE)=FALSE,FALSE,TRUE)</f>
        <v>0</v>
      </c>
    </row>
    <row r="85" spans="1:68" x14ac:dyDescent="0.25">
      <c r="A85" t="s">
        <v>1230</v>
      </c>
      <c r="B85" t="s">
        <v>68</v>
      </c>
      <c r="D85" s="1">
        <v>46204</v>
      </c>
      <c r="E85" s="1">
        <v>47664</v>
      </c>
      <c r="F85" t="s">
        <v>1231</v>
      </c>
      <c r="G85" t="s">
        <v>1232</v>
      </c>
      <c r="H85" s="2" t="s">
        <v>1233</v>
      </c>
      <c r="I85" t="s">
        <v>1232</v>
      </c>
      <c r="K85" t="s">
        <v>1234</v>
      </c>
      <c r="L85">
        <v>5111639</v>
      </c>
      <c r="M85" t="s">
        <v>1235</v>
      </c>
      <c r="N85" t="s">
        <v>389</v>
      </c>
      <c r="O85" t="s">
        <v>390</v>
      </c>
      <c r="P85" t="s">
        <v>107</v>
      </c>
      <c r="Q85" t="s">
        <v>1236</v>
      </c>
      <c r="R85" t="s">
        <v>1237</v>
      </c>
      <c r="S85" t="s">
        <v>1238</v>
      </c>
      <c r="T85" t="s">
        <v>300</v>
      </c>
      <c r="U85" t="s">
        <v>301</v>
      </c>
      <c r="V85" t="s">
        <v>82</v>
      </c>
      <c r="W85" t="s">
        <v>1237</v>
      </c>
      <c r="X85" t="s">
        <v>1238</v>
      </c>
      <c r="Y85" t="s">
        <v>300</v>
      </c>
      <c r="Z85" t="s">
        <v>301</v>
      </c>
      <c r="AA85" t="s">
        <v>82</v>
      </c>
      <c r="AB85" t="s">
        <v>83</v>
      </c>
      <c r="AC85" t="s">
        <v>202</v>
      </c>
      <c r="AD85" t="s">
        <v>1239</v>
      </c>
      <c r="AE85" t="s">
        <v>1240</v>
      </c>
      <c r="AF85" t="s">
        <v>1239</v>
      </c>
      <c r="AG85" t="s">
        <v>1241</v>
      </c>
      <c r="AH85">
        <v>12</v>
      </c>
      <c r="AI85">
        <v>1439620</v>
      </c>
      <c r="AJ85">
        <v>60000</v>
      </c>
      <c r="AK85">
        <v>0</v>
      </c>
      <c r="AL85">
        <v>1499620</v>
      </c>
      <c r="AM85" t="s">
        <v>1237</v>
      </c>
      <c r="AN85" t="s">
        <v>1238</v>
      </c>
      <c r="AO85" t="s">
        <v>300</v>
      </c>
      <c r="AP85" t="s">
        <v>301</v>
      </c>
      <c r="AQ85" t="s">
        <v>82</v>
      </c>
      <c r="AR85" t="s">
        <v>1242</v>
      </c>
      <c r="AS85" s="3">
        <v>46202.465223999308</v>
      </c>
      <c r="AT85" t="s">
        <v>89</v>
      </c>
      <c r="AU85" t="s">
        <v>90</v>
      </c>
      <c r="AV85" t="s">
        <v>91</v>
      </c>
      <c r="AW85" t="s">
        <v>92</v>
      </c>
      <c r="AX85" t="s">
        <v>93</v>
      </c>
      <c r="AY85" t="s">
        <v>94</v>
      </c>
      <c r="AZ85" t="s">
        <v>85</v>
      </c>
      <c r="BA85" t="s">
        <v>1243</v>
      </c>
      <c r="BB85" t="s">
        <v>1230</v>
      </c>
      <c r="BC85" t="s">
        <v>1232</v>
      </c>
      <c r="BD85" t="s">
        <v>1237</v>
      </c>
      <c r="BE85" t="s">
        <v>1238</v>
      </c>
      <c r="BF85" t="b">
        <f t="shared" si="1"/>
        <v>0</v>
      </c>
      <c r="BG85" t="b">
        <v>0</v>
      </c>
      <c r="BH85">
        <v>2012</v>
      </c>
      <c r="BI85" t="b">
        <v>0</v>
      </c>
      <c r="BJ85" t="s">
        <v>96</v>
      </c>
      <c r="BK85" t="s">
        <v>119</v>
      </c>
      <c r="BL85" t="b">
        <v>1</v>
      </c>
      <c r="BM85" t="b">
        <v>1</v>
      </c>
      <c r="BN85" t="b">
        <v>0</v>
      </c>
      <c r="BO85" t="s">
        <v>1244</v>
      </c>
      <c r="BP85" t="b">
        <f>IF(IFERROR(VLOOKUP(A85,[1]Planilha1!$A:$A,1,0),FALSE)=FALSE,FALSE,TRUE)</f>
        <v>0</v>
      </c>
    </row>
    <row r="86" spans="1:68" x14ac:dyDescent="0.25">
      <c r="A86" t="s">
        <v>1245</v>
      </c>
      <c r="B86" t="s">
        <v>68</v>
      </c>
      <c r="D86" s="1">
        <v>46204</v>
      </c>
      <c r="E86" s="1">
        <v>47664</v>
      </c>
      <c r="F86" t="s">
        <v>1246</v>
      </c>
      <c r="G86" t="s">
        <v>1247</v>
      </c>
      <c r="H86" s="2" t="s">
        <v>1248</v>
      </c>
      <c r="I86" t="s">
        <v>1247</v>
      </c>
      <c r="K86" t="s">
        <v>1249</v>
      </c>
      <c r="L86">
        <v>5116674</v>
      </c>
      <c r="M86" t="s">
        <v>1250</v>
      </c>
      <c r="N86" t="s">
        <v>1251</v>
      </c>
      <c r="O86" t="s">
        <v>1252</v>
      </c>
      <c r="P86" t="s">
        <v>76</v>
      </c>
      <c r="Q86" t="s">
        <v>1253</v>
      </c>
      <c r="R86" t="s">
        <v>606</v>
      </c>
      <c r="S86" t="s">
        <v>607</v>
      </c>
      <c r="T86" t="s">
        <v>184</v>
      </c>
      <c r="U86" t="s">
        <v>112</v>
      </c>
      <c r="V86" t="s">
        <v>82</v>
      </c>
      <c r="W86" t="s">
        <v>606</v>
      </c>
      <c r="X86" t="s">
        <v>607</v>
      </c>
      <c r="Y86" t="s">
        <v>184</v>
      </c>
      <c r="Z86" t="s">
        <v>112</v>
      </c>
      <c r="AA86" t="s">
        <v>82</v>
      </c>
      <c r="AB86" t="s">
        <v>83</v>
      </c>
      <c r="AC86" t="s">
        <v>166</v>
      </c>
      <c r="AD86" t="s">
        <v>149</v>
      </c>
      <c r="AE86" t="s">
        <v>1254</v>
      </c>
      <c r="AF86" t="s">
        <v>85</v>
      </c>
      <c r="AG86" t="s">
        <v>1255</v>
      </c>
      <c r="AH86">
        <v>2</v>
      </c>
      <c r="AI86">
        <v>399360</v>
      </c>
      <c r="AJ86">
        <v>45000</v>
      </c>
      <c r="AK86">
        <v>0</v>
      </c>
      <c r="AL86">
        <v>444360</v>
      </c>
      <c r="AM86" t="s">
        <v>606</v>
      </c>
      <c r="AN86" t="s">
        <v>607</v>
      </c>
      <c r="AO86" t="s">
        <v>184</v>
      </c>
      <c r="AP86" t="s">
        <v>112</v>
      </c>
      <c r="AQ86" t="s">
        <v>82</v>
      </c>
      <c r="AR86" t="s">
        <v>1256</v>
      </c>
      <c r="AS86" s="3">
        <v>46202.465223999308</v>
      </c>
      <c r="AT86" t="s">
        <v>89</v>
      </c>
      <c r="AU86" t="s">
        <v>90</v>
      </c>
      <c r="AV86" t="s">
        <v>91</v>
      </c>
      <c r="AW86" t="s">
        <v>92</v>
      </c>
      <c r="AX86" t="s">
        <v>93</v>
      </c>
      <c r="AY86" t="s">
        <v>94</v>
      </c>
      <c r="AZ86" t="s">
        <v>85</v>
      </c>
      <c r="BA86" t="s">
        <v>1257</v>
      </c>
      <c r="BB86" t="s">
        <v>1245</v>
      </c>
      <c r="BC86" t="s">
        <v>1247</v>
      </c>
      <c r="BD86" t="s">
        <v>606</v>
      </c>
      <c r="BE86" t="s">
        <v>607</v>
      </c>
      <c r="BF86" t="b">
        <f t="shared" si="1"/>
        <v>0</v>
      </c>
      <c r="BG86" t="b">
        <v>0</v>
      </c>
      <c r="BH86">
        <v>2007</v>
      </c>
      <c r="BI86" t="b">
        <v>0</v>
      </c>
      <c r="BJ86" t="s">
        <v>96</v>
      </c>
      <c r="BK86" t="s">
        <v>287</v>
      </c>
      <c r="BL86" t="b">
        <v>1</v>
      </c>
      <c r="BM86" t="b">
        <v>1</v>
      </c>
      <c r="BN86" t="b">
        <v>1</v>
      </c>
      <c r="BO86" t="s">
        <v>1258</v>
      </c>
      <c r="BP86" t="b">
        <f>IF(IFERROR(VLOOKUP(A86,[1]Planilha1!$A:$A,1,0),FALSE)=FALSE,FALSE,TRUE)</f>
        <v>0</v>
      </c>
    </row>
    <row r="87" spans="1:68" x14ac:dyDescent="0.25">
      <c r="A87" t="s">
        <v>1259</v>
      </c>
      <c r="B87" t="s">
        <v>68</v>
      </c>
      <c r="D87" s="1">
        <v>46204</v>
      </c>
      <c r="E87" s="1">
        <v>47664</v>
      </c>
      <c r="F87" t="s">
        <v>1260</v>
      </c>
      <c r="G87" t="s">
        <v>1261</v>
      </c>
      <c r="H87" s="2" t="s">
        <v>1262</v>
      </c>
      <c r="I87" t="s">
        <v>1261</v>
      </c>
      <c r="K87" t="s">
        <v>1263</v>
      </c>
      <c r="L87">
        <v>5116473</v>
      </c>
      <c r="M87" t="s">
        <v>1264</v>
      </c>
      <c r="N87" t="s">
        <v>328</v>
      </c>
      <c r="O87" t="s">
        <v>329</v>
      </c>
      <c r="P87" t="s">
        <v>129</v>
      </c>
      <c r="Q87" t="s">
        <v>1265</v>
      </c>
      <c r="R87" t="s">
        <v>331</v>
      </c>
      <c r="S87" t="s">
        <v>332</v>
      </c>
      <c r="T87" t="s">
        <v>111</v>
      </c>
      <c r="U87" t="s">
        <v>112</v>
      </c>
      <c r="V87" t="s">
        <v>82</v>
      </c>
      <c r="W87" t="s">
        <v>331</v>
      </c>
      <c r="X87" t="s">
        <v>332</v>
      </c>
      <c r="Y87" t="s">
        <v>111</v>
      </c>
      <c r="Z87" t="s">
        <v>112</v>
      </c>
      <c r="AA87" t="s">
        <v>82</v>
      </c>
      <c r="AB87" t="s">
        <v>83</v>
      </c>
      <c r="AC87" t="s">
        <v>333</v>
      </c>
      <c r="AD87" t="s">
        <v>252</v>
      </c>
      <c r="AE87" t="s">
        <v>1266</v>
      </c>
      <c r="AF87" t="s">
        <v>252</v>
      </c>
      <c r="AG87" t="s">
        <v>1267</v>
      </c>
      <c r="AH87">
        <v>9</v>
      </c>
      <c r="AI87">
        <v>1460160</v>
      </c>
      <c r="AJ87">
        <v>39000</v>
      </c>
      <c r="AK87">
        <v>0</v>
      </c>
      <c r="AL87">
        <v>1499160</v>
      </c>
      <c r="AM87" t="s">
        <v>331</v>
      </c>
      <c r="AN87" t="s">
        <v>332</v>
      </c>
      <c r="AO87" t="s">
        <v>111</v>
      </c>
      <c r="AP87" t="s">
        <v>112</v>
      </c>
      <c r="AQ87" t="s">
        <v>82</v>
      </c>
      <c r="AR87" t="s">
        <v>1268</v>
      </c>
      <c r="AS87" s="3">
        <v>46202.465223999308</v>
      </c>
      <c r="AT87" t="s">
        <v>89</v>
      </c>
      <c r="AU87" t="s">
        <v>90</v>
      </c>
      <c r="AV87" t="s">
        <v>91</v>
      </c>
      <c r="AW87" t="s">
        <v>92</v>
      </c>
      <c r="AX87" t="s">
        <v>93</v>
      </c>
      <c r="AY87" t="s">
        <v>94</v>
      </c>
      <c r="AZ87" t="s">
        <v>85</v>
      </c>
      <c r="BA87" t="s">
        <v>1269</v>
      </c>
      <c r="BB87" t="s">
        <v>1259</v>
      </c>
      <c r="BC87" t="s">
        <v>1261</v>
      </c>
      <c r="BD87" t="s">
        <v>331</v>
      </c>
      <c r="BE87" t="s">
        <v>332</v>
      </c>
      <c r="BF87" t="b">
        <f t="shared" si="1"/>
        <v>1</v>
      </c>
      <c r="BG87" t="b">
        <v>1</v>
      </c>
      <c r="BH87">
        <v>2005</v>
      </c>
      <c r="BI87" t="b">
        <v>1</v>
      </c>
      <c r="BJ87" t="s">
        <v>96</v>
      </c>
      <c r="BK87" t="s">
        <v>338</v>
      </c>
      <c r="BL87" t="b">
        <v>1</v>
      </c>
      <c r="BM87" t="b">
        <v>1</v>
      </c>
      <c r="BN87" t="b">
        <v>0</v>
      </c>
      <c r="BO87" t="s">
        <v>1270</v>
      </c>
      <c r="BP87" t="b">
        <f>IF(IFERROR(VLOOKUP(A87,[1]Planilha1!$A:$A,1,0),FALSE)=FALSE,FALSE,TRUE)</f>
        <v>1</v>
      </c>
    </row>
    <row r="88" spans="1:68" x14ac:dyDescent="0.25">
      <c r="A88" t="s">
        <v>1271</v>
      </c>
      <c r="B88" t="s">
        <v>68</v>
      </c>
      <c r="D88" s="1">
        <v>46204</v>
      </c>
      <c r="E88" s="1">
        <v>47664</v>
      </c>
      <c r="F88" t="s">
        <v>1272</v>
      </c>
      <c r="G88" t="s">
        <v>1273</v>
      </c>
      <c r="H88" s="2" t="s">
        <v>1274</v>
      </c>
      <c r="I88" t="s">
        <v>1273</v>
      </c>
      <c r="K88" t="s">
        <v>1275</v>
      </c>
      <c r="L88">
        <v>5116685</v>
      </c>
      <c r="M88" t="s">
        <v>1276</v>
      </c>
      <c r="N88" t="s">
        <v>161</v>
      </c>
      <c r="O88" t="s">
        <v>162</v>
      </c>
      <c r="P88" t="s">
        <v>76</v>
      </c>
      <c r="Q88" t="s">
        <v>1277</v>
      </c>
      <c r="R88" t="s">
        <v>362</v>
      </c>
      <c r="S88" t="s">
        <v>363</v>
      </c>
      <c r="T88" t="s">
        <v>364</v>
      </c>
      <c r="U88" t="s">
        <v>81</v>
      </c>
      <c r="V88" t="s">
        <v>82</v>
      </c>
      <c r="W88" t="s">
        <v>362</v>
      </c>
      <c r="X88" t="s">
        <v>363</v>
      </c>
      <c r="Y88" t="s">
        <v>364</v>
      </c>
      <c r="Z88" t="s">
        <v>81</v>
      </c>
      <c r="AA88" t="s">
        <v>82</v>
      </c>
      <c r="AB88" t="s">
        <v>83</v>
      </c>
      <c r="AC88" t="s">
        <v>166</v>
      </c>
      <c r="AD88" t="s">
        <v>149</v>
      </c>
      <c r="AE88" t="s">
        <v>1278</v>
      </c>
      <c r="AF88" t="s">
        <v>85</v>
      </c>
      <c r="AG88" t="s">
        <v>1279</v>
      </c>
      <c r="AH88">
        <v>5</v>
      </c>
      <c r="AI88">
        <v>839280</v>
      </c>
      <c r="AJ88">
        <v>121229.33</v>
      </c>
      <c r="AK88">
        <v>0</v>
      </c>
      <c r="AL88">
        <v>960509.33</v>
      </c>
      <c r="AM88" t="s">
        <v>362</v>
      </c>
      <c r="AN88" t="s">
        <v>363</v>
      </c>
      <c r="AO88" t="s">
        <v>364</v>
      </c>
      <c r="AP88" t="s">
        <v>81</v>
      </c>
      <c r="AQ88" t="s">
        <v>82</v>
      </c>
      <c r="AR88" t="s">
        <v>1280</v>
      </c>
      <c r="AS88" s="3">
        <v>46202.465223999308</v>
      </c>
      <c r="AT88" t="s">
        <v>89</v>
      </c>
      <c r="AU88" t="s">
        <v>90</v>
      </c>
      <c r="AV88" t="s">
        <v>91</v>
      </c>
      <c r="AW88" t="s">
        <v>92</v>
      </c>
      <c r="AX88" t="s">
        <v>93</v>
      </c>
      <c r="AY88" t="s">
        <v>94</v>
      </c>
      <c r="AZ88" t="s">
        <v>85</v>
      </c>
      <c r="BA88" t="s">
        <v>1281</v>
      </c>
      <c r="BB88" t="s">
        <v>1271</v>
      </c>
      <c r="BC88" t="s">
        <v>1273</v>
      </c>
      <c r="BD88" t="s">
        <v>362</v>
      </c>
      <c r="BE88" t="s">
        <v>363</v>
      </c>
      <c r="BF88" t="b">
        <f t="shared" si="1"/>
        <v>1</v>
      </c>
      <c r="BG88" t="b">
        <v>1</v>
      </c>
      <c r="BH88">
        <v>2013</v>
      </c>
      <c r="BI88" t="b">
        <v>1</v>
      </c>
      <c r="BJ88" t="s">
        <v>96</v>
      </c>
      <c r="BK88" t="s">
        <v>369</v>
      </c>
      <c r="BL88" t="b">
        <v>1</v>
      </c>
      <c r="BM88" t="b">
        <v>1</v>
      </c>
      <c r="BN88" t="b">
        <v>1</v>
      </c>
      <c r="BO88" t="s">
        <v>1282</v>
      </c>
      <c r="BP88" t="b">
        <f>IF(IFERROR(VLOOKUP(A88,[1]Planilha1!$A:$A,1,0),FALSE)=FALSE,FALSE,TRUE)</f>
        <v>1</v>
      </c>
    </row>
    <row r="89" spans="1:68" x14ac:dyDescent="0.25">
      <c r="A89" t="s">
        <v>1283</v>
      </c>
      <c r="B89" t="s">
        <v>68</v>
      </c>
      <c r="D89" s="1">
        <v>46204</v>
      </c>
      <c r="E89" s="1">
        <v>47664</v>
      </c>
      <c r="F89" t="s">
        <v>1284</v>
      </c>
      <c r="G89" t="s">
        <v>1285</v>
      </c>
      <c r="H89" s="2" t="s">
        <v>1286</v>
      </c>
      <c r="I89" t="s">
        <v>1285</v>
      </c>
      <c r="K89" t="s">
        <v>1287</v>
      </c>
      <c r="L89">
        <v>5116882</v>
      </c>
      <c r="M89" t="s">
        <v>1288</v>
      </c>
      <c r="N89" t="s">
        <v>1043</v>
      </c>
      <c r="O89" t="s">
        <v>1044</v>
      </c>
      <c r="P89" t="s">
        <v>647</v>
      </c>
      <c r="Q89" t="s">
        <v>1289</v>
      </c>
      <c r="R89" t="s">
        <v>700</v>
      </c>
      <c r="S89" t="s">
        <v>701</v>
      </c>
      <c r="T89" t="s">
        <v>80</v>
      </c>
      <c r="U89" t="s">
        <v>81</v>
      </c>
      <c r="V89" t="s">
        <v>82</v>
      </c>
      <c r="W89" t="s">
        <v>700</v>
      </c>
      <c r="X89" t="s">
        <v>701</v>
      </c>
      <c r="Y89" t="s">
        <v>80</v>
      </c>
      <c r="Z89" t="s">
        <v>81</v>
      </c>
      <c r="AA89" t="s">
        <v>82</v>
      </c>
      <c r="AB89" t="s">
        <v>83</v>
      </c>
      <c r="AC89" t="s">
        <v>649</v>
      </c>
      <c r="AD89" t="s">
        <v>85</v>
      </c>
      <c r="AE89" t="s">
        <v>1290</v>
      </c>
      <c r="AF89" t="s">
        <v>85</v>
      </c>
      <c r="AG89" t="s">
        <v>1291</v>
      </c>
      <c r="AH89">
        <v>7</v>
      </c>
      <c r="AI89">
        <v>823680</v>
      </c>
      <c r="AJ89">
        <v>94848</v>
      </c>
      <c r="AK89">
        <v>0</v>
      </c>
      <c r="AL89">
        <v>918528</v>
      </c>
      <c r="AM89" t="s">
        <v>700</v>
      </c>
      <c r="AN89" t="s">
        <v>701</v>
      </c>
      <c r="AO89" t="s">
        <v>80</v>
      </c>
      <c r="AP89" t="s">
        <v>81</v>
      </c>
      <c r="AQ89" t="s">
        <v>82</v>
      </c>
      <c r="AR89" t="s">
        <v>1292</v>
      </c>
      <c r="AS89" s="3">
        <v>46202.465223999308</v>
      </c>
      <c r="AT89" t="s">
        <v>89</v>
      </c>
      <c r="AU89" t="s">
        <v>90</v>
      </c>
      <c r="AV89" t="s">
        <v>91</v>
      </c>
      <c r="AW89" t="s">
        <v>92</v>
      </c>
      <c r="AX89" t="s">
        <v>93</v>
      </c>
      <c r="AY89" t="s">
        <v>94</v>
      </c>
      <c r="AZ89" t="s">
        <v>85</v>
      </c>
      <c r="BA89" t="s">
        <v>1293</v>
      </c>
      <c r="BB89" t="s">
        <v>1283</v>
      </c>
      <c r="BC89" t="s">
        <v>1285</v>
      </c>
      <c r="BD89" t="s">
        <v>700</v>
      </c>
      <c r="BE89" t="s">
        <v>701</v>
      </c>
      <c r="BF89" t="b">
        <f t="shared" si="1"/>
        <v>0</v>
      </c>
      <c r="BG89" t="b">
        <v>0</v>
      </c>
      <c r="BH89">
        <v>2014</v>
      </c>
      <c r="BI89" t="b">
        <v>0</v>
      </c>
      <c r="BJ89" t="s">
        <v>96</v>
      </c>
      <c r="BK89" t="s">
        <v>272</v>
      </c>
      <c r="BL89" t="b">
        <v>1</v>
      </c>
      <c r="BM89" t="b">
        <v>1</v>
      </c>
      <c r="BN89" t="b">
        <v>1</v>
      </c>
      <c r="BO89" t="s">
        <v>1294</v>
      </c>
      <c r="BP89" t="b">
        <f>IF(IFERROR(VLOOKUP(A89,[1]Planilha1!$A:$A,1,0),FALSE)=FALSE,FALSE,TRUE)</f>
        <v>0</v>
      </c>
    </row>
    <row r="90" spans="1:68" x14ac:dyDescent="0.25">
      <c r="A90" t="s">
        <v>1295</v>
      </c>
      <c r="B90" t="s">
        <v>68</v>
      </c>
      <c r="D90" s="1">
        <v>46204</v>
      </c>
      <c r="E90" s="1">
        <v>47664</v>
      </c>
      <c r="F90" t="s">
        <v>1296</v>
      </c>
      <c r="G90" t="s">
        <v>1297</v>
      </c>
      <c r="H90" s="2" t="s">
        <v>1298</v>
      </c>
      <c r="I90" t="s">
        <v>1297</v>
      </c>
      <c r="K90" t="s">
        <v>1299</v>
      </c>
      <c r="L90">
        <v>5116499</v>
      </c>
      <c r="M90" t="s">
        <v>1300</v>
      </c>
      <c r="N90" t="s">
        <v>328</v>
      </c>
      <c r="O90" t="s">
        <v>329</v>
      </c>
      <c r="P90" t="s">
        <v>439</v>
      </c>
      <c r="Q90" t="s">
        <v>440</v>
      </c>
      <c r="R90" t="s">
        <v>78</v>
      </c>
      <c r="S90" t="s">
        <v>79</v>
      </c>
      <c r="T90" t="s">
        <v>80</v>
      </c>
      <c r="U90" t="s">
        <v>81</v>
      </c>
      <c r="V90" t="s">
        <v>82</v>
      </c>
      <c r="W90" t="s">
        <v>78</v>
      </c>
      <c r="X90" t="s">
        <v>79</v>
      </c>
      <c r="Y90" t="s">
        <v>80</v>
      </c>
      <c r="Z90" t="s">
        <v>81</v>
      </c>
      <c r="AA90" t="s">
        <v>82</v>
      </c>
      <c r="AB90" t="s">
        <v>83</v>
      </c>
      <c r="AC90" t="s">
        <v>333</v>
      </c>
      <c r="AD90" t="s">
        <v>252</v>
      </c>
      <c r="AE90" t="s">
        <v>1301</v>
      </c>
      <c r="AF90" t="s">
        <v>252</v>
      </c>
      <c r="AG90" t="s">
        <v>1302</v>
      </c>
      <c r="AH90">
        <v>11</v>
      </c>
      <c r="AI90">
        <v>1320300</v>
      </c>
      <c r="AJ90">
        <v>122000</v>
      </c>
      <c r="AK90">
        <v>0</v>
      </c>
      <c r="AL90">
        <v>1442300</v>
      </c>
      <c r="AM90" t="s">
        <v>78</v>
      </c>
      <c r="AN90" t="s">
        <v>79</v>
      </c>
      <c r="AO90" t="s">
        <v>80</v>
      </c>
      <c r="AP90" t="s">
        <v>81</v>
      </c>
      <c r="AQ90" t="s">
        <v>82</v>
      </c>
      <c r="AR90" t="s">
        <v>1303</v>
      </c>
      <c r="AS90" s="3">
        <v>46202.465223999308</v>
      </c>
      <c r="AT90" t="s">
        <v>89</v>
      </c>
      <c r="AU90" t="s">
        <v>90</v>
      </c>
      <c r="AV90" t="s">
        <v>91</v>
      </c>
      <c r="AW90" t="s">
        <v>92</v>
      </c>
      <c r="AX90" t="s">
        <v>93</v>
      </c>
      <c r="AY90" t="s">
        <v>94</v>
      </c>
      <c r="AZ90" t="s">
        <v>85</v>
      </c>
      <c r="BA90" t="s">
        <v>1304</v>
      </c>
      <c r="BB90" t="s">
        <v>1295</v>
      </c>
      <c r="BC90" t="s">
        <v>1297</v>
      </c>
      <c r="BD90" t="s">
        <v>78</v>
      </c>
      <c r="BE90" t="s">
        <v>79</v>
      </c>
      <c r="BF90" t="b">
        <f t="shared" si="1"/>
        <v>1</v>
      </c>
      <c r="BG90" t="b">
        <v>1</v>
      </c>
      <c r="BH90">
        <v>2019</v>
      </c>
      <c r="BI90" t="b">
        <v>1</v>
      </c>
      <c r="BJ90" t="s">
        <v>96</v>
      </c>
      <c r="BK90" t="s">
        <v>97</v>
      </c>
      <c r="BL90" t="b">
        <v>1</v>
      </c>
      <c r="BM90" t="b">
        <v>1</v>
      </c>
      <c r="BN90" t="b">
        <v>1</v>
      </c>
      <c r="BO90" t="s">
        <v>1305</v>
      </c>
      <c r="BP90" t="b">
        <f>IF(IFERROR(VLOOKUP(A90,[1]Planilha1!$A:$A,1,0),FALSE)=FALSE,FALSE,TRUE)</f>
        <v>1</v>
      </c>
    </row>
    <row r="91" spans="1:68" x14ac:dyDescent="0.25">
      <c r="A91" t="s">
        <v>1306</v>
      </c>
      <c r="B91" t="s">
        <v>68</v>
      </c>
      <c r="D91" s="1">
        <v>46204</v>
      </c>
      <c r="E91" s="1">
        <v>47664</v>
      </c>
      <c r="F91" t="s">
        <v>1307</v>
      </c>
      <c r="G91" t="s">
        <v>1308</v>
      </c>
      <c r="H91" s="2" t="s">
        <v>1309</v>
      </c>
      <c r="I91" t="s">
        <v>1308</v>
      </c>
      <c r="K91" t="s">
        <v>1310</v>
      </c>
      <c r="L91">
        <v>5116511</v>
      </c>
      <c r="M91" t="s">
        <v>1311</v>
      </c>
      <c r="N91" t="s">
        <v>809</v>
      </c>
      <c r="O91" t="s">
        <v>810</v>
      </c>
      <c r="P91" t="s">
        <v>76</v>
      </c>
      <c r="Q91" t="s">
        <v>1312</v>
      </c>
      <c r="R91" t="s">
        <v>78</v>
      </c>
      <c r="S91" t="s">
        <v>79</v>
      </c>
      <c r="T91" t="s">
        <v>80</v>
      </c>
      <c r="U91" t="s">
        <v>81</v>
      </c>
      <c r="V91" t="s">
        <v>82</v>
      </c>
      <c r="W91" t="s">
        <v>78</v>
      </c>
      <c r="X91" t="s">
        <v>79</v>
      </c>
      <c r="Y91" t="s">
        <v>80</v>
      </c>
      <c r="Z91" t="s">
        <v>81</v>
      </c>
      <c r="AA91" t="s">
        <v>82</v>
      </c>
      <c r="AB91" t="s">
        <v>83</v>
      </c>
      <c r="AC91" t="s">
        <v>84</v>
      </c>
      <c r="AD91" t="s">
        <v>149</v>
      </c>
      <c r="AE91" t="s">
        <v>1313</v>
      </c>
      <c r="AF91" t="s">
        <v>149</v>
      </c>
      <c r="AG91" t="s">
        <v>1314</v>
      </c>
      <c r="AH91">
        <v>15</v>
      </c>
      <c r="AI91">
        <v>1350680</v>
      </c>
      <c r="AJ91">
        <v>134534.39999999999</v>
      </c>
      <c r="AK91">
        <v>0</v>
      </c>
      <c r="AL91">
        <v>1485214.4</v>
      </c>
      <c r="AM91" t="s">
        <v>78</v>
      </c>
      <c r="AN91" t="s">
        <v>79</v>
      </c>
      <c r="AO91" t="s">
        <v>80</v>
      </c>
      <c r="AP91" t="s">
        <v>81</v>
      </c>
      <c r="AQ91" t="s">
        <v>82</v>
      </c>
      <c r="AR91" t="s">
        <v>1315</v>
      </c>
      <c r="AS91" s="3">
        <v>46202.465223999308</v>
      </c>
      <c r="AT91" t="s">
        <v>89</v>
      </c>
      <c r="AU91" t="s">
        <v>90</v>
      </c>
      <c r="AV91" t="s">
        <v>91</v>
      </c>
      <c r="AW91" t="s">
        <v>92</v>
      </c>
      <c r="AX91" t="s">
        <v>93</v>
      </c>
      <c r="AY91" t="s">
        <v>94</v>
      </c>
      <c r="AZ91" t="s">
        <v>85</v>
      </c>
      <c r="BA91" t="s">
        <v>1316</v>
      </c>
      <c r="BB91" t="s">
        <v>1306</v>
      </c>
      <c r="BC91" t="s">
        <v>1308</v>
      </c>
      <c r="BD91" t="s">
        <v>78</v>
      </c>
      <c r="BE91" t="s">
        <v>79</v>
      </c>
      <c r="BF91" t="b">
        <f t="shared" si="1"/>
        <v>1</v>
      </c>
      <c r="BG91" t="b">
        <v>1</v>
      </c>
      <c r="BH91">
        <v>2024</v>
      </c>
      <c r="BI91" t="b">
        <v>1</v>
      </c>
      <c r="BJ91" t="s">
        <v>96</v>
      </c>
      <c r="BK91" t="s">
        <v>97</v>
      </c>
      <c r="BL91" t="b">
        <v>1</v>
      </c>
      <c r="BM91" t="b">
        <v>1</v>
      </c>
      <c r="BN91" t="b">
        <v>1</v>
      </c>
      <c r="BO91" t="s">
        <v>1317</v>
      </c>
      <c r="BP91" t="b">
        <f>IF(IFERROR(VLOOKUP(A91,[1]Planilha1!$A:$A,1,0),FALSE)=FALSE,FALSE,TRUE)</f>
        <v>1</v>
      </c>
    </row>
    <row r="92" spans="1:68" x14ac:dyDescent="0.25">
      <c r="A92" t="s">
        <v>1318</v>
      </c>
      <c r="B92" t="s">
        <v>68</v>
      </c>
      <c r="D92" s="1">
        <v>46204</v>
      </c>
      <c r="E92" s="1">
        <v>47664</v>
      </c>
      <c r="F92" t="s">
        <v>1319</v>
      </c>
      <c r="G92" t="s">
        <v>1320</v>
      </c>
      <c r="H92" s="2" t="s">
        <v>1321</v>
      </c>
      <c r="I92" t="s">
        <v>1320</v>
      </c>
      <c r="K92" t="s">
        <v>1322</v>
      </c>
      <c r="L92">
        <v>5106280</v>
      </c>
      <c r="M92" t="s">
        <v>1323</v>
      </c>
      <c r="N92" t="s">
        <v>452</v>
      </c>
      <c r="O92" t="s">
        <v>453</v>
      </c>
      <c r="P92" t="s">
        <v>454</v>
      </c>
      <c r="Q92" t="s">
        <v>1324</v>
      </c>
      <c r="R92" t="s">
        <v>1325</v>
      </c>
      <c r="S92" t="s">
        <v>1326</v>
      </c>
      <c r="T92" t="s">
        <v>111</v>
      </c>
      <c r="U92" t="s">
        <v>112</v>
      </c>
      <c r="V92" t="s">
        <v>82</v>
      </c>
      <c r="W92" t="s">
        <v>1325</v>
      </c>
      <c r="X92" t="s">
        <v>1326</v>
      </c>
      <c r="Y92" t="s">
        <v>111</v>
      </c>
      <c r="Z92" t="s">
        <v>112</v>
      </c>
      <c r="AA92" t="s">
        <v>82</v>
      </c>
      <c r="AB92" t="s">
        <v>83</v>
      </c>
      <c r="AC92" t="s">
        <v>459</v>
      </c>
      <c r="AD92" t="s">
        <v>1327</v>
      </c>
      <c r="AE92" t="s">
        <v>1328</v>
      </c>
      <c r="AF92" t="s">
        <v>1327</v>
      </c>
      <c r="AG92" t="s">
        <v>1329</v>
      </c>
      <c r="AH92">
        <v>1</v>
      </c>
      <c r="AI92">
        <v>162240</v>
      </c>
      <c r="AJ92">
        <v>170000</v>
      </c>
      <c r="AK92">
        <v>0</v>
      </c>
      <c r="AL92">
        <v>332240</v>
      </c>
      <c r="AM92" t="s">
        <v>1325</v>
      </c>
      <c r="AN92" t="s">
        <v>1326</v>
      </c>
      <c r="AO92" t="s">
        <v>111</v>
      </c>
      <c r="AP92" t="s">
        <v>112</v>
      </c>
      <c r="AQ92" t="s">
        <v>82</v>
      </c>
      <c r="AR92" t="s">
        <v>1330</v>
      </c>
      <c r="AS92" s="3">
        <v>46202.465223999308</v>
      </c>
      <c r="AT92" t="s">
        <v>89</v>
      </c>
      <c r="AU92" t="s">
        <v>90</v>
      </c>
      <c r="AV92" t="s">
        <v>91</v>
      </c>
      <c r="AW92" t="s">
        <v>92</v>
      </c>
      <c r="AX92" t="s">
        <v>93</v>
      </c>
      <c r="AY92" t="s">
        <v>94</v>
      </c>
      <c r="AZ92" t="s">
        <v>85</v>
      </c>
      <c r="BA92" t="s">
        <v>1331</v>
      </c>
      <c r="BB92" t="s">
        <v>1318</v>
      </c>
      <c r="BC92" t="s">
        <v>1320</v>
      </c>
      <c r="BD92" t="s">
        <v>1325</v>
      </c>
      <c r="BE92" t="s">
        <v>1326</v>
      </c>
      <c r="BF92" t="b">
        <f t="shared" si="1"/>
        <v>0</v>
      </c>
      <c r="BG92" t="b">
        <v>0</v>
      </c>
      <c r="BH92">
        <v>2025</v>
      </c>
      <c r="BI92" t="b">
        <v>0</v>
      </c>
      <c r="BJ92" t="s">
        <v>96</v>
      </c>
      <c r="BK92" t="s">
        <v>119</v>
      </c>
      <c r="BL92" t="b">
        <v>1</v>
      </c>
      <c r="BM92" t="b">
        <v>1</v>
      </c>
      <c r="BN92" t="b">
        <v>1</v>
      </c>
      <c r="BO92" t="s">
        <v>1332</v>
      </c>
      <c r="BP92" t="b">
        <f>IF(IFERROR(VLOOKUP(A92,[1]Planilha1!$A:$A,1,0),FALSE)=FALSE,FALSE,TRUE)</f>
        <v>0</v>
      </c>
    </row>
    <row r="93" spans="1:68" x14ac:dyDescent="0.25">
      <c r="A93" t="s">
        <v>1333</v>
      </c>
      <c r="B93" t="s">
        <v>68</v>
      </c>
      <c r="D93" s="1">
        <v>46204</v>
      </c>
      <c r="E93" s="1">
        <v>47664</v>
      </c>
      <c r="F93" t="s">
        <v>1334</v>
      </c>
      <c r="G93" t="s">
        <v>1335</v>
      </c>
      <c r="H93" s="2" t="s">
        <v>1336</v>
      </c>
      <c r="I93" t="s">
        <v>1335</v>
      </c>
      <c r="K93" t="s">
        <v>1337</v>
      </c>
      <c r="L93">
        <v>5114497</v>
      </c>
      <c r="M93" t="s">
        <v>1338</v>
      </c>
      <c r="N93" t="s">
        <v>1339</v>
      </c>
      <c r="O93" t="s">
        <v>715</v>
      </c>
      <c r="P93" t="s">
        <v>107</v>
      </c>
      <c r="Q93" t="s">
        <v>1340</v>
      </c>
      <c r="R93" t="s">
        <v>606</v>
      </c>
      <c r="S93" t="s">
        <v>607</v>
      </c>
      <c r="T93" t="s">
        <v>184</v>
      </c>
      <c r="U93" t="s">
        <v>112</v>
      </c>
      <c r="V93" t="s">
        <v>82</v>
      </c>
      <c r="W93" t="s">
        <v>606</v>
      </c>
      <c r="X93" t="s">
        <v>607</v>
      </c>
      <c r="Y93" t="s">
        <v>184</v>
      </c>
      <c r="Z93" t="s">
        <v>112</v>
      </c>
      <c r="AA93" t="s">
        <v>82</v>
      </c>
      <c r="AB93" t="s">
        <v>83</v>
      </c>
      <c r="AC93" t="s">
        <v>113</v>
      </c>
      <c r="AD93" t="s">
        <v>236</v>
      </c>
      <c r="AE93" t="s">
        <v>1341</v>
      </c>
      <c r="AF93" t="s">
        <v>238</v>
      </c>
      <c r="AG93" t="s">
        <v>1342</v>
      </c>
      <c r="AH93">
        <v>6</v>
      </c>
      <c r="AI93">
        <v>1004640</v>
      </c>
      <c r="AJ93">
        <v>144460</v>
      </c>
      <c r="AK93">
        <v>0</v>
      </c>
      <c r="AL93">
        <v>1149100</v>
      </c>
      <c r="AM93" t="s">
        <v>606</v>
      </c>
      <c r="AN93" t="s">
        <v>607</v>
      </c>
      <c r="AO93" t="s">
        <v>184</v>
      </c>
      <c r="AP93" t="s">
        <v>112</v>
      </c>
      <c r="AQ93" t="s">
        <v>82</v>
      </c>
      <c r="AR93" t="s">
        <v>1343</v>
      </c>
      <c r="AS93" s="3">
        <v>46202.465223999308</v>
      </c>
      <c r="AT93" t="s">
        <v>89</v>
      </c>
      <c r="AU93" t="s">
        <v>90</v>
      </c>
      <c r="AV93" t="s">
        <v>91</v>
      </c>
      <c r="AW93" t="s">
        <v>92</v>
      </c>
      <c r="AX93" t="s">
        <v>93</v>
      </c>
      <c r="AY93" t="s">
        <v>94</v>
      </c>
      <c r="AZ93" t="s">
        <v>85</v>
      </c>
      <c r="BA93" t="s">
        <v>1344</v>
      </c>
      <c r="BB93" t="s">
        <v>1333</v>
      </c>
      <c r="BC93" t="s">
        <v>1335</v>
      </c>
      <c r="BD93" t="s">
        <v>606</v>
      </c>
      <c r="BE93" t="s">
        <v>607</v>
      </c>
      <c r="BF93" t="b">
        <f t="shared" si="1"/>
        <v>0</v>
      </c>
      <c r="BG93" t="b">
        <v>0</v>
      </c>
      <c r="BH93">
        <v>2002</v>
      </c>
      <c r="BI93" t="b">
        <v>0</v>
      </c>
      <c r="BJ93" t="s">
        <v>96</v>
      </c>
      <c r="BK93" t="s">
        <v>287</v>
      </c>
      <c r="BL93" t="b">
        <v>1</v>
      </c>
      <c r="BM93" t="b">
        <v>1</v>
      </c>
      <c r="BN93" t="b">
        <v>1</v>
      </c>
      <c r="BO93" t="s">
        <v>1345</v>
      </c>
      <c r="BP93" t="b">
        <f>IF(IFERROR(VLOOKUP(A93,[1]Planilha1!$A:$A,1,0),FALSE)=FALSE,FALSE,TRUE)</f>
        <v>0</v>
      </c>
    </row>
    <row r="94" spans="1:68" x14ac:dyDescent="0.25">
      <c r="A94" t="s">
        <v>1346</v>
      </c>
      <c r="B94" t="s">
        <v>68</v>
      </c>
      <c r="D94" s="1">
        <v>46204</v>
      </c>
      <c r="E94" s="1">
        <v>47664</v>
      </c>
      <c r="F94" t="s">
        <v>1347</v>
      </c>
      <c r="G94" t="s">
        <v>1348</v>
      </c>
      <c r="H94" s="2" t="s">
        <v>1349</v>
      </c>
      <c r="I94" t="s">
        <v>1348</v>
      </c>
      <c r="K94" t="s">
        <v>1350</v>
      </c>
      <c r="L94">
        <v>5116821</v>
      </c>
      <c r="M94" t="s">
        <v>1351</v>
      </c>
      <c r="N94" t="s">
        <v>127</v>
      </c>
      <c r="O94" t="s">
        <v>128</v>
      </c>
      <c r="P94" t="s">
        <v>129</v>
      </c>
      <c r="Q94" t="s">
        <v>1352</v>
      </c>
      <c r="R94" t="s">
        <v>1353</v>
      </c>
      <c r="S94" t="s">
        <v>1354</v>
      </c>
      <c r="T94" t="s">
        <v>112</v>
      </c>
      <c r="U94" t="s">
        <v>769</v>
      </c>
      <c r="V94" t="s">
        <v>82</v>
      </c>
      <c r="W94" t="s">
        <v>1353</v>
      </c>
      <c r="X94" t="s">
        <v>1354</v>
      </c>
      <c r="Y94" t="s">
        <v>112</v>
      </c>
      <c r="Z94" t="s">
        <v>769</v>
      </c>
      <c r="AA94" t="s">
        <v>82</v>
      </c>
      <c r="AB94" t="s">
        <v>83</v>
      </c>
      <c r="AC94" t="s">
        <v>135</v>
      </c>
      <c r="AD94" t="s">
        <v>85</v>
      </c>
      <c r="AE94" t="s">
        <v>1355</v>
      </c>
      <c r="AF94" t="s">
        <v>85</v>
      </c>
      <c r="AG94" t="s">
        <v>1356</v>
      </c>
      <c r="AH94">
        <v>23</v>
      </c>
      <c r="AI94">
        <v>1265760</v>
      </c>
      <c r="AJ94">
        <v>161572.79999999999</v>
      </c>
      <c r="AK94">
        <v>0</v>
      </c>
      <c r="AL94">
        <v>1427332.8</v>
      </c>
      <c r="AM94" t="s">
        <v>1353</v>
      </c>
      <c r="AN94" t="s">
        <v>1354</v>
      </c>
      <c r="AO94" t="s">
        <v>112</v>
      </c>
      <c r="AP94" t="s">
        <v>769</v>
      </c>
      <c r="AQ94" t="s">
        <v>82</v>
      </c>
      <c r="AR94" t="s">
        <v>1357</v>
      </c>
      <c r="AS94" s="3">
        <v>46202.465223999308</v>
      </c>
      <c r="AT94" t="s">
        <v>89</v>
      </c>
      <c r="AU94" t="s">
        <v>90</v>
      </c>
      <c r="AV94" t="s">
        <v>91</v>
      </c>
      <c r="AW94" t="s">
        <v>92</v>
      </c>
      <c r="AX94" t="s">
        <v>93</v>
      </c>
      <c r="AY94" t="s">
        <v>94</v>
      </c>
      <c r="AZ94" t="s">
        <v>85</v>
      </c>
      <c r="BA94" t="s">
        <v>1358</v>
      </c>
      <c r="BB94" t="s">
        <v>1346</v>
      </c>
      <c r="BC94" t="s">
        <v>1348</v>
      </c>
      <c r="BD94" t="s">
        <v>1353</v>
      </c>
      <c r="BE94" t="s">
        <v>1354</v>
      </c>
      <c r="BF94" t="b">
        <f t="shared" si="1"/>
        <v>0</v>
      </c>
      <c r="BG94" t="b">
        <v>0</v>
      </c>
      <c r="BH94">
        <v>2011</v>
      </c>
      <c r="BI94" t="b">
        <v>0</v>
      </c>
      <c r="BJ94" t="s">
        <v>96</v>
      </c>
      <c r="BK94" t="s">
        <v>119</v>
      </c>
      <c r="BL94" t="b">
        <v>1</v>
      </c>
      <c r="BM94" t="b">
        <v>1</v>
      </c>
      <c r="BN94" t="b">
        <v>1</v>
      </c>
      <c r="BO94" t="s">
        <v>1359</v>
      </c>
      <c r="BP94" t="b">
        <f>IF(IFERROR(VLOOKUP(A94,[1]Planilha1!$A:$A,1,0),FALSE)=FALSE,FALSE,TRUE)</f>
        <v>0</v>
      </c>
    </row>
    <row r="95" spans="1:68" x14ac:dyDescent="0.25">
      <c r="A95" t="s">
        <v>1360</v>
      </c>
      <c r="B95" t="s">
        <v>68</v>
      </c>
      <c r="D95" s="1">
        <v>46204</v>
      </c>
      <c r="E95" s="1">
        <v>47664</v>
      </c>
      <c r="F95" t="s">
        <v>1361</v>
      </c>
      <c r="G95" t="s">
        <v>1362</v>
      </c>
      <c r="H95" s="2" t="s">
        <v>1363</v>
      </c>
      <c r="I95" t="s">
        <v>1362</v>
      </c>
      <c r="K95" t="s">
        <v>1364</v>
      </c>
      <c r="L95">
        <v>5116623</v>
      </c>
      <c r="M95" t="s">
        <v>1365</v>
      </c>
      <c r="N95" t="s">
        <v>1251</v>
      </c>
      <c r="O95" t="s">
        <v>1252</v>
      </c>
      <c r="P95" t="s">
        <v>76</v>
      </c>
      <c r="Q95" t="s">
        <v>1253</v>
      </c>
      <c r="R95" t="s">
        <v>1366</v>
      </c>
      <c r="S95" t="s">
        <v>1367</v>
      </c>
      <c r="T95" t="s">
        <v>133</v>
      </c>
      <c r="U95" t="s">
        <v>134</v>
      </c>
      <c r="V95" t="s">
        <v>82</v>
      </c>
      <c r="W95" t="s">
        <v>1366</v>
      </c>
      <c r="X95" t="s">
        <v>1367</v>
      </c>
      <c r="Y95" t="s">
        <v>133</v>
      </c>
      <c r="Z95" t="s">
        <v>134</v>
      </c>
      <c r="AA95" t="s">
        <v>82</v>
      </c>
      <c r="AB95" t="s">
        <v>83</v>
      </c>
      <c r="AC95" t="s">
        <v>166</v>
      </c>
      <c r="AD95" t="s">
        <v>149</v>
      </c>
      <c r="AE95" t="s">
        <v>1368</v>
      </c>
      <c r="AF95" t="s">
        <v>85</v>
      </c>
      <c r="AG95" t="s">
        <v>1369</v>
      </c>
      <c r="AH95">
        <v>10</v>
      </c>
      <c r="AI95">
        <v>996320</v>
      </c>
      <c r="AJ95">
        <v>102000</v>
      </c>
      <c r="AK95">
        <v>0</v>
      </c>
      <c r="AL95">
        <v>1098320</v>
      </c>
      <c r="AM95" t="s">
        <v>1366</v>
      </c>
      <c r="AN95" t="s">
        <v>1367</v>
      </c>
      <c r="AO95" t="s">
        <v>133</v>
      </c>
      <c r="AP95" t="s">
        <v>134</v>
      </c>
      <c r="AQ95" t="s">
        <v>82</v>
      </c>
      <c r="AR95" t="s">
        <v>1370</v>
      </c>
      <c r="AS95" s="3">
        <v>46202.465223999308</v>
      </c>
      <c r="AT95" t="s">
        <v>89</v>
      </c>
      <c r="AU95" t="s">
        <v>90</v>
      </c>
      <c r="AV95" t="s">
        <v>91</v>
      </c>
      <c r="AW95" t="s">
        <v>92</v>
      </c>
      <c r="AX95" t="s">
        <v>93</v>
      </c>
      <c r="AY95" t="s">
        <v>94</v>
      </c>
      <c r="AZ95" t="s">
        <v>85</v>
      </c>
      <c r="BA95" t="s">
        <v>1371</v>
      </c>
      <c r="BB95" t="s">
        <v>1360</v>
      </c>
      <c r="BC95" t="s">
        <v>1362</v>
      </c>
      <c r="BD95" t="s">
        <v>1366</v>
      </c>
      <c r="BE95" t="s">
        <v>1367</v>
      </c>
      <c r="BF95" t="b">
        <f t="shared" si="1"/>
        <v>0</v>
      </c>
      <c r="BG95" t="b">
        <v>0</v>
      </c>
      <c r="BH95">
        <v>2010</v>
      </c>
      <c r="BI95" t="b">
        <v>0</v>
      </c>
      <c r="BJ95" t="s">
        <v>96</v>
      </c>
      <c r="BK95" t="s">
        <v>119</v>
      </c>
      <c r="BL95" t="b">
        <v>1</v>
      </c>
      <c r="BM95" t="b">
        <v>1</v>
      </c>
      <c r="BN95" t="b">
        <v>1</v>
      </c>
      <c r="BO95" t="s">
        <v>1372</v>
      </c>
      <c r="BP95" t="b">
        <f>IF(IFERROR(VLOOKUP(A95,[1]Planilha1!$A:$A,1,0),FALSE)=FALSE,FALSE,TRUE)</f>
        <v>0</v>
      </c>
    </row>
    <row r="96" spans="1:68" x14ac:dyDescent="0.25">
      <c r="A96" t="s">
        <v>1373</v>
      </c>
      <c r="B96" t="s">
        <v>68</v>
      </c>
      <c r="D96" s="1">
        <v>46204</v>
      </c>
      <c r="E96" s="1">
        <v>47664</v>
      </c>
      <c r="F96" t="s">
        <v>1374</v>
      </c>
      <c r="G96" t="s">
        <v>1375</v>
      </c>
      <c r="H96" s="2" t="s">
        <v>1376</v>
      </c>
      <c r="I96" t="s">
        <v>1375</v>
      </c>
      <c r="K96" t="s">
        <v>1375</v>
      </c>
      <c r="L96">
        <v>5105525</v>
      </c>
      <c r="M96" t="s">
        <v>1377</v>
      </c>
      <c r="N96" t="s">
        <v>1378</v>
      </c>
      <c r="O96" t="s">
        <v>1379</v>
      </c>
      <c r="P96" t="s">
        <v>529</v>
      </c>
      <c r="Q96" t="s">
        <v>1380</v>
      </c>
      <c r="R96" t="s">
        <v>1381</v>
      </c>
      <c r="S96" t="s">
        <v>1382</v>
      </c>
      <c r="T96" t="s">
        <v>184</v>
      </c>
      <c r="U96" t="s">
        <v>112</v>
      </c>
      <c r="V96" t="s">
        <v>82</v>
      </c>
      <c r="W96" t="s">
        <v>1381</v>
      </c>
      <c r="X96" t="s">
        <v>1382</v>
      </c>
      <c r="Y96" t="s">
        <v>184</v>
      </c>
      <c r="Z96" t="s">
        <v>112</v>
      </c>
      <c r="AA96" t="s">
        <v>82</v>
      </c>
      <c r="AB96" t="s">
        <v>83</v>
      </c>
      <c r="AC96" t="s">
        <v>1013</v>
      </c>
      <c r="AD96" t="s">
        <v>1383</v>
      </c>
      <c r="AE96" t="s">
        <v>1384</v>
      </c>
      <c r="AF96" t="s">
        <v>1385</v>
      </c>
      <c r="AG96" t="s">
        <v>1386</v>
      </c>
      <c r="AH96">
        <v>7</v>
      </c>
      <c r="AI96">
        <v>609600</v>
      </c>
      <c r="AJ96">
        <v>60960</v>
      </c>
      <c r="AK96">
        <v>0</v>
      </c>
      <c r="AL96">
        <v>670560</v>
      </c>
      <c r="AM96" t="s">
        <v>1381</v>
      </c>
      <c r="AN96" t="s">
        <v>1382</v>
      </c>
      <c r="AO96" t="s">
        <v>184</v>
      </c>
      <c r="AP96" t="s">
        <v>112</v>
      </c>
      <c r="AQ96" t="s">
        <v>82</v>
      </c>
      <c r="AR96" t="s">
        <v>1387</v>
      </c>
      <c r="AS96" s="3">
        <v>46202.465223999308</v>
      </c>
      <c r="AT96" t="s">
        <v>89</v>
      </c>
      <c r="AU96" t="s">
        <v>90</v>
      </c>
      <c r="AV96" t="s">
        <v>91</v>
      </c>
      <c r="AW96" t="s">
        <v>92</v>
      </c>
      <c r="AX96" t="s">
        <v>93</v>
      </c>
      <c r="AY96" t="s">
        <v>94</v>
      </c>
      <c r="AZ96" t="s">
        <v>85</v>
      </c>
      <c r="BA96" t="s">
        <v>1388</v>
      </c>
      <c r="BB96" t="s">
        <v>1373</v>
      </c>
      <c r="BC96" t="s">
        <v>1375</v>
      </c>
      <c r="BD96" t="s">
        <v>1381</v>
      </c>
      <c r="BE96" t="s">
        <v>1382</v>
      </c>
      <c r="BF96" t="b">
        <f t="shared" si="1"/>
        <v>0</v>
      </c>
      <c r="BG96" t="b">
        <v>0</v>
      </c>
      <c r="BH96">
        <v>2008</v>
      </c>
      <c r="BI96" t="b">
        <v>0</v>
      </c>
      <c r="BJ96" t="s">
        <v>96</v>
      </c>
      <c r="BK96" t="s">
        <v>119</v>
      </c>
      <c r="BL96" t="b">
        <v>1</v>
      </c>
      <c r="BM96" t="b">
        <v>1</v>
      </c>
      <c r="BN96" t="b">
        <v>1</v>
      </c>
      <c r="BO96" t="s">
        <v>1389</v>
      </c>
      <c r="BP96" t="b">
        <f>IF(IFERROR(VLOOKUP(A96,[1]Planilha1!$A:$A,1,0),FALSE)=FALSE,FALSE,TRUE)</f>
        <v>0</v>
      </c>
    </row>
    <row r="97" spans="1:68" x14ac:dyDescent="0.25">
      <c r="A97" t="s">
        <v>1390</v>
      </c>
      <c r="B97" t="s">
        <v>68</v>
      </c>
      <c r="D97" s="1">
        <v>46204</v>
      </c>
      <c r="E97" s="1">
        <v>47664</v>
      </c>
      <c r="F97" t="s">
        <v>1391</v>
      </c>
      <c r="G97" t="s">
        <v>1392</v>
      </c>
      <c r="H97" s="2" t="s">
        <v>1393</v>
      </c>
      <c r="I97" t="s">
        <v>1392</v>
      </c>
      <c r="K97" t="s">
        <v>1394</v>
      </c>
      <c r="L97">
        <v>5116344</v>
      </c>
      <c r="M97" t="s">
        <v>1395</v>
      </c>
      <c r="N97" t="s">
        <v>1025</v>
      </c>
      <c r="O97" t="s">
        <v>715</v>
      </c>
      <c r="P97" t="s">
        <v>107</v>
      </c>
      <c r="Q97" t="s">
        <v>1186</v>
      </c>
      <c r="R97" t="s">
        <v>182</v>
      </c>
      <c r="S97" t="s">
        <v>183</v>
      </c>
      <c r="T97" t="s">
        <v>184</v>
      </c>
      <c r="U97" t="s">
        <v>112</v>
      </c>
      <c r="V97" t="s">
        <v>82</v>
      </c>
      <c r="W97" t="s">
        <v>182</v>
      </c>
      <c r="X97" t="s">
        <v>183</v>
      </c>
      <c r="Y97" t="s">
        <v>184</v>
      </c>
      <c r="Z97" t="s">
        <v>112</v>
      </c>
      <c r="AA97" t="s">
        <v>82</v>
      </c>
      <c r="AB97" t="s">
        <v>83</v>
      </c>
      <c r="AC97" t="s">
        <v>113</v>
      </c>
      <c r="AD97" t="s">
        <v>1396</v>
      </c>
      <c r="AE97" t="s">
        <v>1397</v>
      </c>
      <c r="AF97" t="s">
        <v>1396</v>
      </c>
      <c r="AG97" t="s">
        <v>1398</v>
      </c>
      <c r="AH97">
        <v>7</v>
      </c>
      <c r="AI97">
        <v>914160</v>
      </c>
      <c r="AJ97">
        <v>91000</v>
      </c>
      <c r="AK97">
        <v>0</v>
      </c>
      <c r="AL97">
        <v>1005160</v>
      </c>
      <c r="AR97" t="s">
        <v>1399</v>
      </c>
      <c r="AS97" s="3">
        <v>46202.465223999308</v>
      </c>
      <c r="AT97" t="s">
        <v>89</v>
      </c>
      <c r="AU97" t="s">
        <v>90</v>
      </c>
      <c r="AV97" t="s">
        <v>91</v>
      </c>
      <c r="AW97" t="s">
        <v>92</v>
      </c>
      <c r="AX97" t="s">
        <v>93</v>
      </c>
      <c r="AY97" t="s">
        <v>94</v>
      </c>
      <c r="AZ97" t="s">
        <v>85</v>
      </c>
      <c r="BA97" t="s">
        <v>1400</v>
      </c>
      <c r="BB97" t="s">
        <v>1390</v>
      </c>
      <c r="BC97" t="s">
        <v>1392</v>
      </c>
      <c r="BD97" t="s">
        <v>182</v>
      </c>
      <c r="BE97" t="s">
        <v>183</v>
      </c>
      <c r="BF97" t="b">
        <f t="shared" si="1"/>
        <v>1</v>
      </c>
      <c r="BG97" t="b">
        <v>1</v>
      </c>
      <c r="BH97">
        <v>2005</v>
      </c>
      <c r="BI97" t="b">
        <v>1</v>
      </c>
      <c r="BJ97" t="s">
        <v>96</v>
      </c>
      <c r="BK97" t="s">
        <v>191</v>
      </c>
      <c r="BL97" t="b">
        <v>1</v>
      </c>
      <c r="BM97" t="b">
        <v>1</v>
      </c>
      <c r="BN97" t="b">
        <v>1</v>
      </c>
      <c r="BO97" t="s">
        <v>1401</v>
      </c>
      <c r="BP97" t="b">
        <f>IF(IFERROR(VLOOKUP(A97,[1]Planilha1!$A:$A,1,0),FALSE)=FALSE,FALSE,TRUE)</f>
        <v>1</v>
      </c>
    </row>
    <row r="98" spans="1:68" x14ac:dyDescent="0.25">
      <c r="A98" t="s">
        <v>1402</v>
      </c>
      <c r="B98" t="s">
        <v>68</v>
      </c>
      <c r="D98" s="1">
        <v>46204</v>
      </c>
      <c r="E98" s="1">
        <v>47664</v>
      </c>
      <c r="F98" t="s">
        <v>1403</v>
      </c>
      <c r="G98" t="s">
        <v>1404</v>
      </c>
      <c r="H98" s="2" t="s">
        <v>1405</v>
      </c>
      <c r="I98" t="s">
        <v>1404</v>
      </c>
      <c r="K98" t="s">
        <v>1406</v>
      </c>
      <c r="L98">
        <v>5114666</v>
      </c>
      <c r="M98" t="s">
        <v>1407</v>
      </c>
      <c r="N98" t="s">
        <v>161</v>
      </c>
      <c r="O98" t="s">
        <v>162</v>
      </c>
      <c r="P98" t="s">
        <v>76</v>
      </c>
      <c r="Q98" t="s">
        <v>1408</v>
      </c>
      <c r="R98" t="s">
        <v>509</v>
      </c>
      <c r="S98" t="s">
        <v>510</v>
      </c>
      <c r="T98" t="s">
        <v>184</v>
      </c>
      <c r="U98" t="s">
        <v>112</v>
      </c>
      <c r="V98" t="s">
        <v>82</v>
      </c>
      <c r="W98" t="s">
        <v>509</v>
      </c>
      <c r="X98" t="s">
        <v>510</v>
      </c>
      <c r="Y98" t="s">
        <v>184</v>
      </c>
      <c r="Z98" t="s">
        <v>112</v>
      </c>
      <c r="AA98" t="s">
        <v>82</v>
      </c>
      <c r="AB98" t="s">
        <v>83</v>
      </c>
      <c r="AC98" t="s">
        <v>166</v>
      </c>
      <c r="AD98" t="s">
        <v>236</v>
      </c>
      <c r="AE98" t="s">
        <v>1409</v>
      </c>
      <c r="AF98" t="s">
        <v>238</v>
      </c>
      <c r="AG98" t="s">
        <v>1410</v>
      </c>
      <c r="AH98">
        <v>4</v>
      </c>
      <c r="AI98">
        <v>997360</v>
      </c>
      <c r="AJ98">
        <v>99736</v>
      </c>
      <c r="AK98">
        <v>0</v>
      </c>
      <c r="AL98">
        <v>1097096</v>
      </c>
      <c r="AM98" t="s">
        <v>509</v>
      </c>
      <c r="AN98" t="s">
        <v>510</v>
      </c>
      <c r="AO98" t="s">
        <v>184</v>
      </c>
      <c r="AP98" t="s">
        <v>112</v>
      </c>
      <c r="AQ98" t="s">
        <v>82</v>
      </c>
      <c r="AR98" t="s">
        <v>1411</v>
      </c>
      <c r="AS98" s="3">
        <v>46202.465223999308</v>
      </c>
      <c r="AT98" t="s">
        <v>89</v>
      </c>
      <c r="AU98" t="s">
        <v>90</v>
      </c>
      <c r="AV98" t="s">
        <v>91</v>
      </c>
      <c r="AW98" t="s">
        <v>92</v>
      </c>
      <c r="AX98" t="s">
        <v>93</v>
      </c>
      <c r="AY98" t="s">
        <v>94</v>
      </c>
      <c r="AZ98" t="s">
        <v>85</v>
      </c>
      <c r="BA98" t="s">
        <v>1412</v>
      </c>
      <c r="BB98" t="s">
        <v>1402</v>
      </c>
      <c r="BC98" t="s">
        <v>1404</v>
      </c>
      <c r="BD98" t="s">
        <v>509</v>
      </c>
      <c r="BE98" t="s">
        <v>510</v>
      </c>
      <c r="BF98" t="b">
        <f t="shared" si="1"/>
        <v>0</v>
      </c>
      <c r="BG98" t="b">
        <v>0</v>
      </c>
      <c r="BH98">
        <v>2016</v>
      </c>
      <c r="BI98" t="b">
        <v>0</v>
      </c>
      <c r="BJ98" t="s">
        <v>96</v>
      </c>
      <c r="BK98" t="s">
        <v>515</v>
      </c>
      <c r="BL98" t="b">
        <v>1</v>
      </c>
      <c r="BM98" t="b">
        <v>1</v>
      </c>
      <c r="BN98" t="b">
        <v>1</v>
      </c>
      <c r="BO98" t="s">
        <v>1413</v>
      </c>
      <c r="BP98" t="b">
        <f>IF(IFERROR(VLOOKUP(A98,[1]Planilha1!$A:$A,1,0),FALSE)=FALSE,FALSE,TRUE)</f>
        <v>0</v>
      </c>
    </row>
    <row r="99" spans="1:68" x14ac:dyDescent="0.25">
      <c r="A99" t="s">
        <v>1414</v>
      </c>
      <c r="B99" t="s">
        <v>68</v>
      </c>
      <c r="D99" s="1">
        <v>46204</v>
      </c>
      <c r="E99" s="1">
        <v>47664</v>
      </c>
      <c r="F99" t="s">
        <v>1415</v>
      </c>
      <c r="G99" t="s">
        <v>1416</v>
      </c>
      <c r="H99" s="2" t="s">
        <v>1417</v>
      </c>
      <c r="I99" t="s">
        <v>1416</v>
      </c>
      <c r="K99" t="s">
        <v>1418</v>
      </c>
      <c r="L99">
        <v>5116346</v>
      </c>
      <c r="M99" t="s">
        <v>1419</v>
      </c>
      <c r="N99" t="s">
        <v>127</v>
      </c>
      <c r="O99" t="s">
        <v>128</v>
      </c>
      <c r="P99" t="s">
        <v>129</v>
      </c>
      <c r="Q99" t="s">
        <v>1420</v>
      </c>
      <c r="R99" t="s">
        <v>1421</v>
      </c>
      <c r="S99" t="s">
        <v>1422</v>
      </c>
      <c r="V99" t="s">
        <v>1423</v>
      </c>
      <c r="W99" t="s">
        <v>314</v>
      </c>
      <c r="X99" t="s">
        <v>315</v>
      </c>
      <c r="Y99" t="s">
        <v>234</v>
      </c>
      <c r="Z99" t="s">
        <v>112</v>
      </c>
      <c r="AA99" t="s">
        <v>82</v>
      </c>
      <c r="AB99" t="s">
        <v>83</v>
      </c>
      <c r="AC99" t="s">
        <v>135</v>
      </c>
      <c r="AD99" t="s">
        <v>1396</v>
      </c>
      <c r="AE99" t="s">
        <v>1424</v>
      </c>
      <c r="AF99" t="s">
        <v>1396</v>
      </c>
      <c r="AG99" t="s">
        <v>1425</v>
      </c>
      <c r="AH99">
        <v>3</v>
      </c>
      <c r="AI99">
        <v>533400</v>
      </c>
      <c r="AJ99">
        <v>150000</v>
      </c>
      <c r="AK99">
        <v>0</v>
      </c>
      <c r="AL99">
        <v>683400</v>
      </c>
      <c r="AR99" t="s">
        <v>1426</v>
      </c>
      <c r="AS99" s="3">
        <v>46202.465223999308</v>
      </c>
      <c r="AT99" t="s">
        <v>89</v>
      </c>
      <c r="AU99" t="s">
        <v>90</v>
      </c>
      <c r="AV99" t="s">
        <v>91</v>
      </c>
      <c r="AW99" t="s">
        <v>92</v>
      </c>
      <c r="AX99" t="s">
        <v>93</v>
      </c>
      <c r="AY99" t="s">
        <v>94</v>
      </c>
      <c r="AZ99" t="s">
        <v>85</v>
      </c>
      <c r="BA99" t="s">
        <v>1427</v>
      </c>
      <c r="BB99" t="s">
        <v>1414</v>
      </c>
      <c r="BC99" t="s">
        <v>1416</v>
      </c>
      <c r="BD99" t="s">
        <v>314</v>
      </c>
      <c r="BE99" t="s">
        <v>315</v>
      </c>
      <c r="BF99" t="b">
        <f t="shared" si="1"/>
        <v>1</v>
      </c>
      <c r="BG99" t="b">
        <v>1</v>
      </c>
      <c r="BH99">
        <v>2002</v>
      </c>
      <c r="BI99" t="b">
        <v>1</v>
      </c>
      <c r="BJ99" t="s">
        <v>96</v>
      </c>
      <c r="BK99" t="s">
        <v>272</v>
      </c>
      <c r="BL99" t="b">
        <v>1</v>
      </c>
      <c r="BM99" t="b">
        <v>1</v>
      </c>
      <c r="BN99" t="b">
        <v>1</v>
      </c>
      <c r="BO99" t="s">
        <v>1428</v>
      </c>
      <c r="BP99" t="b">
        <f>IF(IFERROR(VLOOKUP(A99,[1]Planilha1!$A:$A,1,0),FALSE)=FALSE,FALSE,TRUE)</f>
        <v>1</v>
      </c>
    </row>
    <row r="100" spans="1:68" x14ac:dyDescent="0.25">
      <c r="A100" t="s">
        <v>1429</v>
      </c>
      <c r="B100" t="s">
        <v>68</v>
      </c>
      <c r="D100" s="1">
        <v>46204</v>
      </c>
      <c r="E100" s="1">
        <v>47664</v>
      </c>
      <c r="F100" t="s">
        <v>1430</v>
      </c>
      <c r="G100" t="s">
        <v>1431</v>
      </c>
      <c r="H100" s="2" t="s">
        <v>1432</v>
      </c>
      <c r="I100" t="s">
        <v>1431</v>
      </c>
      <c r="K100" t="s">
        <v>1433</v>
      </c>
      <c r="L100">
        <v>5116640</v>
      </c>
      <c r="M100" t="s">
        <v>1434</v>
      </c>
      <c r="N100" t="s">
        <v>199</v>
      </c>
      <c r="O100" t="s">
        <v>200</v>
      </c>
      <c r="P100" t="s">
        <v>107</v>
      </c>
      <c r="Q100" t="s">
        <v>264</v>
      </c>
      <c r="R100" t="s">
        <v>265</v>
      </c>
      <c r="S100" t="s">
        <v>266</v>
      </c>
      <c r="T100" t="s">
        <v>184</v>
      </c>
      <c r="U100" t="s">
        <v>112</v>
      </c>
      <c r="V100" t="s">
        <v>82</v>
      </c>
      <c r="W100" t="s">
        <v>265</v>
      </c>
      <c r="X100" t="s">
        <v>266</v>
      </c>
      <c r="Y100" t="s">
        <v>184</v>
      </c>
      <c r="Z100" t="s">
        <v>112</v>
      </c>
      <c r="AA100" t="s">
        <v>82</v>
      </c>
      <c r="AB100" t="s">
        <v>83</v>
      </c>
      <c r="AC100" t="s">
        <v>202</v>
      </c>
      <c r="AD100" t="s">
        <v>149</v>
      </c>
      <c r="AE100" t="s">
        <v>1435</v>
      </c>
      <c r="AF100" t="s">
        <v>85</v>
      </c>
      <c r="AG100" t="s">
        <v>1436</v>
      </c>
      <c r="AH100">
        <v>4</v>
      </c>
      <c r="AI100">
        <v>998400</v>
      </c>
      <c r="AJ100">
        <v>144213.32999999999</v>
      </c>
      <c r="AK100">
        <v>0</v>
      </c>
      <c r="AL100">
        <v>1142613.33</v>
      </c>
      <c r="AR100" t="s">
        <v>1437</v>
      </c>
      <c r="AS100" s="3">
        <v>46202.465223999308</v>
      </c>
      <c r="AT100" t="s">
        <v>89</v>
      </c>
      <c r="AU100" t="s">
        <v>90</v>
      </c>
      <c r="AV100" t="s">
        <v>91</v>
      </c>
      <c r="AW100" t="s">
        <v>92</v>
      </c>
      <c r="AX100" t="s">
        <v>93</v>
      </c>
      <c r="AY100" t="s">
        <v>94</v>
      </c>
      <c r="AZ100" t="s">
        <v>85</v>
      </c>
      <c r="BA100" t="s">
        <v>1438</v>
      </c>
      <c r="BB100" t="s">
        <v>1429</v>
      </c>
      <c r="BC100" t="s">
        <v>1431</v>
      </c>
      <c r="BD100" t="s">
        <v>265</v>
      </c>
      <c r="BE100" t="s">
        <v>266</v>
      </c>
      <c r="BF100" t="b">
        <f t="shared" si="1"/>
        <v>1</v>
      </c>
      <c r="BG100" t="b">
        <v>1</v>
      </c>
      <c r="BH100">
        <v>1998</v>
      </c>
      <c r="BI100" t="b">
        <v>1</v>
      </c>
      <c r="BJ100" t="s">
        <v>96</v>
      </c>
      <c r="BK100" t="s">
        <v>272</v>
      </c>
      <c r="BL100" t="b">
        <v>1</v>
      </c>
      <c r="BM100" t="b">
        <v>1</v>
      </c>
      <c r="BN100" t="b">
        <v>1</v>
      </c>
      <c r="BO100" t="s">
        <v>1439</v>
      </c>
      <c r="BP100" t="b">
        <f>IF(IFERROR(VLOOKUP(A100,[1]Planilha1!$A:$A,1,0),FALSE)=FALSE,FALSE,TRUE)</f>
        <v>1</v>
      </c>
    </row>
    <row r="101" spans="1:68" x14ac:dyDescent="0.25">
      <c r="A101" t="s">
        <v>1440</v>
      </c>
      <c r="B101" t="s">
        <v>68</v>
      </c>
      <c r="D101" s="1">
        <v>46204</v>
      </c>
      <c r="E101" s="1">
        <v>47664</v>
      </c>
      <c r="F101" t="s">
        <v>1441</v>
      </c>
      <c r="G101" t="s">
        <v>1442</v>
      </c>
      <c r="H101" s="2" t="s">
        <v>1443</v>
      </c>
      <c r="I101" t="s">
        <v>1442</v>
      </c>
      <c r="K101" t="s">
        <v>1444</v>
      </c>
      <c r="L101">
        <v>5115152</v>
      </c>
      <c r="M101" t="s">
        <v>1445</v>
      </c>
      <c r="N101" t="s">
        <v>1446</v>
      </c>
      <c r="O101" t="s">
        <v>1447</v>
      </c>
      <c r="P101" t="s">
        <v>454</v>
      </c>
      <c r="Q101" t="s">
        <v>1448</v>
      </c>
      <c r="R101" t="s">
        <v>1149</v>
      </c>
      <c r="S101" t="s">
        <v>1150</v>
      </c>
      <c r="T101" t="s">
        <v>1151</v>
      </c>
      <c r="U101" t="s">
        <v>769</v>
      </c>
      <c r="V101" t="s">
        <v>82</v>
      </c>
      <c r="W101" t="s">
        <v>1149</v>
      </c>
      <c r="X101" t="s">
        <v>1150</v>
      </c>
      <c r="Y101" t="s">
        <v>1151</v>
      </c>
      <c r="Z101" t="s">
        <v>769</v>
      </c>
      <c r="AA101" t="s">
        <v>82</v>
      </c>
      <c r="AB101" t="s">
        <v>83</v>
      </c>
      <c r="AC101" t="s">
        <v>459</v>
      </c>
      <c r="AD101" t="s">
        <v>238</v>
      </c>
      <c r="AE101" t="s">
        <v>1449</v>
      </c>
      <c r="AF101" t="s">
        <v>238</v>
      </c>
      <c r="AG101" t="s">
        <v>1450</v>
      </c>
      <c r="AH101">
        <v>15</v>
      </c>
      <c r="AI101">
        <v>1035060</v>
      </c>
      <c r="AJ101">
        <v>150000</v>
      </c>
      <c r="AK101">
        <v>0</v>
      </c>
      <c r="AL101">
        <v>1185060</v>
      </c>
      <c r="AM101" t="s">
        <v>1149</v>
      </c>
      <c r="AN101" t="s">
        <v>1150</v>
      </c>
      <c r="AO101" t="s">
        <v>1151</v>
      </c>
      <c r="AP101" t="s">
        <v>769</v>
      </c>
      <c r="AQ101" t="s">
        <v>82</v>
      </c>
      <c r="AR101" t="s">
        <v>1451</v>
      </c>
      <c r="AS101" s="3">
        <v>46202.465223999308</v>
      </c>
      <c r="AT101" t="s">
        <v>89</v>
      </c>
      <c r="AU101" t="s">
        <v>90</v>
      </c>
      <c r="AV101" t="s">
        <v>91</v>
      </c>
      <c r="AW101" t="s">
        <v>92</v>
      </c>
      <c r="AX101" t="s">
        <v>93</v>
      </c>
      <c r="AY101" t="s">
        <v>94</v>
      </c>
      <c r="AZ101" t="s">
        <v>85</v>
      </c>
      <c r="BA101" t="s">
        <v>1452</v>
      </c>
      <c r="BB101" t="s">
        <v>1440</v>
      </c>
      <c r="BC101" t="s">
        <v>1442</v>
      </c>
      <c r="BD101" t="s">
        <v>1149</v>
      </c>
      <c r="BE101" t="s">
        <v>1150</v>
      </c>
      <c r="BF101" t="b">
        <f t="shared" si="1"/>
        <v>0</v>
      </c>
      <c r="BG101" t="b">
        <v>0</v>
      </c>
      <c r="BH101">
        <v>2012</v>
      </c>
      <c r="BI101" t="b">
        <v>0</v>
      </c>
      <c r="BJ101" t="s">
        <v>96</v>
      </c>
      <c r="BK101" t="s">
        <v>272</v>
      </c>
      <c r="BL101" t="b">
        <v>1</v>
      </c>
      <c r="BM101" t="b">
        <v>1</v>
      </c>
      <c r="BN101" t="b">
        <v>1</v>
      </c>
      <c r="BO101" t="s">
        <v>1453</v>
      </c>
      <c r="BP101" t="b">
        <f>IF(IFERROR(VLOOKUP(A101,[1]Planilha1!$A:$A,1,0),FALSE)=FALSE,FALSE,TRUE)</f>
        <v>0</v>
      </c>
    </row>
    <row r="102" spans="1:68" x14ac:dyDescent="0.25">
      <c r="A102" t="s">
        <v>1454</v>
      </c>
      <c r="B102" t="s">
        <v>68</v>
      </c>
      <c r="D102" s="1">
        <v>46204</v>
      </c>
      <c r="E102" s="1">
        <v>47664</v>
      </c>
      <c r="F102" t="s">
        <v>1455</v>
      </c>
      <c r="G102" t="s">
        <v>1456</v>
      </c>
      <c r="H102" s="2" t="s">
        <v>1457</v>
      </c>
      <c r="I102" t="s">
        <v>1456</v>
      </c>
      <c r="K102" t="s">
        <v>1458</v>
      </c>
      <c r="L102">
        <v>5116461</v>
      </c>
      <c r="M102" t="s">
        <v>1459</v>
      </c>
      <c r="N102" t="s">
        <v>295</v>
      </c>
      <c r="O102" t="s">
        <v>296</v>
      </c>
      <c r="P102" t="s">
        <v>129</v>
      </c>
      <c r="Q102" t="s">
        <v>1198</v>
      </c>
      <c r="R102" t="s">
        <v>78</v>
      </c>
      <c r="S102" t="s">
        <v>79</v>
      </c>
      <c r="T102" t="s">
        <v>80</v>
      </c>
      <c r="U102" t="s">
        <v>81</v>
      </c>
      <c r="V102" t="s">
        <v>82</v>
      </c>
      <c r="W102" t="s">
        <v>78</v>
      </c>
      <c r="X102" t="s">
        <v>79</v>
      </c>
      <c r="Y102" t="s">
        <v>80</v>
      </c>
      <c r="Z102" t="s">
        <v>81</v>
      </c>
      <c r="AA102" t="s">
        <v>82</v>
      </c>
      <c r="AB102" t="s">
        <v>83</v>
      </c>
      <c r="AC102" t="s">
        <v>135</v>
      </c>
      <c r="AD102" t="s">
        <v>252</v>
      </c>
      <c r="AE102" t="s">
        <v>1460</v>
      </c>
      <c r="AF102" t="s">
        <v>252</v>
      </c>
      <c r="AG102" t="s">
        <v>1461</v>
      </c>
      <c r="AH102">
        <v>10</v>
      </c>
      <c r="AI102">
        <v>1129440</v>
      </c>
      <c r="AJ102">
        <v>125162.29</v>
      </c>
      <c r="AK102">
        <v>0</v>
      </c>
      <c r="AL102">
        <v>1254602.29</v>
      </c>
      <c r="AM102" t="s">
        <v>78</v>
      </c>
      <c r="AN102" t="s">
        <v>79</v>
      </c>
      <c r="AO102" t="s">
        <v>80</v>
      </c>
      <c r="AP102" t="s">
        <v>81</v>
      </c>
      <c r="AQ102" t="s">
        <v>82</v>
      </c>
      <c r="AR102" t="s">
        <v>1462</v>
      </c>
      <c r="AS102" s="3">
        <v>46202.465223999308</v>
      </c>
      <c r="AT102" t="s">
        <v>89</v>
      </c>
      <c r="AU102" t="s">
        <v>90</v>
      </c>
      <c r="AV102" t="s">
        <v>91</v>
      </c>
      <c r="AW102" t="s">
        <v>92</v>
      </c>
      <c r="AX102" t="s">
        <v>93</v>
      </c>
      <c r="AY102" t="s">
        <v>94</v>
      </c>
      <c r="AZ102" t="s">
        <v>85</v>
      </c>
      <c r="BA102" t="s">
        <v>1463</v>
      </c>
      <c r="BB102" t="s">
        <v>1454</v>
      </c>
      <c r="BC102" t="s">
        <v>1456</v>
      </c>
      <c r="BD102" t="s">
        <v>78</v>
      </c>
      <c r="BE102" t="s">
        <v>79</v>
      </c>
      <c r="BF102" t="b">
        <f t="shared" si="1"/>
        <v>1</v>
      </c>
      <c r="BG102" t="b">
        <v>1</v>
      </c>
      <c r="BH102">
        <v>1998</v>
      </c>
      <c r="BI102" t="b">
        <v>1</v>
      </c>
      <c r="BJ102" t="s">
        <v>96</v>
      </c>
      <c r="BK102" t="s">
        <v>97</v>
      </c>
      <c r="BL102" t="b">
        <v>1</v>
      </c>
      <c r="BM102" t="b">
        <v>1</v>
      </c>
      <c r="BN102" t="b">
        <v>1</v>
      </c>
      <c r="BO102" t="s">
        <v>1464</v>
      </c>
      <c r="BP102" t="b">
        <f>IF(IFERROR(VLOOKUP(A102,[1]Planilha1!$A:$A,1,0),FALSE)=FALSE,FALSE,TRUE)</f>
        <v>1</v>
      </c>
    </row>
    <row r="103" spans="1:68" x14ac:dyDescent="0.25">
      <c r="A103" t="s">
        <v>1465</v>
      </c>
      <c r="B103" t="s">
        <v>68</v>
      </c>
      <c r="D103" s="1">
        <v>46204</v>
      </c>
      <c r="E103" s="1">
        <v>47664</v>
      </c>
      <c r="F103" t="s">
        <v>1466</v>
      </c>
      <c r="G103" t="s">
        <v>1467</v>
      </c>
      <c r="H103" s="2" t="s">
        <v>1468</v>
      </c>
      <c r="I103" t="s">
        <v>1467</v>
      </c>
      <c r="K103" t="s">
        <v>1469</v>
      </c>
      <c r="L103">
        <v>5116571</v>
      </c>
      <c r="M103" t="s">
        <v>1470</v>
      </c>
      <c r="N103" t="s">
        <v>1043</v>
      </c>
      <c r="O103" t="s">
        <v>1044</v>
      </c>
      <c r="P103" t="s">
        <v>647</v>
      </c>
      <c r="Q103" t="s">
        <v>1471</v>
      </c>
      <c r="R103" t="s">
        <v>362</v>
      </c>
      <c r="S103" t="s">
        <v>363</v>
      </c>
      <c r="T103" t="s">
        <v>364</v>
      </c>
      <c r="U103" t="s">
        <v>81</v>
      </c>
      <c r="V103" t="s">
        <v>82</v>
      </c>
      <c r="W103" t="s">
        <v>362</v>
      </c>
      <c r="X103" t="s">
        <v>363</v>
      </c>
      <c r="Y103" t="s">
        <v>364</v>
      </c>
      <c r="Z103" t="s">
        <v>81</v>
      </c>
      <c r="AA103" t="s">
        <v>82</v>
      </c>
      <c r="AB103" t="s">
        <v>83</v>
      </c>
      <c r="AC103" t="s">
        <v>649</v>
      </c>
      <c r="AD103" t="s">
        <v>149</v>
      </c>
      <c r="AE103" t="s">
        <v>1472</v>
      </c>
      <c r="AF103" t="s">
        <v>85</v>
      </c>
      <c r="AG103" t="s">
        <v>1473</v>
      </c>
      <c r="AH103">
        <v>7</v>
      </c>
      <c r="AI103">
        <v>1020500</v>
      </c>
      <c r="AJ103">
        <v>147405.56</v>
      </c>
      <c r="AK103">
        <v>0</v>
      </c>
      <c r="AL103">
        <v>1167905.56</v>
      </c>
      <c r="AM103" t="s">
        <v>362</v>
      </c>
      <c r="AN103" t="s">
        <v>363</v>
      </c>
      <c r="AO103" t="s">
        <v>364</v>
      </c>
      <c r="AP103" t="s">
        <v>81</v>
      </c>
      <c r="AQ103" t="s">
        <v>82</v>
      </c>
      <c r="AR103" t="s">
        <v>1474</v>
      </c>
      <c r="AS103" s="3">
        <v>46202.465223999308</v>
      </c>
      <c r="AT103" t="s">
        <v>89</v>
      </c>
      <c r="AU103" t="s">
        <v>90</v>
      </c>
      <c r="AV103" t="s">
        <v>91</v>
      </c>
      <c r="AW103" t="s">
        <v>92</v>
      </c>
      <c r="AX103" t="s">
        <v>93</v>
      </c>
      <c r="AY103" t="s">
        <v>94</v>
      </c>
      <c r="AZ103" t="s">
        <v>85</v>
      </c>
      <c r="BA103" t="s">
        <v>1475</v>
      </c>
      <c r="BB103" t="s">
        <v>1465</v>
      </c>
      <c r="BC103" t="s">
        <v>1467</v>
      </c>
      <c r="BD103" t="s">
        <v>362</v>
      </c>
      <c r="BE103" t="s">
        <v>363</v>
      </c>
      <c r="BF103" t="b">
        <f t="shared" si="1"/>
        <v>1</v>
      </c>
      <c r="BG103" t="b">
        <v>1</v>
      </c>
      <c r="BH103">
        <v>2023</v>
      </c>
      <c r="BI103" t="b">
        <v>1</v>
      </c>
      <c r="BJ103" t="s">
        <v>96</v>
      </c>
      <c r="BK103" t="s">
        <v>369</v>
      </c>
      <c r="BL103" t="b">
        <v>1</v>
      </c>
      <c r="BM103" t="b">
        <v>1</v>
      </c>
      <c r="BN103" t="b">
        <v>1</v>
      </c>
      <c r="BO103" t="s">
        <v>1476</v>
      </c>
      <c r="BP103" t="b">
        <f>IF(IFERROR(VLOOKUP(A103,[1]Planilha1!$A:$A,1,0),FALSE)=FALSE,FALSE,TRUE)</f>
        <v>1</v>
      </c>
    </row>
    <row r="104" spans="1:68" x14ac:dyDescent="0.25">
      <c r="A104" t="s">
        <v>1477</v>
      </c>
      <c r="B104" t="s">
        <v>68</v>
      </c>
      <c r="D104" s="1">
        <v>46204</v>
      </c>
      <c r="E104" s="1">
        <v>47664</v>
      </c>
      <c r="F104" t="s">
        <v>1478</v>
      </c>
      <c r="G104" t="s">
        <v>1479</v>
      </c>
      <c r="H104" s="2" t="s">
        <v>1480</v>
      </c>
      <c r="I104" t="s">
        <v>1479</v>
      </c>
      <c r="K104" t="s">
        <v>1481</v>
      </c>
      <c r="L104">
        <v>5116906</v>
      </c>
      <c r="M104" t="s">
        <v>1482</v>
      </c>
      <c r="N104" t="s">
        <v>1483</v>
      </c>
      <c r="O104" t="s">
        <v>1484</v>
      </c>
      <c r="P104" t="s">
        <v>76</v>
      </c>
      <c r="Q104" t="s">
        <v>1485</v>
      </c>
      <c r="R104" t="s">
        <v>606</v>
      </c>
      <c r="S104" t="s">
        <v>607</v>
      </c>
      <c r="T104" t="s">
        <v>184</v>
      </c>
      <c r="U104" t="s">
        <v>112</v>
      </c>
      <c r="V104" t="s">
        <v>82</v>
      </c>
      <c r="W104" t="s">
        <v>606</v>
      </c>
      <c r="X104" t="s">
        <v>607</v>
      </c>
      <c r="Y104" t="s">
        <v>184</v>
      </c>
      <c r="Z104" t="s">
        <v>112</v>
      </c>
      <c r="AA104" t="s">
        <v>82</v>
      </c>
      <c r="AB104" t="s">
        <v>83</v>
      </c>
      <c r="AC104" t="s">
        <v>166</v>
      </c>
      <c r="AD104" t="s">
        <v>85</v>
      </c>
      <c r="AE104" t="s">
        <v>1486</v>
      </c>
      <c r="AF104" t="s">
        <v>85</v>
      </c>
      <c r="AG104" t="s">
        <v>1487</v>
      </c>
      <c r="AH104">
        <v>5</v>
      </c>
      <c r="AI104">
        <v>1023360</v>
      </c>
      <c r="AJ104">
        <v>154500</v>
      </c>
      <c r="AK104">
        <v>0</v>
      </c>
      <c r="AL104">
        <v>1177860</v>
      </c>
      <c r="AM104" t="s">
        <v>606</v>
      </c>
      <c r="AN104" t="s">
        <v>607</v>
      </c>
      <c r="AO104" t="s">
        <v>184</v>
      </c>
      <c r="AP104" t="s">
        <v>112</v>
      </c>
      <c r="AQ104" t="s">
        <v>82</v>
      </c>
      <c r="AR104" t="s">
        <v>1488</v>
      </c>
      <c r="AS104" s="3">
        <v>46202.465223999308</v>
      </c>
      <c r="AT104" t="s">
        <v>89</v>
      </c>
      <c r="AU104" t="s">
        <v>90</v>
      </c>
      <c r="AV104" t="s">
        <v>91</v>
      </c>
      <c r="AW104" t="s">
        <v>92</v>
      </c>
      <c r="AX104" t="s">
        <v>93</v>
      </c>
      <c r="AY104" t="s">
        <v>94</v>
      </c>
      <c r="AZ104" t="s">
        <v>85</v>
      </c>
      <c r="BA104" t="s">
        <v>1489</v>
      </c>
      <c r="BB104" t="s">
        <v>1477</v>
      </c>
      <c r="BC104" t="s">
        <v>1479</v>
      </c>
      <c r="BD104" t="s">
        <v>606</v>
      </c>
      <c r="BE104" t="s">
        <v>607</v>
      </c>
      <c r="BF104" t="b">
        <f t="shared" si="1"/>
        <v>0</v>
      </c>
      <c r="BG104" t="b">
        <v>0</v>
      </c>
      <c r="BH104">
        <v>2017</v>
      </c>
      <c r="BI104" t="b">
        <v>0</v>
      </c>
      <c r="BJ104" t="s">
        <v>96</v>
      </c>
      <c r="BK104" t="s">
        <v>287</v>
      </c>
      <c r="BL104" t="b">
        <v>1</v>
      </c>
      <c r="BM104" t="b">
        <v>1</v>
      </c>
      <c r="BN104" t="b">
        <v>1</v>
      </c>
      <c r="BO104" t="s">
        <v>1490</v>
      </c>
      <c r="BP104" t="b">
        <f>IF(IFERROR(VLOOKUP(A104,[1]Planilha1!$A:$A,1,0),FALSE)=FALSE,FALSE,TRUE)</f>
        <v>0</v>
      </c>
    </row>
    <row r="105" spans="1:68" x14ac:dyDescent="0.25">
      <c r="A105" t="s">
        <v>1491</v>
      </c>
      <c r="B105" t="s">
        <v>68</v>
      </c>
      <c r="D105" s="1">
        <v>46204</v>
      </c>
      <c r="E105" s="1">
        <v>47664</v>
      </c>
      <c r="F105" t="s">
        <v>1492</v>
      </c>
      <c r="G105" t="s">
        <v>1493</v>
      </c>
      <c r="H105" s="2" t="s">
        <v>1494</v>
      </c>
      <c r="I105" t="s">
        <v>1493</v>
      </c>
      <c r="K105" t="s">
        <v>1495</v>
      </c>
      <c r="L105">
        <v>5116676</v>
      </c>
      <c r="M105" t="s">
        <v>1496</v>
      </c>
      <c r="N105" t="s">
        <v>1497</v>
      </c>
      <c r="O105" t="s">
        <v>768</v>
      </c>
      <c r="P105" t="s">
        <v>107</v>
      </c>
      <c r="Q105" t="s">
        <v>1498</v>
      </c>
      <c r="R105" t="s">
        <v>606</v>
      </c>
      <c r="S105" t="s">
        <v>607</v>
      </c>
      <c r="T105" t="s">
        <v>184</v>
      </c>
      <c r="U105" t="s">
        <v>112</v>
      </c>
      <c r="V105" t="s">
        <v>82</v>
      </c>
      <c r="W105" t="s">
        <v>606</v>
      </c>
      <c r="X105" t="s">
        <v>607</v>
      </c>
      <c r="Y105" t="s">
        <v>184</v>
      </c>
      <c r="Z105" t="s">
        <v>112</v>
      </c>
      <c r="AA105" t="s">
        <v>82</v>
      </c>
      <c r="AB105" t="s">
        <v>83</v>
      </c>
      <c r="AC105" t="s">
        <v>113</v>
      </c>
      <c r="AD105" t="s">
        <v>149</v>
      </c>
      <c r="AE105" t="s">
        <v>1499</v>
      </c>
      <c r="AF105" t="s">
        <v>85</v>
      </c>
      <c r="AG105" t="s">
        <v>1500</v>
      </c>
      <c r="AH105">
        <v>11</v>
      </c>
      <c r="AI105">
        <v>1358400</v>
      </c>
      <c r="AJ105">
        <v>140000</v>
      </c>
      <c r="AK105">
        <v>0</v>
      </c>
      <c r="AL105">
        <v>1498400</v>
      </c>
      <c r="AM105" t="s">
        <v>606</v>
      </c>
      <c r="AN105" t="s">
        <v>607</v>
      </c>
      <c r="AO105" t="s">
        <v>184</v>
      </c>
      <c r="AP105" t="s">
        <v>112</v>
      </c>
      <c r="AQ105" t="s">
        <v>82</v>
      </c>
      <c r="AR105" t="s">
        <v>1501</v>
      </c>
      <c r="AS105" s="3">
        <v>46202.465223999308</v>
      </c>
      <c r="AT105" t="s">
        <v>89</v>
      </c>
      <c r="AU105" t="s">
        <v>90</v>
      </c>
      <c r="AV105" t="s">
        <v>91</v>
      </c>
      <c r="AW105" t="s">
        <v>92</v>
      </c>
      <c r="AX105" t="s">
        <v>93</v>
      </c>
      <c r="AY105" t="s">
        <v>94</v>
      </c>
      <c r="AZ105" t="s">
        <v>85</v>
      </c>
      <c r="BA105" t="s">
        <v>1502</v>
      </c>
      <c r="BB105" t="s">
        <v>1491</v>
      </c>
      <c r="BC105" t="s">
        <v>1493</v>
      </c>
      <c r="BD105" t="s">
        <v>606</v>
      </c>
      <c r="BE105" t="s">
        <v>607</v>
      </c>
      <c r="BF105" t="b">
        <f t="shared" si="1"/>
        <v>0</v>
      </c>
      <c r="BG105" t="b">
        <v>0</v>
      </c>
      <c r="BH105">
        <v>2022</v>
      </c>
      <c r="BI105" t="b">
        <v>0</v>
      </c>
      <c r="BJ105" t="s">
        <v>96</v>
      </c>
      <c r="BK105" t="s">
        <v>287</v>
      </c>
      <c r="BL105" t="b">
        <v>1</v>
      </c>
      <c r="BM105" t="b">
        <v>1</v>
      </c>
      <c r="BN105" t="b">
        <v>1</v>
      </c>
      <c r="BO105" t="s">
        <v>1503</v>
      </c>
      <c r="BP105" t="b">
        <f>IF(IFERROR(VLOOKUP(A105,[1]Planilha1!$A:$A,1,0),FALSE)=FALSE,FALSE,TRUE)</f>
        <v>0</v>
      </c>
    </row>
    <row r="106" spans="1:68" x14ac:dyDescent="0.25">
      <c r="A106" t="s">
        <v>1504</v>
      </c>
      <c r="B106" t="s">
        <v>68</v>
      </c>
      <c r="D106" s="1">
        <v>46204</v>
      </c>
      <c r="E106" s="1">
        <v>47664</v>
      </c>
      <c r="F106" t="s">
        <v>1505</v>
      </c>
      <c r="G106" t="s">
        <v>1506</v>
      </c>
      <c r="H106" s="2" t="s">
        <v>1507</v>
      </c>
      <c r="I106" t="s">
        <v>1506</v>
      </c>
      <c r="K106" t="s">
        <v>1508</v>
      </c>
      <c r="L106">
        <v>5116649</v>
      </c>
      <c r="M106" t="s">
        <v>1509</v>
      </c>
      <c r="N106" t="s">
        <v>74</v>
      </c>
      <c r="O106" t="s">
        <v>75</v>
      </c>
      <c r="P106" t="s">
        <v>76</v>
      </c>
      <c r="Q106" t="s">
        <v>77</v>
      </c>
      <c r="R106" t="s">
        <v>78</v>
      </c>
      <c r="S106" t="s">
        <v>79</v>
      </c>
      <c r="T106" t="s">
        <v>80</v>
      </c>
      <c r="U106" t="s">
        <v>81</v>
      </c>
      <c r="V106" t="s">
        <v>82</v>
      </c>
      <c r="W106" t="s">
        <v>78</v>
      </c>
      <c r="X106" t="s">
        <v>79</v>
      </c>
      <c r="Y106" t="s">
        <v>80</v>
      </c>
      <c r="Z106" t="s">
        <v>81</v>
      </c>
      <c r="AA106" t="s">
        <v>82</v>
      </c>
      <c r="AB106" t="s">
        <v>83</v>
      </c>
      <c r="AC106" t="s">
        <v>84</v>
      </c>
      <c r="AD106" t="s">
        <v>149</v>
      </c>
      <c r="AE106" t="s">
        <v>1510</v>
      </c>
      <c r="AF106" t="s">
        <v>85</v>
      </c>
      <c r="AG106" t="s">
        <v>1511</v>
      </c>
      <c r="AH106">
        <v>11</v>
      </c>
      <c r="AI106">
        <v>1348460</v>
      </c>
      <c r="AJ106">
        <v>133750</v>
      </c>
      <c r="AK106">
        <v>0</v>
      </c>
      <c r="AL106">
        <v>1482210</v>
      </c>
      <c r="AM106" t="s">
        <v>78</v>
      </c>
      <c r="AN106" t="s">
        <v>79</v>
      </c>
      <c r="AO106" t="s">
        <v>80</v>
      </c>
      <c r="AP106" t="s">
        <v>81</v>
      </c>
      <c r="AQ106" t="s">
        <v>82</v>
      </c>
      <c r="AR106" t="s">
        <v>1512</v>
      </c>
      <c r="AS106" s="3">
        <v>46202.465223999308</v>
      </c>
      <c r="AT106" t="s">
        <v>89</v>
      </c>
      <c r="AU106" t="s">
        <v>90</v>
      </c>
      <c r="AV106" t="s">
        <v>91</v>
      </c>
      <c r="AW106" t="s">
        <v>92</v>
      </c>
      <c r="AX106" t="s">
        <v>93</v>
      </c>
      <c r="AY106" t="s">
        <v>94</v>
      </c>
      <c r="AZ106" t="s">
        <v>85</v>
      </c>
      <c r="BA106" t="s">
        <v>1513</v>
      </c>
      <c r="BB106" t="s">
        <v>1504</v>
      </c>
      <c r="BC106" t="s">
        <v>1506</v>
      </c>
      <c r="BD106" t="s">
        <v>78</v>
      </c>
      <c r="BE106" t="s">
        <v>79</v>
      </c>
      <c r="BF106" t="b">
        <f t="shared" si="1"/>
        <v>1</v>
      </c>
      <c r="BG106" t="b">
        <v>1</v>
      </c>
      <c r="BH106">
        <v>2022</v>
      </c>
      <c r="BI106" t="b">
        <v>1</v>
      </c>
      <c r="BJ106" t="s">
        <v>96</v>
      </c>
      <c r="BK106" t="s">
        <v>97</v>
      </c>
      <c r="BL106" t="b">
        <v>1</v>
      </c>
      <c r="BM106" t="b">
        <v>1</v>
      </c>
      <c r="BN106" t="b">
        <v>1</v>
      </c>
      <c r="BO106" t="s">
        <v>1514</v>
      </c>
      <c r="BP106" t="b">
        <f>IF(IFERROR(VLOOKUP(A106,[1]Planilha1!$A:$A,1,0),FALSE)=FALSE,FALSE,TRUE)</f>
        <v>1</v>
      </c>
    </row>
    <row r="107" spans="1:68" x14ac:dyDescent="0.25">
      <c r="A107" t="s">
        <v>1515</v>
      </c>
      <c r="B107" t="s">
        <v>68</v>
      </c>
      <c r="D107" s="1">
        <v>46204</v>
      </c>
      <c r="E107" s="1">
        <v>47664</v>
      </c>
      <c r="F107" t="s">
        <v>1516</v>
      </c>
      <c r="G107" t="s">
        <v>1517</v>
      </c>
      <c r="H107" s="2" t="s">
        <v>1518</v>
      </c>
      <c r="I107" t="s">
        <v>1517</v>
      </c>
      <c r="K107" t="s">
        <v>1519</v>
      </c>
      <c r="L107">
        <v>5115590</v>
      </c>
      <c r="M107" t="s">
        <v>1520</v>
      </c>
      <c r="N107" t="s">
        <v>179</v>
      </c>
      <c r="O107" t="s">
        <v>180</v>
      </c>
      <c r="P107" t="s">
        <v>129</v>
      </c>
      <c r="Q107" t="s">
        <v>1521</v>
      </c>
      <c r="R107" t="s">
        <v>182</v>
      </c>
      <c r="S107" t="s">
        <v>183</v>
      </c>
      <c r="T107" t="s">
        <v>184</v>
      </c>
      <c r="U107" t="s">
        <v>112</v>
      </c>
      <c r="V107" t="s">
        <v>82</v>
      </c>
      <c r="W107" t="s">
        <v>182</v>
      </c>
      <c r="X107" t="s">
        <v>183</v>
      </c>
      <c r="Y107" t="s">
        <v>184</v>
      </c>
      <c r="Z107" t="s">
        <v>112</v>
      </c>
      <c r="AA107" t="s">
        <v>82</v>
      </c>
      <c r="AB107" t="s">
        <v>83</v>
      </c>
      <c r="AC107" t="s">
        <v>185</v>
      </c>
      <c r="AD107" t="s">
        <v>1522</v>
      </c>
      <c r="AE107" t="s">
        <v>1523</v>
      </c>
      <c r="AF107" t="s">
        <v>1522</v>
      </c>
      <c r="AG107" t="s">
        <v>1524</v>
      </c>
      <c r="AH107">
        <v>11</v>
      </c>
      <c r="AI107">
        <v>1054560</v>
      </c>
      <c r="AJ107">
        <v>128000</v>
      </c>
      <c r="AK107">
        <v>0</v>
      </c>
      <c r="AL107">
        <v>1182560</v>
      </c>
      <c r="AM107" t="s">
        <v>182</v>
      </c>
      <c r="AN107" t="s">
        <v>183</v>
      </c>
      <c r="AO107" t="s">
        <v>184</v>
      </c>
      <c r="AP107" t="s">
        <v>112</v>
      </c>
      <c r="AQ107" t="s">
        <v>82</v>
      </c>
      <c r="AR107" t="s">
        <v>1525</v>
      </c>
      <c r="AS107" s="3">
        <v>46202.465223999308</v>
      </c>
      <c r="AT107" t="s">
        <v>89</v>
      </c>
      <c r="AU107" t="s">
        <v>90</v>
      </c>
      <c r="AV107" t="s">
        <v>91</v>
      </c>
      <c r="AW107" t="s">
        <v>92</v>
      </c>
      <c r="AX107" t="s">
        <v>93</v>
      </c>
      <c r="AY107" t="s">
        <v>94</v>
      </c>
      <c r="AZ107" t="s">
        <v>85</v>
      </c>
      <c r="BA107" t="s">
        <v>1526</v>
      </c>
      <c r="BB107" t="s">
        <v>1515</v>
      </c>
      <c r="BC107" t="s">
        <v>1517</v>
      </c>
      <c r="BD107" t="s">
        <v>182</v>
      </c>
      <c r="BE107" t="s">
        <v>183</v>
      </c>
      <c r="BF107" t="b">
        <f t="shared" si="1"/>
        <v>1</v>
      </c>
      <c r="BG107" t="b">
        <v>1</v>
      </c>
      <c r="BH107">
        <v>2000</v>
      </c>
      <c r="BI107" t="b">
        <v>1</v>
      </c>
      <c r="BJ107" t="s">
        <v>96</v>
      </c>
      <c r="BK107" t="s">
        <v>191</v>
      </c>
      <c r="BL107" t="b">
        <v>1</v>
      </c>
      <c r="BM107" t="b">
        <v>1</v>
      </c>
      <c r="BN107" t="b">
        <v>1</v>
      </c>
      <c r="BO107" t="s">
        <v>1527</v>
      </c>
      <c r="BP107" t="b">
        <f>IF(IFERROR(VLOOKUP(A107,[1]Planilha1!$A:$A,1,0),FALSE)=FALSE,FALSE,TRUE)</f>
        <v>1</v>
      </c>
    </row>
    <row r="108" spans="1:68" x14ac:dyDescent="0.25">
      <c r="A108" t="s">
        <v>1528</v>
      </c>
      <c r="B108" t="s">
        <v>68</v>
      </c>
      <c r="D108" s="1">
        <v>46204</v>
      </c>
      <c r="E108" s="1">
        <v>47664</v>
      </c>
      <c r="F108" t="s">
        <v>1529</v>
      </c>
      <c r="G108" t="s">
        <v>1530</v>
      </c>
      <c r="H108" s="2" t="s">
        <v>1531</v>
      </c>
      <c r="I108" t="s">
        <v>1530</v>
      </c>
      <c r="K108" t="s">
        <v>1532</v>
      </c>
      <c r="L108">
        <v>5114700</v>
      </c>
      <c r="M108" t="s">
        <v>1533</v>
      </c>
      <c r="N108" t="s">
        <v>542</v>
      </c>
      <c r="O108" t="s">
        <v>543</v>
      </c>
      <c r="P108" t="s">
        <v>454</v>
      </c>
      <c r="Q108" t="s">
        <v>1534</v>
      </c>
      <c r="R108" t="s">
        <v>1535</v>
      </c>
      <c r="S108" t="s">
        <v>1536</v>
      </c>
      <c r="T108" t="s">
        <v>1537</v>
      </c>
      <c r="U108" t="s">
        <v>769</v>
      </c>
      <c r="V108" t="s">
        <v>82</v>
      </c>
      <c r="W108" t="s">
        <v>1535</v>
      </c>
      <c r="X108" t="s">
        <v>1536</v>
      </c>
      <c r="Y108" t="s">
        <v>1537</v>
      </c>
      <c r="Z108" t="s">
        <v>769</v>
      </c>
      <c r="AA108" t="s">
        <v>82</v>
      </c>
      <c r="AB108" t="s">
        <v>83</v>
      </c>
      <c r="AC108" t="s">
        <v>459</v>
      </c>
      <c r="AD108" t="s">
        <v>236</v>
      </c>
      <c r="AE108" t="s">
        <v>1538</v>
      </c>
      <c r="AF108" t="s">
        <v>238</v>
      </c>
      <c r="AG108" t="s">
        <v>1539</v>
      </c>
      <c r="AH108">
        <v>16</v>
      </c>
      <c r="AI108">
        <v>1036560</v>
      </c>
      <c r="AJ108">
        <v>148277</v>
      </c>
      <c r="AK108">
        <v>0</v>
      </c>
      <c r="AL108">
        <v>1184837</v>
      </c>
      <c r="AR108" t="s">
        <v>1540</v>
      </c>
      <c r="AS108" s="3">
        <v>46202.465223999308</v>
      </c>
      <c r="AT108" t="s">
        <v>89</v>
      </c>
      <c r="AU108" t="s">
        <v>90</v>
      </c>
      <c r="AV108" t="s">
        <v>91</v>
      </c>
      <c r="AW108" t="s">
        <v>92</v>
      </c>
      <c r="AX108" t="s">
        <v>93</v>
      </c>
      <c r="AY108" t="s">
        <v>94</v>
      </c>
      <c r="AZ108" t="s">
        <v>85</v>
      </c>
      <c r="BA108" t="s">
        <v>1541</v>
      </c>
      <c r="BB108" t="s">
        <v>1528</v>
      </c>
      <c r="BC108" t="s">
        <v>1530</v>
      </c>
      <c r="BD108" t="s">
        <v>1535</v>
      </c>
      <c r="BE108" t="s">
        <v>1536</v>
      </c>
      <c r="BF108" t="b">
        <f t="shared" si="1"/>
        <v>0</v>
      </c>
      <c r="BG108" t="b">
        <v>0</v>
      </c>
      <c r="BH108">
        <v>2002</v>
      </c>
      <c r="BI108" t="b">
        <v>0</v>
      </c>
      <c r="BJ108" t="s">
        <v>96</v>
      </c>
      <c r="BK108" t="s">
        <v>119</v>
      </c>
      <c r="BL108" t="b">
        <v>1</v>
      </c>
      <c r="BM108" t="b">
        <v>1</v>
      </c>
      <c r="BN108" t="b">
        <v>0</v>
      </c>
      <c r="BO108" t="s">
        <v>1542</v>
      </c>
      <c r="BP108" t="b">
        <f>IF(IFERROR(VLOOKUP(A108,[1]Planilha1!$A:$A,1,0),FALSE)=FALSE,FALSE,TRUE)</f>
        <v>0</v>
      </c>
    </row>
    <row r="109" spans="1:68" x14ac:dyDescent="0.25">
      <c r="A109" t="s">
        <v>1543</v>
      </c>
      <c r="B109" t="s">
        <v>68</v>
      </c>
      <c r="D109" s="1">
        <v>46204</v>
      </c>
      <c r="E109" s="1">
        <v>47664</v>
      </c>
      <c r="F109" t="s">
        <v>1544</v>
      </c>
      <c r="G109" t="s">
        <v>1545</v>
      </c>
      <c r="H109" s="2" t="s">
        <v>1546</v>
      </c>
      <c r="I109" t="s">
        <v>1545</v>
      </c>
      <c r="K109" t="s">
        <v>1547</v>
      </c>
      <c r="L109">
        <v>5116858</v>
      </c>
      <c r="M109" t="s">
        <v>1548</v>
      </c>
      <c r="N109" t="s">
        <v>1497</v>
      </c>
      <c r="O109" t="s">
        <v>768</v>
      </c>
      <c r="P109" t="s">
        <v>107</v>
      </c>
      <c r="Q109" t="s">
        <v>1549</v>
      </c>
      <c r="R109" t="s">
        <v>1550</v>
      </c>
      <c r="S109" t="s">
        <v>1551</v>
      </c>
      <c r="T109" t="s">
        <v>1552</v>
      </c>
      <c r="U109" t="s">
        <v>134</v>
      </c>
      <c r="V109" t="s">
        <v>82</v>
      </c>
      <c r="W109" t="s">
        <v>1550</v>
      </c>
      <c r="X109" t="s">
        <v>1551</v>
      </c>
      <c r="Y109" t="s">
        <v>1552</v>
      </c>
      <c r="Z109" t="s">
        <v>134</v>
      </c>
      <c r="AA109" t="s">
        <v>82</v>
      </c>
      <c r="AB109" t="s">
        <v>83</v>
      </c>
      <c r="AC109" t="s">
        <v>113</v>
      </c>
      <c r="AD109" t="s">
        <v>85</v>
      </c>
      <c r="AE109" t="s">
        <v>1553</v>
      </c>
      <c r="AF109" t="s">
        <v>85</v>
      </c>
      <c r="AG109" t="s">
        <v>1554</v>
      </c>
      <c r="AH109">
        <v>30</v>
      </c>
      <c r="AI109">
        <v>1351900</v>
      </c>
      <c r="AJ109">
        <v>148000</v>
      </c>
      <c r="AK109">
        <v>0</v>
      </c>
      <c r="AL109">
        <v>1499900</v>
      </c>
      <c r="AM109" t="s">
        <v>1550</v>
      </c>
      <c r="AN109" t="s">
        <v>1551</v>
      </c>
      <c r="AO109" t="s">
        <v>1552</v>
      </c>
      <c r="AP109" t="s">
        <v>134</v>
      </c>
      <c r="AQ109" t="s">
        <v>82</v>
      </c>
      <c r="AR109" t="s">
        <v>1555</v>
      </c>
      <c r="AS109" s="3">
        <v>46202.465223999308</v>
      </c>
      <c r="AT109" t="s">
        <v>89</v>
      </c>
      <c r="AU109" t="s">
        <v>90</v>
      </c>
      <c r="AV109" t="s">
        <v>91</v>
      </c>
      <c r="AW109" t="s">
        <v>92</v>
      </c>
      <c r="AX109" t="s">
        <v>93</v>
      </c>
      <c r="AY109" t="s">
        <v>94</v>
      </c>
      <c r="AZ109" t="s">
        <v>85</v>
      </c>
      <c r="BA109" t="s">
        <v>1556</v>
      </c>
      <c r="BB109" t="s">
        <v>1543</v>
      </c>
      <c r="BC109" t="s">
        <v>1545</v>
      </c>
      <c r="BD109" t="s">
        <v>1550</v>
      </c>
      <c r="BE109" t="s">
        <v>1551</v>
      </c>
      <c r="BF109" t="b">
        <f t="shared" si="1"/>
        <v>0</v>
      </c>
      <c r="BG109" t="b">
        <v>0</v>
      </c>
      <c r="BH109">
        <v>2004</v>
      </c>
      <c r="BI109" t="b">
        <v>0</v>
      </c>
      <c r="BJ109" t="s">
        <v>96</v>
      </c>
      <c r="BK109" t="s">
        <v>119</v>
      </c>
      <c r="BL109" t="b">
        <v>1</v>
      </c>
      <c r="BM109" t="b">
        <v>1</v>
      </c>
      <c r="BN109" t="b">
        <v>1</v>
      </c>
      <c r="BO109" t="s">
        <v>1557</v>
      </c>
      <c r="BP109" t="b">
        <f>IF(IFERROR(VLOOKUP(A109,[1]Planilha1!$A:$A,1,0),FALSE)=FALSE,FALSE,TRUE)</f>
        <v>0</v>
      </c>
    </row>
    <row r="110" spans="1:68" x14ac:dyDescent="0.25">
      <c r="A110" t="s">
        <v>1558</v>
      </c>
      <c r="B110" t="s">
        <v>68</v>
      </c>
      <c r="D110" s="1">
        <v>46204</v>
      </c>
      <c r="E110" s="1">
        <v>47664</v>
      </c>
      <c r="F110" t="s">
        <v>1559</v>
      </c>
      <c r="G110" t="s">
        <v>1560</v>
      </c>
      <c r="H110" s="2" t="s">
        <v>1561</v>
      </c>
      <c r="I110" t="s">
        <v>1560</v>
      </c>
      <c r="K110" t="s">
        <v>1562</v>
      </c>
      <c r="L110">
        <v>5116274</v>
      </c>
      <c r="M110" t="s">
        <v>1563</v>
      </c>
      <c r="N110" t="s">
        <v>179</v>
      </c>
      <c r="O110" t="s">
        <v>180</v>
      </c>
      <c r="P110" t="s">
        <v>129</v>
      </c>
      <c r="Q110" t="s">
        <v>1564</v>
      </c>
      <c r="R110" t="s">
        <v>182</v>
      </c>
      <c r="S110" t="s">
        <v>183</v>
      </c>
      <c r="T110" t="s">
        <v>184</v>
      </c>
      <c r="U110" t="s">
        <v>112</v>
      </c>
      <c r="V110" t="s">
        <v>82</v>
      </c>
      <c r="W110" t="s">
        <v>182</v>
      </c>
      <c r="X110" t="s">
        <v>183</v>
      </c>
      <c r="Y110" t="s">
        <v>184</v>
      </c>
      <c r="Z110" t="s">
        <v>112</v>
      </c>
      <c r="AA110" t="s">
        <v>82</v>
      </c>
      <c r="AB110" t="s">
        <v>83</v>
      </c>
      <c r="AC110" t="s">
        <v>185</v>
      </c>
      <c r="AD110" t="s">
        <v>547</v>
      </c>
      <c r="AE110" t="s">
        <v>1565</v>
      </c>
      <c r="AF110" t="s">
        <v>547</v>
      </c>
      <c r="AG110" t="s">
        <v>1566</v>
      </c>
      <c r="AH110">
        <v>4</v>
      </c>
      <c r="AI110">
        <v>923520</v>
      </c>
      <c r="AJ110">
        <v>95880</v>
      </c>
      <c r="AK110">
        <v>0</v>
      </c>
      <c r="AL110">
        <v>1019400</v>
      </c>
      <c r="AM110" t="s">
        <v>182</v>
      </c>
      <c r="AN110" t="s">
        <v>183</v>
      </c>
      <c r="AO110" t="s">
        <v>184</v>
      </c>
      <c r="AP110" t="s">
        <v>112</v>
      </c>
      <c r="AQ110" t="s">
        <v>82</v>
      </c>
      <c r="AR110" t="s">
        <v>1567</v>
      </c>
      <c r="AS110" s="3">
        <v>46202.465223999308</v>
      </c>
      <c r="AT110" t="s">
        <v>89</v>
      </c>
      <c r="AU110" t="s">
        <v>90</v>
      </c>
      <c r="AV110" t="s">
        <v>91</v>
      </c>
      <c r="AW110" t="s">
        <v>92</v>
      </c>
      <c r="AX110" t="s">
        <v>93</v>
      </c>
      <c r="AY110" t="s">
        <v>94</v>
      </c>
      <c r="AZ110" t="s">
        <v>85</v>
      </c>
      <c r="BA110" t="s">
        <v>1568</v>
      </c>
      <c r="BB110" t="s">
        <v>1558</v>
      </c>
      <c r="BC110" t="s">
        <v>1560</v>
      </c>
      <c r="BD110" t="s">
        <v>182</v>
      </c>
      <c r="BE110" t="s">
        <v>183</v>
      </c>
      <c r="BF110" t="b">
        <f t="shared" si="1"/>
        <v>0</v>
      </c>
      <c r="BG110" t="b">
        <v>1</v>
      </c>
      <c r="BH110">
        <v>2001</v>
      </c>
      <c r="BI110" t="b">
        <v>0</v>
      </c>
      <c r="BJ110" t="s">
        <v>96</v>
      </c>
      <c r="BK110" t="s">
        <v>191</v>
      </c>
      <c r="BL110" t="b">
        <v>1</v>
      </c>
      <c r="BM110" t="b">
        <v>1</v>
      </c>
      <c r="BN110" t="b">
        <v>1</v>
      </c>
      <c r="BO110" t="s">
        <v>1569</v>
      </c>
      <c r="BP110" t="b">
        <f>IF(IFERROR(VLOOKUP(A110,[1]Planilha1!$A:$A,1,0),FALSE)=FALSE,FALSE,TRUE)</f>
        <v>0</v>
      </c>
    </row>
    <row r="111" spans="1:68" x14ac:dyDescent="0.25">
      <c r="A111" t="s">
        <v>1570</v>
      </c>
      <c r="B111" t="s">
        <v>68</v>
      </c>
      <c r="D111" s="1">
        <v>46204</v>
      </c>
      <c r="E111" s="1">
        <v>47664</v>
      </c>
      <c r="F111" t="s">
        <v>1571</v>
      </c>
      <c r="G111" t="s">
        <v>1572</v>
      </c>
      <c r="H111" s="2" t="s">
        <v>1573</v>
      </c>
      <c r="I111" t="s">
        <v>1572</v>
      </c>
      <c r="K111" t="s">
        <v>1574</v>
      </c>
      <c r="L111">
        <v>5116813</v>
      </c>
      <c r="M111" t="s">
        <v>1575</v>
      </c>
      <c r="N111" t="s">
        <v>1576</v>
      </c>
      <c r="O111" t="s">
        <v>1577</v>
      </c>
      <c r="P111" t="s">
        <v>439</v>
      </c>
      <c r="Q111" t="s">
        <v>1578</v>
      </c>
      <c r="R111" t="s">
        <v>78</v>
      </c>
      <c r="S111" t="s">
        <v>79</v>
      </c>
      <c r="T111" t="s">
        <v>80</v>
      </c>
      <c r="U111" t="s">
        <v>81</v>
      </c>
      <c r="V111" t="s">
        <v>82</v>
      </c>
      <c r="W111" t="s">
        <v>78</v>
      </c>
      <c r="X111" t="s">
        <v>79</v>
      </c>
      <c r="Y111" t="s">
        <v>80</v>
      </c>
      <c r="Z111" t="s">
        <v>81</v>
      </c>
      <c r="AA111" t="s">
        <v>82</v>
      </c>
      <c r="AB111" t="s">
        <v>83</v>
      </c>
      <c r="AC111" t="s">
        <v>1135</v>
      </c>
      <c r="AD111" t="s">
        <v>85</v>
      </c>
      <c r="AE111" t="s">
        <v>1579</v>
      </c>
      <c r="AF111" t="s">
        <v>85</v>
      </c>
      <c r="AG111" t="s">
        <v>1580</v>
      </c>
      <c r="AH111">
        <v>11</v>
      </c>
      <c r="AI111">
        <v>1231440</v>
      </c>
      <c r="AJ111">
        <v>120000</v>
      </c>
      <c r="AK111">
        <v>0</v>
      </c>
      <c r="AL111">
        <v>1351440</v>
      </c>
      <c r="AM111" t="s">
        <v>664</v>
      </c>
      <c r="AN111" t="s">
        <v>665</v>
      </c>
      <c r="AO111" t="s">
        <v>80</v>
      </c>
      <c r="AP111" t="s">
        <v>81</v>
      </c>
      <c r="AQ111" t="s">
        <v>82</v>
      </c>
      <c r="AR111" t="s">
        <v>1581</v>
      </c>
      <c r="AS111" s="3">
        <v>46202.465223999308</v>
      </c>
      <c r="AT111" t="s">
        <v>89</v>
      </c>
      <c r="AU111" t="s">
        <v>90</v>
      </c>
      <c r="AV111" t="s">
        <v>91</v>
      </c>
      <c r="AW111" t="s">
        <v>92</v>
      </c>
      <c r="AX111" t="s">
        <v>93</v>
      </c>
      <c r="AY111" t="s">
        <v>94</v>
      </c>
      <c r="AZ111" t="s">
        <v>85</v>
      </c>
      <c r="BA111" t="s">
        <v>1582</v>
      </c>
      <c r="BB111" t="s">
        <v>1570</v>
      </c>
      <c r="BC111" t="s">
        <v>1572</v>
      </c>
      <c r="BD111" t="s">
        <v>78</v>
      </c>
      <c r="BE111" t="s">
        <v>79</v>
      </c>
      <c r="BF111" t="b">
        <f t="shared" si="1"/>
        <v>1</v>
      </c>
      <c r="BG111" t="b">
        <v>1</v>
      </c>
      <c r="BH111">
        <v>2019</v>
      </c>
      <c r="BI111" t="b">
        <v>1</v>
      </c>
      <c r="BJ111" t="s">
        <v>96</v>
      </c>
      <c r="BK111" t="s">
        <v>97</v>
      </c>
      <c r="BL111" t="b">
        <v>1</v>
      </c>
      <c r="BM111" t="b">
        <v>1</v>
      </c>
      <c r="BN111" t="b">
        <v>1</v>
      </c>
      <c r="BO111" t="s">
        <v>1583</v>
      </c>
      <c r="BP111" t="b">
        <f>IF(IFERROR(VLOOKUP(A111,[1]Planilha1!$A:$A,1,0),FALSE)=FALSE,FALSE,TRUE)</f>
        <v>1</v>
      </c>
    </row>
    <row r="112" spans="1:68" x14ac:dyDescent="0.25">
      <c r="A112" t="s">
        <v>1584</v>
      </c>
      <c r="B112" t="s">
        <v>68</v>
      </c>
      <c r="D112" s="1">
        <v>46204</v>
      </c>
      <c r="E112" s="1">
        <v>47664</v>
      </c>
      <c r="F112" t="s">
        <v>1585</v>
      </c>
      <c r="G112" t="s">
        <v>1586</v>
      </c>
      <c r="H112" s="2" t="s">
        <v>1587</v>
      </c>
      <c r="I112" t="s">
        <v>1586</v>
      </c>
      <c r="K112" t="s">
        <v>1588</v>
      </c>
      <c r="L112">
        <v>5110737</v>
      </c>
      <c r="M112" t="s">
        <v>1589</v>
      </c>
      <c r="N112" t="s">
        <v>199</v>
      </c>
      <c r="O112" t="s">
        <v>200</v>
      </c>
      <c r="P112" t="s">
        <v>107</v>
      </c>
      <c r="Q112" t="s">
        <v>1590</v>
      </c>
      <c r="R112" t="s">
        <v>182</v>
      </c>
      <c r="S112" t="s">
        <v>183</v>
      </c>
      <c r="T112" t="s">
        <v>184</v>
      </c>
      <c r="U112" t="s">
        <v>112</v>
      </c>
      <c r="V112" t="s">
        <v>82</v>
      </c>
      <c r="W112" t="s">
        <v>182</v>
      </c>
      <c r="X112" t="s">
        <v>183</v>
      </c>
      <c r="Y112" t="s">
        <v>184</v>
      </c>
      <c r="Z112" t="s">
        <v>112</v>
      </c>
      <c r="AA112" t="s">
        <v>82</v>
      </c>
      <c r="AB112" t="s">
        <v>83</v>
      </c>
      <c r="AC112" t="s">
        <v>202</v>
      </c>
      <c r="AD112" t="s">
        <v>186</v>
      </c>
      <c r="AE112" t="s">
        <v>1591</v>
      </c>
      <c r="AF112" t="s">
        <v>186</v>
      </c>
      <c r="AG112" t="s">
        <v>1592</v>
      </c>
      <c r="AH112">
        <v>2</v>
      </c>
      <c r="AI112">
        <v>205920</v>
      </c>
      <c r="AJ112">
        <v>26769</v>
      </c>
      <c r="AK112">
        <v>0</v>
      </c>
      <c r="AL112">
        <v>232689</v>
      </c>
      <c r="AM112" t="s">
        <v>182</v>
      </c>
      <c r="AN112" t="s">
        <v>183</v>
      </c>
      <c r="AO112" t="s">
        <v>184</v>
      </c>
      <c r="AP112" t="s">
        <v>112</v>
      </c>
      <c r="AQ112" t="s">
        <v>82</v>
      </c>
      <c r="AR112" t="s">
        <v>1593</v>
      </c>
      <c r="AS112" s="3">
        <v>46202.465223999308</v>
      </c>
      <c r="AT112" t="s">
        <v>89</v>
      </c>
      <c r="AU112" t="s">
        <v>90</v>
      </c>
      <c r="AV112" t="s">
        <v>91</v>
      </c>
      <c r="AW112" t="s">
        <v>92</v>
      </c>
      <c r="AX112" t="s">
        <v>93</v>
      </c>
      <c r="AY112" t="s">
        <v>94</v>
      </c>
      <c r="AZ112" t="s">
        <v>85</v>
      </c>
      <c r="BA112" t="s">
        <v>1594</v>
      </c>
      <c r="BB112" t="s">
        <v>1584</v>
      </c>
      <c r="BC112" t="s">
        <v>1586</v>
      </c>
      <c r="BD112" t="s">
        <v>182</v>
      </c>
      <c r="BE112" t="s">
        <v>183</v>
      </c>
      <c r="BF112" t="b">
        <f t="shared" si="1"/>
        <v>1</v>
      </c>
      <c r="BG112" t="b">
        <v>1</v>
      </c>
      <c r="BH112">
        <v>2001</v>
      </c>
      <c r="BI112" t="b">
        <v>1</v>
      </c>
      <c r="BJ112" t="s">
        <v>96</v>
      </c>
      <c r="BK112" t="s">
        <v>191</v>
      </c>
      <c r="BL112" t="b">
        <v>1</v>
      </c>
      <c r="BM112" t="b">
        <v>1</v>
      </c>
      <c r="BN112" t="b">
        <v>1</v>
      </c>
      <c r="BO112" t="s">
        <v>1595</v>
      </c>
      <c r="BP112" t="b">
        <f>IF(IFERROR(VLOOKUP(A112,[1]Planilha1!$A:$A,1,0),FALSE)=FALSE,FALSE,TRUE)</f>
        <v>1</v>
      </c>
    </row>
    <row r="113" spans="1:68" x14ac:dyDescent="0.25">
      <c r="A113" t="s">
        <v>1596</v>
      </c>
      <c r="B113" t="s">
        <v>68</v>
      </c>
      <c r="D113" s="1">
        <v>46204</v>
      </c>
      <c r="E113" s="1">
        <v>47664</v>
      </c>
      <c r="F113" t="s">
        <v>1597</v>
      </c>
      <c r="G113" t="s">
        <v>1598</v>
      </c>
      <c r="H113" s="2" t="s">
        <v>1599</v>
      </c>
      <c r="I113" t="s">
        <v>1598</v>
      </c>
      <c r="K113" t="s">
        <v>1600</v>
      </c>
      <c r="L113">
        <v>5116192</v>
      </c>
      <c r="M113" t="s">
        <v>1601</v>
      </c>
      <c r="N113" t="s">
        <v>1602</v>
      </c>
      <c r="O113" t="s">
        <v>106</v>
      </c>
      <c r="P113" t="s">
        <v>107</v>
      </c>
      <c r="Q113" t="s">
        <v>1603</v>
      </c>
      <c r="R113" t="s">
        <v>182</v>
      </c>
      <c r="S113" t="s">
        <v>183</v>
      </c>
      <c r="T113" t="s">
        <v>184</v>
      </c>
      <c r="U113" t="s">
        <v>112</v>
      </c>
      <c r="V113" t="s">
        <v>82</v>
      </c>
      <c r="W113" t="s">
        <v>182</v>
      </c>
      <c r="X113" t="s">
        <v>183</v>
      </c>
      <c r="Y113" t="s">
        <v>184</v>
      </c>
      <c r="Z113" t="s">
        <v>112</v>
      </c>
      <c r="AA113" t="s">
        <v>82</v>
      </c>
      <c r="AB113" t="s">
        <v>83</v>
      </c>
      <c r="AC113" t="s">
        <v>113</v>
      </c>
      <c r="AD113" t="s">
        <v>1604</v>
      </c>
      <c r="AE113" t="s">
        <v>1605</v>
      </c>
      <c r="AF113" t="s">
        <v>547</v>
      </c>
      <c r="AG113" t="s">
        <v>1606</v>
      </c>
      <c r="AH113">
        <v>7</v>
      </c>
      <c r="AI113">
        <v>1157910</v>
      </c>
      <c r="AJ113">
        <v>126709</v>
      </c>
      <c r="AK113">
        <v>0</v>
      </c>
      <c r="AL113">
        <v>1284619</v>
      </c>
      <c r="AM113" t="s">
        <v>182</v>
      </c>
      <c r="AN113" t="s">
        <v>183</v>
      </c>
      <c r="AO113" t="s">
        <v>184</v>
      </c>
      <c r="AP113" t="s">
        <v>112</v>
      </c>
      <c r="AQ113" t="s">
        <v>82</v>
      </c>
      <c r="AR113" t="s">
        <v>1607</v>
      </c>
      <c r="AS113" s="3">
        <v>46202.465223999308</v>
      </c>
      <c r="AT113" t="s">
        <v>89</v>
      </c>
      <c r="AU113" t="s">
        <v>90</v>
      </c>
      <c r="AV113" t="s">
        <v>91</v>
      </c>
      <c r="AW113" t="s">
        <v>92</v>
      </c>
      <c r="AX113" t="s">
        <v>93</v>
      </c>
      <c r="AY113" t="s">
        <v>94</v>
      </c>
      <c r="AZ113" t="s">
        <v>85</v>
      </c>
      <c r="BA113" t="s">
        <v>1608</v>
      </c>
      <c r="BB113" t="s">
        <v>1596</v>
      </c>
      <c r="BC113" t="s">
        <v>1598</v>
      </c>
      <c r="BD113" t="s">
        <v>182</v>
      </c>
      <c r="BE113" t="s">
        <v>183</v>
      </c>
      <c r="BF113" t="b">
        <f t="shared" si="1"/>
        <v>1</v>
      </c>
      <c r="BG113" t="b">
        <v>1</v>
      </c>
      <c r="BH113">
        <v>1994</v>
      </c>
      <c r="BI113" t="b">
        <v>1</v>
      </c>
      <c r="BJ113" t="s">
        <v>96</v>
      </c>
      <c r="BK113" t="s">
        <v>191</v>
      </c>
      <c r="BL113" t="b">
        <v>1</v>
      </c>
      <c r="BM113" t="b">
        <v>1</v>
      </c>
      <c r="BN113" t="b">
        <v>1</v>
      </c>
      <c r="BO113" t="s">
        <v>1609</v>
      </c>
      <c r="BP113" t="b">
        <f>IF(IFERROR(VLOOKUP(A113,[1]Planilha1!$A:$A,1,0),FALSE)=FALSE,FALSE,TRUE)</f>
        <v>1</v>
      </c>
    </row>
    <row r="114" spans="1:68" x14ac:dyDescent="0.25">
      <c r="A114" t="s">
        <v>1610</v>
      </c>
      <c r="B114" t="s">
        <v>68</v>
      </c>
      <c r="D114" s="1">
        <v>46204</v>
      </c>
      <c r="E114" s="1">
        <v>47664</v>
      </c>
      <c r="F114" t="s">
        <v>1611</v>
      </c>
      <c r="G114" t="s">
        <v>1612</v>
      </c>
      <c r="H114" s="2" t="s">
        <v>1613</v>
      </c>
      <c r="I114" t="s">
        <v>1612</v>
      </c>
      <c r="K114" t="s">
        <v>1614</v>
      </c>
      <c r="L114">
        <v>5116665</v>
      </c>
      <c r="M114" t="s">
        <v>1615</v>
      </c>
      <c r="N114" t="s">
        <v>809</v>
      </c>
      <c r="O114" t="s">
        <v>810</v>
      </c>
      <c r="P114" t="s">
        <v>76</v>
      </c>
      <c r="Q114" t="s">
        <v>1312</v>
      </c>
      <c r="R114" t="s">
        <v>78</v>
      </c>
      <c r="S114" t="s">
        <v>79</v>
      </c>
      <c r="T114" t="s">
        <v>80</v>
      </c>
      <c r="U114" t="s">
        <v>81</v>
      </c>
      <c r="V114" t="s">
        <v>82</v>
      </c>
      <c r="W114" t="s">
        <v>78</v>
      </c>
      <c r="X114" t="s">
        <v>79</v>
      </c>
      <c r="Y114" t="s">
        <v>80</v>
      </c>
      <c r="Z114" t="s">
        <v>81</v>
      </c>
      <c r="AA114" t="s">
        <v>82</v>
      </c>
      <c r="AB114" t="s">
        <v>83</v>
      </c>
      <c r="AC114" t="s">
        <v>84</v>
      </c>
      <c r="AD114" t="s">
        <v>149</v>
      </c>
      <c r="AE114" t="s">
        <v>1616</v>
      </c>
      <c r="AF114" t="s">
        <v>85</v>
      </c>
      <c r="AG114" t="s">
        <v>1617</v>
      </c>
      <c r="AH114">
        <v>8</v>
      </c>
      <c r="AI114">
        <v>1285440</v>
      </c>
      <c r="AJ114">
        <v>142000</v>
      </c>
      <c r="AK114">
        <v>0</v>
      </c>
      <c r="AL114">
        <v>1427440</v>
      </c>
      <c r="AM114" t="s">
        <v>78</v>
      </c>
      <c r="AN114" t="s">
        <v>79</v>
      </c>
      <c r="AO114" t="s">
        <v>80</v>
      </c>
      <c r="AP114" t="s">
        <v>81</v>
      </c>
      <c r="AQ114" t="s">
        <v>82</v>
      </c>
      <c r="AR114" t="s">
        <v>1618</v>
      </c>
      <c r="AS114" s="3">
        <v>46202.465223999308</v>
      </c>
      <c r="AT114" t="s">
        <v>89</v>
      </c>
      <c r="AU114" t="s">
        <v>90</v>
      </c>
      <c r="AV114" t="s">
        <v>91</v>
      </c>
      <c r="AW114" t="s">
        <v>92</v>
      </c>
      <c r="AX114" t="s">
        <v>93</v>
      </c>
      <c r="AY114" t="s">
        <v>94</v>
      </c>
      <c r="AZ114" t="s">
        <v>85</v>
      </c>
      <c r="BA114" t="s">
        <v>1619</v>
      </c>
      <c r="BB114" t="s">
        <v>1610</v>
      </c>
      <c r="BC114" t="s">
        <v>1612</v>
      </c>
      <c r="BD114" t="s">
        <v>78</v>
      </c>
      <c r="BE114" t="s">
        <v>79</v>
      </c>
      <c r="BF114" t="b">
        <f t="shared" si="1"/>
        <v>1</v>
      </c>
      <c r="BG114" t="b">
        <v>1</v>
      </c>
      <c r="BH114">
        <v>2018</v>
      </c>
      <c r="BI114" t="b">
        <v>1</v>
      </c>
      <c r="BJ114" t="s">
        <v>96</v>
      </c>
      <c r="BK114" t="s">
        <v>97</v>
      </c>
      <c r="BL114" t="b">
        <v>1</v>
      </c>
      <c r="BM114" t="b">
        <v>1</v>
      </c>
      <c r="BN114" t="b">
        <v>1</v>
      </c>
      <c r="BO114" t="s">
        <v>1620</v>
      </c>
      <c r="BP114" t="b">
        <f>IF(IFERROR(VLOOKUP(A114,[1]Planilha1!$A:$A,1,0),FALSE)=FALSE,FALSE,TRUE)</f>
        <v>1</v>
      </c>
    </row>
    <row r="115" spans="1:68" x14ac:dyDescent="0.25">
      <c r="A115" s="4" t="s">
        <v>1621</v>
      </c>
      <c r="B115" t="s">
        <v>68</v>
      </c>
      <c r="D115" s="1">
        <v>46204</v>
      </c>
      <c r="E115" s="1">
        <v>47664</v>
      </c>
      <c r="F115" t="s">
        <v>1622</v>
      </c>
      <c r="G115" s="4" t="s">
        <v>1623</v>
      </c>
      <c r="H115" s="2" t="s">
        <v>1624</v>
      </c>
      <c r="I115" t="s">
        <v>1623</v>
      </c>
      <c r="K115" t="s">
        <v>1625</v>
      </c>
      <c r="L115">
        <v>5116831</v>
      </c>
      <c r="M115" t="s">
        <v>1626</v>
      </c>
      <c r="N115" t="s">
        <v>1602</v>
      </c>
      <c r="O115" t="s">
        <v>106</v>
      </c>
      <c r="P115" t="s">
        <v>107</v>
      </c>
      <c r="Q115" t="s">
        <v>1627</v>
      </c>
      <c r="R115" t="s">
        <v>182</v>
      </c>
      <c r="S115" t="s">
        <v>183</v>
      </c>
      <c r="T115" t="s">
        <v>184</v>
      </c>
      <c r="U115" t="s">
        <v>112</v>
      </c>
      <c r="V115" t="s">
        <v>82</v>
      </c>
      <c r="W115" t="s">
        <v>182</v>
      </c>
      <c r="X115" t="s">
        <v>183</v>
      </c>
      <c r="Y115" t="s">
        <v>184</v>
      </c>
      <c r="Z115" t="s">
        <v>112</v>
      </c>
      <c r="AA115" t="s">
        <v>82</v>
      </c>
      <c r="AB115" t="s">
        <v>83</v>
      </c>
      <c r="AC115" t="s">
        <v>113</v>
      </c>
      <c r="AD115" t="s">
        <v>85</v>
      </c>
      <c r="AE115" t="s">
        <v>1628</v>
      </c>
      <c r="AF115" t="s">
        <v>85</v>
      </c>
      <c r="AG115" t="s">
        <v>1629</v>
      </c>
      <c r="AH115">
        <v>17</v>
      </c>
      <c r="AI115">
        <v>962096</v>
      </c>
      <c r="AJ115">
        <v>90000</v>
      </c>
      <c r="AK115">
        <v>0</v>
      </c>
      <c r="AL115">
        <v>1052096</v>
      </c>
      <c r="AR115" t="s">
        <v>1630</v>
      </c>
      <c r="AS115" s="3">
        <v>46202.465223999308</v>
      </c>
      <c r="AT115" t="s">
        <v>89</v>
      </c>
      <c r="AU115" t="s">
        <v>90</v>
      </c>
      <c r="AV115" t="s">
        <v>91</v>
      </c>
      <c r="AW115" t="s">
        <v>92</v>
      </c>
      <c r="AX115" t="s">
        <v>93</v>
      </c>
      <c r="AY115" t="s">
        <v>94</v>
      </c>
      <c r="AZ115" t="s">
        <v>85</v>
      </c>
      <c r="BA115" t="s">
        <v>1631</v>
      </c>
      <c r="BB115" s="4" t="s">
        <v>1621</v>
      </c>
      <c r="BC115" s="4" t="s">
        <v>1623</v>
      </c>
      <c r="BD115" s="4" t="s">
        <v>182</v>
      </c>
      <c r="BE115" s="4" t="s">
        <v>183</v>
      </c>
      <c r="BF115" s="4" t="b">
        <f>TRUE</f>
        <v>1</v>
      </c>
      <c r="BG115" t="b">
        <v>1</v>
      </c>
      <c r="BH115">
        <v>2023</v>
      </c>
      <c r="BI115" t="b">
        <v>1</v>
      </c>
      <c r="BJ115" t="s">
        <v>96</v>
      </c>
      <c r="BK115" t="s">
        <v>191</v>
      </c>
      <c r="BL115" t="b">
        <v>1</v>
      </c>
      <c r="BM115" s="4" t="b">
        <f>TRUE</f>
        <v>1</v>
      </c>
      <c r="BN115" t="b">
        <f>TRUE</f>
        <v>1</v>
      </c>
      <c r="BO115" t="s">
        <v>1632</v>
      </c>
      <c r="BP115" t="b">
        <f>IF(IFERROR(VLOOKUP(A115,[1]Planilha1!$A:$A,1,0),FALSE)=FALSE,FALSE,TRUE)</f>
        <v>1</v>
      </c>
    </row>
    <row r="116" spans="1:68" x14ac:dyDescent="0.25">
      <c r="A116" t="s">
        <v>1633</v>
      </c>
      <c r="B116" t="s">
        <v>68</v>
      </c>
      <c r="D116" s="1">
        <v>46204</v>
      </c>
      <c r="E116" s="1">
        <v>47664</v>
      </c>
      <c r="F116" t="s">
        <v>1634</v>
      </c>
      <c r="G116" t="s">
        <v>1635</v>
      </c>
      <c r="H116" s="2" t="s">
        <v>1636</v>
      </c>
      <c r="I116" t="s">
        <v>1635</v>
      </c>
      <c r="K116" t="s">
        <v>1637</v>
      </c>
      <c r="L116">
        <v>5110731</v>
      </c>
      <c r="M116" t="s">
        <v>1638</v>
      </c>
      <c r="N116" t="s">
        <v>1639</v>
      </c>
      <c r="O116" t="s">
        <v>1640</v>
      </c>
      <c r="P116" t="s">
        <v>529</v>
      </c>
      <c r="Q116" t="s">
        <v>1641</v>
      </c>
      <c r="R116" t="s">
        <v>1642</v>
      </c>
      <c r="S116" t="s">
        <v>1643</v>
      </c>
      <c r="T116" t="s">
        <v>1644</v>
      </c>
      <c r="U116" t="s">
        <v>134</v>
      </c>
      <c r="V116" t="s">
        <v>82</v>
      </c>
      <c r="W116" t="s">
        <v>1642</v>
      </c>
      <c r="X116" t="s">
        <v>1643</v>
      </c>
      <c r="Y116" t="s">
        <v>1644</v>
      </c>
      <c r="Z116" t="s">
        <v>134</v>
      </c>
      <c r="AA116" t="s">
        <v>82</v>
      </c>
      <c r="AB116" t="s">
        <v>83</v>
      </c>
      <c r="AC116" t="s">
        <v>1013</v>
      </c>
      <c r="AD116" t="s">
        <v>186</v>
      </c>
      <c r="AE116" t="s">
        <v>1645</v>
      </c>
      <c r="AF116" t="s">
        <v>186</v>
      </c>
      <c r="AG116" t="s">
        <v>1646</v>
      </c>
      <c r="AH116">
        <v>21</v>
      </c>
      <c r="AI116">
        <v>1326720</v>
      </c>
      <c r="AJ116">
        <v>132319.20000000001</v>
      </c>
      <c r="AK116">
        <v>0</v>
      </c>
      <c r="AL116">
        <v>1459039.2</v>
      </c>
      <c r="AM116" t="s">
        <v>1642</v>
      </c>
      <c r="AN116" t="s">
        <v>1643</v>
      </c>
      <c r="AO116" t="s">
        <v>1644</v>
      </c>
      <c r="AP116" t="s">
        <v>134</v>
      </c>
      <c r="AQ116" t="s">
        <v>82</v>
      </c>
      <c r="AR116" t="s">
        <v>1647</v>
      </c>
      <c r="AS116" s="3">
        <v>46202.465223999308</v>
      </c>
      <c r="AT116" t="s">
        <v>89</v>
      </c>
      <c r="AU116" t="s">
        <v>90</v>
      </c>
      <c r="AV116" t="s">
        <v>91</v>
      </c>
      <c r="AW116" t="s">
        <v>92</v>
      </c>
      <c r="AX116" t="s">
        <v>93</v>
      </c>
      <c r="AY116" t="s">
        <v>94</v>
      </c>
      <c r="AZ116" t="s">
        <v>85</v>
      </c>
      <c r="BA116" t="s">
        <v>1648</v>
      </c>
      <c r="BB116" t="s">
        <v>1633</v>
      </c>
      <c r="BC116" t="s">
        <v>1635</v>
      </c>
      <c r="BD116" t="s">
        <v>1642</v>
      </c>
      <c r="BE116" t="s">
        <v>1643</v>
      </c>
      <c r="BF116" t="b">
        <f t="shared" si="1"/>
        <v>0</v>
      </c>
      <c r="BG116" t="b">
        <v>0</v>
      </c>
      <c r="BH116">
        <v>2013</v>
      </c>
      <c r="BI116" t="b">
        <v>0</v>
      </c>
      <c r="BJ116" t="s">
        <v>96</v>
      </c>
      <c r="BK116" t="s">
        <v>272</v>
      </c>
      <c r="BL116" t="b">
        <v>1</v>
      </c>
      <c r="BM116" t="b">
        <v>1</v>
      </c>
      <c r="BN116" t="b">
        <v>1</v>
      </c>
      <c r="BO116" t="s">
        <v>1649</v>
      </c>
      <c r="BP116" t="b">
        <f>IF(IFERROR(VLOOKUP(A116,[1]Planilha1!$A:$A,1,0),FALSE)=FALSE,FALSE,TRUE)</f>
        <v>0</v>
      </c>
    </row>
    <row r="117" spans="1:68" x14ac:dyDescent="0.25">
      <c r="A117" t="s">
        <v>1650</v>
      </c>
      <c r="B117" t="s">
        <v>68</v>
      </c>
      <c r="D117" s="1">
        <v>46204</v>
      </c>
      <c r="E117" s="1">
        <v>47664</v>
      </c>
      <c r="F117" t="s">
        <v>1651</v>
      </c>
      <c r="G117" t="s">
        <v>1652</v>
      </c>
      <c r="H117" s="2" t="s">
        <v>1653</v>
      </c>
      <c r="I117" t="s">
        <v>1652</v>
      </c>
      <c r="K117" t="s">
        <v>1654</v>
      </c>
      <c r="L117">
        <v>5111933</v>
      </c>
      <c r="M117" t="s">
        <v>1655</v>
      </c>
      <c r="N117" t="s">
        <v>179</v>
      </c>
      <c r="O117" t="s">
        <v>180</v>
      </c>
      <c r="P117" t="s">
        <v>129</v>
      </c>
      <c r="Q117" t="s">
        <v>181</v>
      </c>
      <c r="R117" t="s">
        <v>182</v>
      </c>
      <c r="S117" t="s">
        <v>183</v>
      </c>
      <c r="T117" t="s">
        <v>184</v>
      </c>
      <c r="U117" t="s">
        <v>112</v>
      </c>
      <c r="V117" t="s">
        <v>82</v>
      </c>
      <c r="W117" t="s">
        <v>182</v>
      </c>
      <c r="X117" t="s">
        <v>183</v>
      </c>
      <c r="Y117" t="s">
        <v>184</v>
      </c>
      <c r="Z117" t="s">
        <v>112</v>
      </c>
      <c r="AA117" t="s">
        <v>82</v>
      </c>
      <c r="AB117" t="s">
        <v>83</v>
      </c>
      <c r="AC117" t="s">
        <v>185</v>
      </c>
      <c r="AD117" t="s">
        <v>186</v>
      </c>
      <c r="AE117" t="s">
        <v>1656</v>
      </c>
      <c r="AF117" t="s">
        <v>1239</v>
      </c>
      <c r="AG117" t="s">
        <v>1657</v>
      </c>
      <c r="AH117">
        <v>3</v>
      </c>
      <c r="AI117">
        <v>501280</v>
      </c>
      <c r="AJ117">
        <v>50000</v>
      </c>
      <c r="AK117">
        <v>0</v>
      </c>
      <c r="AL117">
        <v>551280</v>
      </c>
      <c r="AR117" t="s">
        <v>1658</v>
      </c>
      <c r="AS117" s="3">
        <v>46202.465223999308</v>
      </c>
      <c r="AT117" t="s">
        <v>89</v>
      </c>
      <c r="AU117" t="s">
        <v>90</v>
      </c>
      <c r="AV117" t="s">
        <v>91</v>
      </c>
      <c r="AW117" t="s">
        <v>92</v>
      </c>
      <c r="AX117" t="s">
        <v>93</v>
      </c>
      <c r="AY117" t="s">
        <v>94</v>
      </c>
      <c r="AZ117" t="s">
        <v>85</v>
      </c>
      <c r="BA117" t="s">
        <v>1659</v>
      </c>
      <c r="BB117" t="s">
        <v>1650</v>
      </c>
      <c r="BC117" t="s">
        <v>1652</v>
      </c>
      <c r="BD117" t="s">
        <v>182</v>
      </c>
      <c r="BE117" t="s">
        <v>183</v>
      </c>
      <c r="BF117" t="b">
        <f t="shared" si="1"/>
        <v>1</v>
      </c>
      <c r="BG117" t="b">
        <v>1</v>
      </c>
      <c r="BH117">
        <v>1993</v>
      </c>
      <c r="BI117" t="b">
        <v>1</v>
      </c>
      <c r="BJ117" t="s">
        <v>96</v>
      </c>
      <c r="BK117" t="s">
        <v>191</v>
      </c>
      <c r="BL117" t="b">
        <v>1</v>
      </c>
      <c r="BM117" t="b">
        <v>1</v>
      </c>
      <c r="BN117" t="b">
        <v>1</v>
      </c>
      <c r="BO117" t="s">
        <v>1660</v>
      </c>
      <c r="BP117" t="b">
        <f>IF(IFERROR(VLOOKUP(A117,[1]Planilha1!$A:$A,1,0),FALSE)=FALSE,FALSE,TRUE)</f>
        <v>1</v>
      </c>
    </row>
    <row r="118" spans="1:68" x14ac:dyDescent="0.25">
      <c r="A118" t="s">
        <v>1661</v>
      </c>
      <c r="B118" t="s">
        <v>68</v>
      </c>
      <c r="D118" s="1">
        <v>46204</v>
      </c>
      <c r="E118" s="1">
        <v>47664</v>
      </c>
      <c r="F118" t="s">
        <v>1651</v>
      </c>
      <c r="G118" t="s">
        <v>1652</v>
      </c>
      <c r="H118" s="2" t="s">
        <v>1653</v>
      </c>
      <c r="I118" t="s">
        <v>1652</v>
      </c>
      <c r="K118" t="s">
        <v>1662</v>
      </c>
      <c r="L118">
        <v>5111188</v>
      </c>
      <c r="M118" t="s">
        <v>1655</v>
      </c>
      <c r="N118" t="s">
        <v>179</v>
      </c>
      <c r="O118" t="s">
        <v>180</v>
      </c>
      <c r="P118" t="s">
        <v>129</v>
      </c>
      <c r="Q118" t="s">
        <v>181</v>
      </c>
      <c r="R118" t="s">
        <v>182</v>
      </c>
      <c r="S118" t="s">
        <v>183</v>
      </c>
      <c r="T118" t="s">
        <v>184</v>
      </c>
      <c r="U118" t="s">
        <v>112</v>
      </c>
      <c r="V118" t="s">
        <v>82</v>
      </c>
      <c r="W118" t="s">
        <v>182</v>
      </c>
      <c r="X118" t="s">
        <v>183</v>
      </c>
      <c r="Y118" t="s">
        <v>184</v>
      </c>
      <c r="Z118" t="s">
        <v>112</v>
      </c>
      <c r="AA118" t="s">
        <v>82</v>
      </c>
      <c r="AB118" t="s">
        <v>83</v>
      </c>
      <c r="AC118" t="s">
        <v>185</v>
      </c>
      <c r="AD118" t="s">
        <v>167</v>
      </c>
      <c r="AE118" t="s">
        <v>1663</v>
      </c>
      <c r="AF118" t="s">
        <v>167</v>
      </c>
      <c r="AG118" t="s">
        <v>1664</v>
      </c>
      <c r="AH118">
        <v>3</v>
      </c>
      <c r="AI118">
        <v>501280</v>
      </c>
      <c r="AJ118">
        <v>50000</v>
      </c>
      <c r="AK118">
        <v>0</v>
      </c>
      <c r="AL118">
        <v>551280</v>
      </c>
      <c r="AR118" t="s">
        <v>1658</v>
      </c>
      <c r="AS118" s="3">
        <v>46202.465223999308</v>
      </c>
      <c r="AT118" t="s">
        <v>89</v>
      </c>
      <c r="AU118" t="s">
        <v>90</v>
      </c>
      <c r="AV118" t="s">
        <v>91</v>
      </c>
      <c r="AW118" t="s">
        <v>92</v>
      </c>
      <c r="AX118" t="s">
        <v>93</v>
      </c>
      <c r="AY118" t="s">
        <v>94</v>
      </c>
      <c r="AZ118" t="s">
        <v>85</v>
      </c>
      <c r="BA118" t="s">
        <v>1659</v>
      </c>
      <c r="BB118" t="s">
        <v>1661</v>
      </c>
      <c r="BC118" t="s">
        <v>1652</v>
      </c>
      <c r="BD118" t="s">
        <v>182</v>
      </c>
      <c r="BE118" t="s">
        <v>183</v>
      </c>
      <c r="BF118" t="b">
        <f t="shared" si="1"/>
        <v>1</v>
      </c>
      <c r="BG118" t="b">
        <v>1</v>
      </c>
      <c r="BH118">
        <v>1993</v>
      </c>
      <c r="BI118" t="b">
        <v>1</v>
      </c>
      <c r="BJ118" t="s">
        <v>96</v>
      </c>
      <c r="BK118" t="s">
        <v>191</v>
      </c>
      <c r="BL118" t="b">
        <v>1</v>
      </c>
      <c r="BM118" t="b">
        <v>1</v>
      </c>
      <c r="BN118" t="b">
        <v>1</v>
      </c>
      <c r="BO118" t="s">
        <v>1660</v>
      </c>
      <c r="BP118" t="b">
        <f>IF(IFERROR(VLOOKUP(A118,[1]Planilha1!$A:$A,1,0),FALSE)=FALSE,FALSE,TRUE)</f>
        <v>1</v>
      </c>
    </row>
    <row r="119" spans="1:68" x14ac:dyDescent="0.25">
      <c r="A119" t="s">
        <v>1665</v>
      </c>
      <c r="B119" t="s">
        <v>68</v>
      </c>
      <c r="D119" s="1">
        <v>46204</v>
      </c>
      <c r="E119" s="1">
        <v>47664</v>
      </c>
      <c r="F119" t="s">
        <v>1666</v>
      </c>
      <c r="G119" t="s">
        <v>1667</v>
      </c>
      <c r="H119" s="2" t="s">
        <v>1668</v>
      </c>
      <c r="I119" t="s">
        <v>1667</v>
      </c>
      <c r="K119" t="s">
        <v>1669</v>
      </c>
      <c r="L119">
        <v>5116690</v>
      </c>
      <c r="M119" t="s">
        <v>1670</v>
      </c>
      <c r="N119" t="s">
        <v>809</v>
      </c>
      <c r="O119" t="s">
        <v>810</v>
      </c>
      <c r="P119" t="s">
        <v>76</v>
      </c>
      <c r="Q119" t="s">
        <v>1312</v>
      </c>
      <c r="R119" t="s">
        <v>362</v>
      </c>
      <c r="S119" t="s">
        <v>363</v>
      </c>
      <c r="T119" t="s">
        <v>364</v>
      </c>
      <c r="U119" t="s">
        <v>81</v>
      </c>
      <c r="V119" t="s">
        <v>82</v>
      </c>
      <c r="W119" t="s">
        <v>362</v>
      </c>
      <c r="X119" t="s">
        <v>363</v>
      </c>
      <c r="Y119" t="s">
        <v>364</v>
      </c>
      <c r="Z119" t="s">
        <v>81</v>
      </c>
      <c r="AA119" t="s">
        <v>82</v>
      </c>
      <c r="AB119" t="s">
        <v>83</v>
      </c>
      <c r="AC119" t="s">
        <v>84</v>
      </c>
      <c r="AD119" t="s">
        <v>149</v>
      </c>
      <c r="AE119" t="s">
        <v>1671</v>
      </c>
      <c r="AF119" t="s">
        <v>85</v>
      </c>
      <c r="AG119" t="s">
        <v>1672</v>
      </c>
      <c r="AH119">
        <v>5</v>
      </c>
      <c r="AI119">
        <v>1010880</v>
      </c>
      <c r="AJ119">
        <v>150000</v>
      </c>
      <c r="AK119">
        <v>0</v>
      </c>
      <c r="AL119">
        <v>1160880</v>
      </c>
      <c r="AR119" t="s">
        <v>1673</v>
      </c>
      <c r="AS119" s="3">
        <v>46202.465223999308</v>
      </c>
      <c r="AT119" t="s">
        <v>89</v>
      </c>
      <c r="AU119" t="s">
        <v>90</v>
      </c>
      <c r="AV119" t="s">
        <v>91</v>
      </c>
      <c r="AW119" t="s">
        <v>92</v>
      </c>
      <c r="AX119" t="s">
        <v>93</v>
      </c>
      <c r="AY119" t="s">
        <v>94</v>
      </c>
      <c r="AZ119" t="s">
        <v>85</v>
      </c>
      <c r="BA119" t="s">
        <v>1674</v>
      </c>
      <c r="BB119" t="s">
        <v>1665</v>
      </c>
      <c r="BC119" t="s">
        <v>1667</v>
      </c>
      <c r="BD119" t="s">
        <v>362</v>
      </c>
      <c r="BE119" t="s">
        <v>363</v>
      </c>
      <c r="BF119" t="b">
        <f t="shared" si="1"/>
        <v>0</v>
      </c>
      <c r="BG119" t="b">
        <v>1</v>
      </c>
      <c r="BH119">
        <v>2017</v>
      </c>
      <c r="BI119" t="b">
        <v>1</v>
      </c>
      <c r="BJ119" t="s">
        <v>96</v>
      </c>
      <c r="BK119" t="s">
        <v>369</v>
      </c>
      <c r="BL119" t="b">
        <v>1</v>
      </c>
      <c r="BM119" t="b">
        <v>0</v>
      </c>
      <c r="BN119" t="b">
        <v>0</v>
      </c>
      <c r="BP119" t="b">
        <f>IF(IFERROR(VLOOKUP(A119,[1]Planilha1!$A:$A,1,0),FALSE)=FALSE,FALSE,TRUE)</f>
        <v>0</v>
      </c>
    </row>
    <row r="120" spans="1:68" x14ac:dyDescent="0.25">
      <c r="A120" t="s">
        <v>1675</v>
      </c>
      <c r="B120" t="s">
        <v>68</v>
      </c>
      <c r="D120" s="1">
        <v>46204</v>
      </c>
      <c r="E120" s="1">
        <v>47664</v>
      </c>
      <c r="F120" t="s">
        <v>1676</v>
      </c>
      <c r="G120" t="s">
        <v>1677</v>
      </c>
      <c r="H120" s="2" t="s">
        <v>1678</v>
      </c>
      <c r="I120" t="s">
        <v>1677</v>
      </c>
      <c r="K120" t="s">
        <v>1679</v>
      </c>
      <c r="L120">
        <v>5116735</v>
      </c>
      <c r="M120" t="s">
        <v>1680</v>
      </c>
      <c r="N120" t="s">
        <v>1602</v>
      </c>
      <c r="O120" t="s">
        <v>106</v>
      </c>
      <c r="P120" t="s">
        <v>107</v>
      </c>
      <c r="Q120" t="s">
        <v>1681</v>
      </c>
      <c r="R120" t="s">
        <v>1682</v>
      </c>
      <c r="S120" t="s">
        <v>1683</v>
      </c>
      <c r="T120" t="s">
        <v>1644</v>
      </c>
      <c r="U120" t="s">
        <v>134</v>
      </c>
      <c r="V120" t="s">
        <v>82</v>
      </c>
      <c r="W120" t="s">
        <v>1682</v>
      </c>
      <c r="X120" t="s">
        <v>1683</v>
      </c>
      <c r="Y120" t="s">
        <v>1644</v>
      </c>
      <c r="Z120" t="s">
        <v>134</v>
      </c>
      <c r="AA120" t="s">
        <v>82</v>
      </c>
      <c r="AB120" t="s">
        <v>83</v>
      </c>
      <c r="AC120" t="s">
        <v>113</v>
      </c>
      <c r="AD120" t="s">
        <v>85</v>
      </c>
      <c r="AE120" t="s">
        <v>1684</v>
      </c>
      <c r="AF120" t="s">
        <v>85</v>
      </c>
      <c r="AG120" t="s">
        <v>1685</v>
      </c>
      <c r="AH120">
        <v>11</v>
      </c>
      <c r="AI120">
        <v>1305408</v>
      </c>
      <c r="AJ120">
        <v>130540</v>
      </c>
      <c r="AK120">
        <v>0</v>
      </c>
      <c r="AL120">
        <v>1435948</v>
      </c>
      <c r="AM120" t="s">
        <v>1682</v>
      </c>
      <c r="AN120" t="s">
        <v>1683</v>
      </c>
      <c r="AO120" t="s">
        <v>1644</v>
      </c>
      <c r="AP120" t="s">
        <v>134</v>
      </c>
      <c r="AQ120" t="s">
        <v>82</v>
      </c>
      <c r="AR120" t="s">
        <v>1686</v>
      </c>
      <c r="AS120" s="3">
        <v>46202.465223999308</v>
      </c>
      <c r="AT120" t="s">
        <v>89</v>
      </c>
      <c r="AU120" t="s">
        <v>90</v>
      </c>
      <c r="AV120" t="s">
        <v>91</v>
      </c>
      <c r="AW120" t="s">
        <v>92</v>
      </c>
      <c r="AX120" t="s">
        <v>93</v>
      </c>
      <c r="AY120" t="s">
        <v>94</v>
      </c>
      <c r="AZ120" t="s">
        <v>85</v>
      </c>
      <c r="BA120" t="s">
        <v>1687</v>
      </c>
      <c r="BB120" t="s">
        <v>1675</v>
      </c>
      <c r="BC120" t="s">
        <v>1677</v>
      </c>
      <c r="BD120" t="s">
        <v>1682</v>
      </c>
      <c r="BE120" t="s">
        <v>1683</v>
      </c>
      <c r="BF120" t="b">
        <f t="shared" si="1"/>
        <v>0</v>
      </c>
      <c r="BG120" t="b">
        <v>0</v>
      </c>
      <c r="BH120">
        <v>2002</v>
      </c>
      <c r="BI120" t="b">
        <v>0</v>
      </c>
      <c r="BJ120" t="s">
        <v>96</v>
      </c>
      <c r="BK120" t="s">
        <v>119</v>
      </c>
      <c r="BL120" t="b">
        <v>1</v>
      </c>
      <c r="BM120" t="b">
        <v>1</v>
      </c>
      <c r="BN120" t="b">
        <v>1</v>
      </c>
      <c r="BO120" t="s">
        <v>1688</v>
      </c>
      <c r="BP120" t="b">
        <f>IF(IFERROR(VLOOKUP(A120,[1]Planilha1!$A:$A,1,0),FALSE)=FALSE,FALSE,TRUE)</f>
        <v>0</v>
      </c>
    </row>
    <row r="121" spans="1:68" x14ac:dyDescent="0.25">
      <c r="A121" t="s">
        <v>1689</v>
      </c>
      <c r="B121" t="s">
        <v>68</v>
      </c>
      <c r="D121" s="1">
        <v>46204</v>
      </c>
      <c r="E121" s="1">
        <v>47664</v>
      </c>
      <c r="F121" t="s">
        <v>1690</v>
      </c>
      <c r="G121" t="s">
        <v>1691</v>
      </c>
      <c r="H121" s="2" t="s">
        <v>1692</v>
      </c>
      <c r="I121" t="s">
        <v>1691</v>
      </c>
      <c r="K121" t="s">
        <v>1693</v>
      </c>
      <c r="L121">
        <v>5116856</v>
      </c>
      <c r="M121" t="s">
        <v>1694</v>
      </c>
      <c r="N121" t="s">
        <v>328</v>
      </c>
      <c r="O121" t="s">
        <v>329</v>
      </c>
      <c r="P121" t="s">
        <v>439</v>
      </c>
      <c r="Q121" t="s">
        <v>440</v>
      </c>
      <c r="R121" t="s">
        <v>331</v>
      </c>
      <c r="S121" t="s">
        <v>332</v>
      </c>
      <c r="T121" t="s">
        <v>111</v>
      </c>
      <c r="U121" t="s">
        <v>112</v>
      </c>
      <c r="V121" t="s">
        <v>82</v>
      </c>
      <c r="W121" t="s">
        <v>331</v>
      </c>
      <c r="X121" t="s">
        <v>332</v>
      </c>
      <c r="Y121" t="s">
        <v>111</v>
      </c>
      <c r="Z121" t="s">
        <v>112</v>
      </c>
      <c r="AA121" t="s">
        <v>82</v>
      </c>
      <c r="AB121" t="s">
        <v>83</v>
      </c>
      <c r="AC121" t="s">
        <v>333</v>
      </c>
      <c r="AD121" t="s">
        <v>85</v>
      </c>
      <c r="AE121" t="s">
        <v>1695</v>
      </c>
      <c r="AF121" t="s">
        <v>85</v>
      </c>
      <c r="AG121" t="s">
        <v>1696</v>
      </c>
      <c r="AH121">
        <v>64</v>
      </c>
      <c r="AI121">
        <v>1498510</v>
      </c>
      <c r="AJ121">
        <v>1316</v>
      </c>
      <c r="AK121">
        <v>0</v>
      </c>
      <c r="AL121">
        <v>1499826</v>
      </c>
      <c r="AM121" t="s">
        <v>331</v>
      </c>
      <c r="AN121" t="s">
        <v>332</v>
      </c>
      <c r="AO121" t="s">
        <v>111</v>
      </c>
      <c r="AP121" t="s">
        <v>112</v>
      </c>
      <c r="AQ121" t="s">
        <v>82</v>
      </c>
      <c r="AR121" t="s">
        <v>1697</v>
      </c>
      <c r="AS121" s="3">
        <v>46202.465223999308</v>
      </c>
      <c r="AT121" t="s">
        <v>89</v>
      </c>
      <c r="AU121" t="s">
        <v>90</v>
      </c>
      <c r="AV121" t="s">
        <v>91</v>
      </c>
      <c r="AW121" t="s">
        <v>92</v>
      </c>
      <c r="AX121" t="s">
        <v>93</v>
      </c>
      <c r="AY121" t="s">
        <v>94</v>
      </c>
      <c r="AZ121" t="s">
        <v>85</v>
      </c>
      <c r="BA121" t="s">
        <v>1698</v>
      </c>
      <c r="BB121" t="s">
        <v>1689</v>
      </c>
      <c r="BC121" t="s">
        <v>1691</v>
      </c>
      <c r="BD121" t="s">
        <v>331</v>
      </c>
      <c r="BE121" t="s">
        <v>332</v>
      </c>
      <c r="BF121" t="b">
        <f t="shared" si="1"/>
        <v>1</v>
      </c>
      <c r="BG121" t="b">
        <v>1</v>
      </c>
      <c r="BH121">
        <v>2010</v>
      </c>
      <c r="BI121" t="b">
        <v>1</v>
      </c>
      <c r="BJ121" t="s">
        <v>96</v>
      </c>
      <c r="BK121" t="s">
        <v>338</v>
      </c>
      <c r="BL121" t="b">
        <v>1</v>
      </c>
      <c r="BM121" t="b">
        <v>1</v>
      </c>
      <c r="BN121" t="b">
        <v>1</v>
      </c>
      <c r="BO121" t="s">
        <v>1699</v>
      </c>
      <c r="BP121" t="b">
        <f>IF(IFERROR(VLOOKUP(A121,[1]Planilha1!$A:$A,1,0),FALSE)=FALSE,FALSE,TRUE)</f>
        <v>1</v>
      </c>
    </row>
    <row r="122" spans="1:68" x14ac:dyDescent="0.25">
      <c r="A122" t="s">
        <v>1700</v>
      </c>
      <c r="B122" t="s">
        <v>68</v>
      </c>
      <c r="D122" s="1">
        <v>46204</v>
      </c>
      <c r="E122" s="1">
        <v>47664</v>
      </c>
      <c r="F122" t="s">
        <v>1701</v>
      </c>
      <c r="G122" t="s">
        <v>1702</v>
      </c>
      <c r="H122" s="2" t="s">
        <v>1703</v>
      </c>
      <c r="I122" t="s">
        <v>1702</v>
      </c>
      <c r="K122" t="s">
        <v>1704</v>
      </c>
      <c r="L122">
        <v>5111911</v>
      </c>
      <c r="M122" t="s">
        <v>1705</v>
      </c>
      <c r="N122" t="s">
        <v>1706</v>
      </c>
      <c r="O122" t="s">
        <v>1010</v>
      </c>
      <c r="P122" t="s">
        <v>1011</v>
      </c>
      <c r="Q122" t="s">
        <v>1707</v>
      </c>
      <c r="R122" t="s">
        <v>1708</v>
      </c>
      <c r="S122" t="s">
        <v>1709</v>
      </c>
      <c r="T122" t="s">
        <v>234</v>
      </c>
      <c r="U122" t="s">
        <v>112</v>
      </c>
      <c r="V122" t="s">
        <v>82</v>
      </c>
      <c r="W122" t="s">
        <v>1708</v>
      </c>
      <c r="X122" t="s">
        <v>1709</v>
      </c>
      <c r="Y122" t="s">
        <v>234</v>
      </c>
      <c r="Z122" t="s">
        <v>112</v>
      </c>
      <c r="AA122" t="s">
        <v>82</v>
      </c>
      <c r="AB122" t="s">
        <v>83</v>
      </c>
      <c r="AC122" t="s">
        <v>1013</v>
      </c>
      <c r="AD122" t="s">
        <v>1239</v>
      </c>
      <c r="AE122" t="s">
        <v>1710</v>
      </c>
      <c r="AF122" t="s">
        <v>1239</v>
      </c>
      <c r="AG122" t="s">
        <v>1711</v>
      </c>
      <c r="AH122">
        <v>9</v>
      </c>
      <c r="AI122">
        <v>1360320</v>
      </c>
      <c r="AJ122">
        <v>1360320</v>
      </c>
      <c r="AK122">
        <v>0</v>
      </c>
      <c r="AL122">
        <v>2720640</v>
      </c>
      <c r="AR122" t="s">
        <v>1712</v>
      </c>
      <c r="AS122" s="3">
        <v>46202.465223999308</v>
      </c>
      <c r="AT122" t="s">
        <v>89</v>
      </c>
      <c r="AU122" t="s">
        <v>90</v>
      </c>
      <c r="AV122" t="s">
        <v>91</v>
      </c>
      <c r="AW122" t="s">
        <v>92</v>
      </c>
      <c r="AX122" t="s">
        <v>93</v>
      </c>
      <c r="AY122" t="s">
        <v>94</v>
      </c>
      <c r="AZ122" t="s">
        <v>85</v>
      </c>
      <c r="BA122" t="s">
        <v>1713</v>
      </c>
      <c r="BB122" t="s">
        <v>1700</v>
      </c>
      <c r="BC122" t="s">
        <v>1702</v>
      </c>
      <c r="BD122" t="s">
        <v>1708</v>
      </c>
      <c r="BE122" t="s">
        <v>1709</v>
      </c>
      <c r="BF122" t="b">
        <f t="shared" si="1"/>
        <v>0</v>
      </c>
      <c r="BG122" t="b">
        <v>0</v>
      </c>
      <c r="BH122">
        <v>2006</v>
      </c>
      <c r="BI122" t="b">
        <v>0</v>
      </c>
      <c r="BJ122" t="s">
        <v>96</v>
      </c>
      <c r="BK122" t="s">
        <v>119</v>
      </c>
      <c r="BL122" t="b">
        <v>1</v>
      </c>
      <c r="BM122" t="b">
        <v>0</v>
      </c>
      <c r="BN122" t="b">
        <v>0</v>
      </c>
      <c r="BO122" t="s">
        <v>1714</v>
      </c>
      <c r="BP122" t="b">
        <f>IF(IFERROR(VLOOKUP(A122,[1]Planilha1!$A:$A,1,0),FALSE)=FALSE,FALSE,TRUE)</f>
        <v>0</v>
      </c>
    </row>
    <row r="123" spans="1:68" x14ac:dyDescent="0.25">
      <c r="A123" t="s">
        <v>1715</v>
      </c>
      <c r="B123" t="s">
        <v>68</v>
      </c>
      <c r="D123" s="1">
        <v>46204</v>
      </c>
      <c r="E123" s="1">
        <v>47664</v>
      </c>
      <c r="F123" t="s">
        <v>1716</v>
      </c>
      <c r="G123" t="s">
        <v>1717</v>
      </c>
      <c r="H123" s="2" t="s">
        <v>1718</v>
      </c>
      <c r="I123" t="s">
        <v>1717</v>
      </c>
      <c r="K123" t="s">
        <v>1719</v>
      </c>
      <c r="L123">
        <v>5116373</v>
      </c>
      <c r="M123" t="s">
        <v>1720</v>
      </c>
      <c r="N123" t="s">
        <v>1576</v>
      </c>
      <c r="O123" t="s">
        <v>1577</v>
      </c>
      <c r="P123" t="s">
        <v>439</v>
      </c>
      <c r="Q123" t="s">
        <v>1578</v>
      </c>
      <c r="R123" t="s">
        <v>331</v>
      </c>
      <c r="S123" t="s">
        <v>332</v>
      </c>
      <c r="T123" t="s">
        <v>111</v>
      </c>
      <c r="U123" t="s">
        <v>112</v>
      </c>
      <c r="V123" t="s">
        <v>82</v>
      </c>
      <c r="W123" t="s">
        <v>331</v>
      </c>
      <c r="X123" t="s">
        <v>332</v>
      </c>
      <c r="Y123" t="s">
        <v>111</v>
      </c>
      <c r="Z123" t="s">
        <v>112</v>
      </c>
      <c r="AA123" t="s">
        <v>82</v>
      </c>
      <c r="AB123" t="s">
        <v>83</v>
      </c>
      <c r="AC123" t="s">
        <v>1135</v>
      </c>
      <c r="AD123" t="s">
        <v>252</v>
      </c>
      <c r="AE123" t="s">
        <v>1721</v>
      </c>
      <c r="AF123" t="s">
        <v>252</v>
      </c>
      <c r="AG123" t="s">
        <v>1722</v>
      </c>
      <c r="AH123">
        <v>4</v>
      </c>
      <c r="AI123">
        <v>773760</v>
      </c>
      <c r="AJ123">
        <v>110000</v>
      </c>
      <c r="AK123">
        <v>0</v>
      </c>
      <c r="AL123">
        <v>883760</v>
      </c>
      <c r="AM123" t="s">
        <v>331</v>
      </c>
      <c r="AN123" t="s">
        <v>332</v>
      </c>
      <c r="AO123" t="s">
        <v>111</v>
      </c>
      <c r="AP123" t="s">
        <v>112</v>
      </c>
      <c r="AQ123" t="s">
        <v>82</v>
      </c>
      <c r="AR123" t="s">
        <v>1723</v>
      </c>
      <c r="AS123" s="3">
        <v>46202.465223999308</v>
      </c>
      <c r="AT123" t="s">
        <v>89</v>
      </c>
      <c r="AU123" t="s">
        <v>90</v>
      </c>
      <c r="AV123" t="s">
        <v>91</v>
      </c>
      <c r="AW123" t="s">
        <v>92</v>
      </c>
      <c r="AX123" t="s">
        <v>93</v>
      </c>
      <c r="AY123" t="s">
        <v>94</v>
      </c>
      <c r="AZ123" t="s">
        <v>85</v>
      </c>
      <c r="BA123" t="s">
        <v>1724</v>
      </c>
      <c r="BB123" t="s">
        <v>1715</v>
      </c>
      <c r="BC123" t="s">
        <v>1717</v>
      </c>
      <c r="BD123" t="s">
        <v>331</v>
      </c>
      <c r="BE123" t="s">
        <v>332</v>
      </c>
      <c r="BF123" t="b">
        <f t="shared" si="1"/>
        <v>1</v>
      </c>
      <c r="BG123" t="b">
        <v>1</v>
      </c>
      <c r="BH123">
        <v>1998</v>
      </c>
      <c r="BI123" t="b">
        <v>1</v>
      </c>
      <c r="BJ123" t="s">
        <v>96</v>
      </c>
      <c r="BK123" t="s">
        <v>338</v>
      </c>
      <c r="BL123" t="b">
        <v>1</v>
      </c>
      <c r="BM123" t="b">
        <v>1</v>
      </c>
      <c r="BN123" t="b">
        <v>1</v>
      </c>
      <c r="BO123" t="s">
        <v>1725</v>
      </c>
      <c r="BP123" t="b">
        <f>IF(IFERROR(VLOOKUP(A123,[1]Planilha1!$A:$A,1,0),FALSE)=FALSE,FALSE,TRUE)</f>
        <v>1</v>
      </c>
    </row>
    <row r="124" spans="1:68" x14ac:dyDescent="0.25">
      <c r="A124" t="s">
        <v>1726</v>
      </c>
      <c r="B124" t="s">
        <v>68</v>
      </c>
      <c r="D124" s="1">
        <v>46204</v>
      </c>
      <c r="E124" s="1">
        <v>47664</v>
      </c>
      <c r="F124" t="s">
        <v>1727</v>
      </c>
      <c r="G124" t="s">
        <v>1728</v>
      </c>
      <c r="H124" s="2" t="s">
        <v>1729</v>
      </c>
      <c r="I124" t="s">
        <v>1728</v>
      </c>
      <c r="K124" t="s">
        <v>1730</v>
      </c>
      <c r="L124">
        <v>5116703</v>
      </c>
      <c r="M124" t="s">
        <v>1731</v>
      </c>
      <c r="N124" t="s">
        <v>199</v>
      </c>
      <c r="O124" t="s">
        <v>200</v>
      </c>
      <c r="P124" t="s">
        <v>107</v>
      </c>
      <c r="Q124" t="s">
        <v>1732</v>
      </c>
      <c r="R124" t="s">
        <v>281</v>
      </c>
      <c r="S124" t="s">
        <v>282</v>
      </c>
      <c r="T124" t="s">
        <v>111</v>
      </c>
      <c r="U124" t="s">
        <v>112</v>
      </c>
      <c r="V124" t="s">
        <v>82</v>
      </c>
      <c r="W124" t="s">
        <v>281</v>
      </c>
      <c r="X124" t="s">
        <v>282</v>
      </c>
      <c r="Y124" t="s">
        <v>111</v>
      </c>
      <c r="Z124" t="s">
        <v>112</v>
      </c>
      <c r="AA124" t="s">
        <v>82</v>
      </c>
      <c r="AB124" t="s">
        <v>83</v>
      </c>
      <c r="AC124" t="s">
        <v>202</v>
      </c>
      <c r="AD124" t="s">
        <v>149</v>
      </c>
      <c r="AE124" t="s">
        <v>1733</v>
      </c>
      <c r="AF124" t="s">
        <v>85</v>
      </c>
      <c r="AG124" t="s">
        <v>1734</v>
      </c>
      <c r="AH124">
        <v>6</v>
      </c>
      <c r="AI124">
        <v>798720</v>
      </c>
      <c r="AJ124">
        <v>76150</v>
      </c>
      <c r="AK124">
        <v>0</v>
      </c>
      <c r="AL124">
        <v>874870</v>
      </c>
      <c r="AR124" t="s">
        <v>1735</v>
      </c>
      <c r="AS124" s="3">
        <v>46202.465223999308</v>
      </c>
      <c r="AT124" t="s">
        <v>89</v>
      </c>
      <c r="AU124" t="s">
        <v>90</v>
      </c>
      <c r="AV124" t="s">
        <v>91</v>
      </c>
      <c r="AW124" t="s">
        <v>92</v>
      </c>
      <c r="AX124" t="s">
        <v>93</v>
      </c>
      <c r="AY124" t="s">
        <v>94</v>
      </c>
      <c r="AZ124" t="s">
        <v>85</v>
      </c>
      <c r="BA124" t="s">
        <v>1736</v>
      </c>
      <c r="BB124" t="s">
        <v>1726</v>
      </c>
      <c r="BC124" t="s">
        <v>1728</v>
      </c>
      <c r="BD124" t="s">
        <v>281</v>
      </c>
      <c r="BE124" t="s">
        <v>282</v>
      </c>
      <c r="BF124" t="b">
        <f t="shared" si="1"/>
        <v>1</v>
      </c>
      <c r="BG124" t="b">
        <v>1</v>
      </c>
      <c r="BH124">
        <v>2019</v>
      </c>
      <c r="BI124" t="b">
        <v>1</v>
      </c>
      <c r="BJ124" t="s">
        <v>96</v>
      </c>
      <c r="BK124" t="s">
        <v>287</v>
      </c>
      <c r="BL124" t="b">
        <v>1</v>
      </c>
      <c r="BM124" t="b">
        <v>1</v>
      </c>
      <c r="BN124" t="b">
        <v>1</v>
      </c>
      <c r="BO124" t="s">
        <v>1737</v>
      </c>
      <c r="BP124" t="b">
        <f>IF(IFERROR(VLOOKUP(A124,[1]Planilha1!$A:$A,1,0),FALSE)=FALSE,FALSE,TRUE)</f>
        <v>1</v>
      </c>
    </row>
    <row r="125" spans="1:68" x14ac:dyDescent="0.25">
      <c r="A125" t="s">
        <v>1738</v>
      </c>
      <c r="B125" t="s">
        <v>68</v>
      </c>
      <c r="D125" s="1">
        <v>46204</v>
      </c>
      <c r="E125" s="1">
        <v>47664</v>
      </c>
      <c r="F125" t="s">
        <v>1739</v>
      </c>
      <c r="G125" t="s">
        <v>1740</v>
      </c>
      <c r="H125" s="2" t="s">
        <v>1741</v>
      </c>
      <c r="I125" t="s">
        <v>1740</v>
      </c>
      <c r="K125" t="s">
        <v>1742</v>
      </c>
      <c r="L125">
        <v>5116620</v>
      </c>
      <c r="M125" t="s">
        <v>1743</v>
      </c>
      <c r="N125" t="s">
        <v>328</v>
      </c>
      <c r="O125" t="s">
        <v>329</v>
      </c>
      <c r="P125" t="s">
        <v>439</v>
      </c>
      <c r="Q125" t="s">
        <v>440</v>
      </c>
      <c r="R125" t="s">
        <v>131</v>
      </c>
      <c r="S125" t="s">
        <v>132</v>
      </c>
      <c r="T125" t="s">
        <v>133</v>
      </c>
      <c r="U125" t="s">
        <v>134</v>
      </c>
      <c r="V125" t="s">
        <v>82</v>
      </c>
      <c r="W125" t="s">
        <v>131</v>
      </c>
      <c r="X125" t="s">
        <v>132</v>
      </c>
      <c r="Y125" t="s">
        <v>133</v>
      </c>
      <c r="Z125" t="s">
        <v>134</v>
      </c>
      <c r="AA125" t="s">
        <v>82</v>
      </c>
      <c r="AB125" t="s">
        <v>83</v>
      </c>
      <c r="AC125" t="s">
        <v>333</v>
      </c>
      <c r="AD125" t="s">
        <v>149</v>
      </c>
      <c r="AE125" t="s">
        <v>1744</v>
      </c>
      <c r="AF125" t="s">
        <v>85</v>
      </c>
      <c r="AG125" t="s">
        <v>1745</v>
      </c>
      <c r="AH125">
        <v>11</v>
      </c>
      <c r="AI125">
        <v>865920</v>
      </c>
      <c r="AJ125">
        <v>82272</v>
      </c>
      <c r="AK125">
        <v>0</v>
      </c>
      <c r="AL125">
        <v>948192</v>
      </c>
      <c r="AR125" t="s">
        <v>1746</v>
      </c>
      <c r="AS125" s="3">
        <v>46202.465223999308</v>
      </c>
      <c r="AT125" t="s">
        <v>89</v>
      </c>
      <c r="AU125" t="s">
        <v>90</v>
      </c>
      <c r="AV125" t="s">
        <v>91</v>
      </c>
      <c r="AW125" t="s">
        <v>92</v>
      </c>
      <c r="AX125" t="s">
        <v>93</v>
      </c>
      <c r="AY125" t="s">
        <v>94</v>
      </c>
      <c r="AZ125" t="s">
        <v>85</v>
      </c>
      <c r="BA125" t="s">
        <v>1747</v>
      </c>
      <c r="BB125" t="s">
        <v>1738</v>
      </c>
      <c r="BC125" t="s">
        <v>1740</v>
      </c>
      <c r="BD125" t="s">
        <v>131</v>
      </c>
      <c r="BE125" t="s">
        <v>132</v>
      </c>
      <c r="BF125" t="b">
        <f t="shared" si="1"/>
        <v>0</v>
      </c>
      <c r="BG125" t="b">
        <v>0</v>
      </c>
      <c r="BH125">
        <v>2010</v>
      </c>
      <c r="BI125" t="b">
        <v>0</v>
      </c>
      <c r="BJ125" t="s">
        <v>96</v>
      </c>
      <c r="BK125" t="s">
        <v>141</v>
      </c>
      <c r="BL125" t="b">
        <v>1</v>
      </c>
      <c r="BM125" t="b">
        <v>1</v>
      </c>
      <c r="BN125" t="b">
        <v>1</v>
      </c>
      <c r="BO125" t="s">
        <v>1748</v>
      </c>
      <c r="BP125" t="b">
        <f>IF(IFERROR(VLOOKUP(A125,[1]Planilha1!$A:$A,1,0),FALSE)=FALSE,FALSE,TRUE)</f>
        <v>0</v>
      </c>
    </row>
    <row r="126" spans="1:68" x14ac:dyDescent="0.25">
      <c r="A126" t="s">
        <v>1749</v>
      </c>
      <c r="B126" t="s">
        <v>68</v>
      </c>
      <c r="D126" s="1">
        <v>46204</v>
      </c>
      <c r="E126" s="1">
        <v>47664</v>
      </c>
      <c r="F126" t="s">
        <v>1750</v>
      </c>
      <c r="G126" t="s">
        <v>1751</v>
      </c>
      <c r="H126" s="2" t="s">
        <v>1752</v>
      </c>
      <c r="I126" t="s">
        <v>1751</v>
      </c>
      <c r="K126" t="s">
        <v>1753</v>
      </c>
      <c r="L126">
        <v>5115621</v>
      </c>
      <c r="M126" t="s">
        <v>1754</v>
      </c>
      <c r="N126" t="s">
        <v>199</v>
      </c>
      <c r="O126" t="s">
        <v>200</v>
      </c>
      <c r="P126" t="s">
        <v>107</v>
      </c>
      <c r="Q126" t="s">
        <v>675</v>
      </c>
      <c r="R126" t="s">
        <v>182</v>
      </c>
      <c r="S126" t="s">
        <v>183</v>
      </c>
      <c r="T126" t="s">
        <v>184</v>
      </c>
      <c r="U126" t="s">
        <v>112</v>
      </c>
      <c r="V126" t="s">
        <v>82</v>
      </c>
      <c r="W126" t="s">
        <v>182</v>
      </c>
      <c r="X126" t="s">
        <v>183</v>
      </c>
      <c r="Y126" t="s">
        <v>184</v>
      </c>
      <c r="Z126" t="s">
        <v>112</v>
      </c>
      <c r="AA126" t="s">
        <v>82</v>
      </c>
      <c r="AB126" t="s">
        <v>83</v>
      </c>
      <c r="AC126" t="s">
        <v>202</v>
      </c>
      <c r="AD126" t="s">
        <v>1755</v>
      </c>
      <c r="AE126" t="s">
        <v>1756</v>
      </c>
      <c r="AF126" t="s">
        <v>1755</v>
      </c>
      <c r="AG126" t="s">
        <v>1757</v>
      </c>
      <c r="AH126">
        <v>4</v>
      </c>
      <c r="AI126">
        <v>854400</v>
      </c>
      <c r="AJ126">
        <v>80000</v>
      </c>
      <c r="AK126">
        <v>0</v>
      </c>
      <c r="AL126">
        <v>934400</v>
      </c>
      <c r="AM126" t="s">
        <v>182</v>
      </c>
      <c r="AN126" t="s">
        <v>183</v>
      </c>
      <c r="AO126" t="s">
        <v>184</v>
      </c>
      <c r="AP126" t="s">
        <v>112</v>
      </c>
      <c r="AQ126" t="s">
        <v>82</v>
      </c>
      <c r="AR126" t="s">
        <v>1758</v>
      </c>
      <c r="AS126" s="3">
        <v>46202.465223999308</v>
      </c>
      <c r="AT126" t="s">
        <v>89</v>
      </c>
      <c r="AU126" t="s">
        <v>90</v>
      </c>
      <c r="AV126" t="s">
        <v>91</v>
      </c>
      <c r="AW126" t="s">
        <v>92</v>
      </c>
      <c r="AX126" t="s">
        <v>93</v>
      </c>
      <c r="AY126" t="s">
        <v>94</v>
      </c>
      <c r="AZ126" t="s">
        <v>85</v>
      </c>
      <c r="BA126" t="s">
        <v>1759</v>
      </c>
      <c r="BB126" t="s">
        <v>1749</v>
      </c>
      <c r="BC126" t="s">
        <v>1751</v>
      </c>
      <c r="BD126" t="s">
        <v>182</v>
      </c>
      <c r="BE126" t="s">
        <v>183</v>
      </c>
      <c r="BF126" t="b">
        <f t="shared" si="1"/>
        <v>1</v>
      </c>
      <c r="BG126" t="b">
        <v>1</v>
      </c>
      <c r="BH126">
        <v>2008</v>
      </c>
      <c r="BI126" t="b">
        <v>1</v>
      </c>
      <c r="BJ126" t="s">
        <v>96</v>
      </c>
      <c r="BK126" t="s">
        <v>191</v>
      </c>
      <c r="BL126" t="b">
        <v>1</v>
      </c>
      <c r="BM126" t="b">
        <v>1</v>
      </c>
      <c r="BN126" t="b">
        <v>1</v>
      </c>
      <c r="BO126" t="s">
        <v>1760</v>
      </c>
      <c r="BP126" t="b">
        <f>IF(IFERROR(VLOOKUP(A126,[1]Planilha1!$A:$A,1,0),FALSE)=FALSE,FALSE,TRUE)</f>
        <v>1</v>
      </c>
    </row>
    <row r="127" spans="1:68" x14ac:dyDescent="0.25">
      <c r="A127" t="s">
        <v>1761</v>
      </c>
      <c r="B127" t="s">
        <v>68</v>
      </c>
      <c r="D127" s="1">
        <v>46204</v>
      </c>
      <c r="E127" s="1">
        <v>47664</v>
      </c>
      <c r="F127" t="s">
        <v>1762</v>
      </c>
      <c r="G127" t="s">
        <v>1763</v>
      </c>
      <c r="H127" s="2" t="s">
        <v>1764</v>
      </c>
      <c r="I127" t="s">
        <v>1763</v>
      </c>
      <c r="K127" t="s">
        <v>1765</v>
      </c>
      <c r="L127">
        <v>5115446</v>
      </c>
      <c r="M127" t="s">
        <v>1766</v>
      </c>
      <c r="N127" t="s">
        <v>359</v>
      </c>
      <c r="O127" t="s">
        <v>360</v>
      </c>
      <c r="P127" t="s">
        <v>129</v>
      </c>
      <c r="Q127" t="s">
        <v>1767</v>
      </c>
      <c r="R127" t="s">
        <v>1768</v>
      </c>
      <c r="S127" t="s">
        <v>1769</v>
      </c>
      <c r="T127" t="s">
        <v>1770</v>
      </c>
      <c r="U127" t="s">
        <v>769</v>
      </c>
      <c r="V127" t="s">
        <v>82</v>
      </c>
      <c r="W127" t="s">
        <v>1768</v>
      </c>
      <c r="X127" t="s">
        <v>1769</v>
      </c>
      <c r="Y127" t="s">
        <v>1770</v>
      </c>
      <c r="Z127" t="s">
        <v>769</v>
      </c>
      <c r="AA127" t="s">
        <v>82</v>
      </c>
      <c r="AB127" t="s">
        <v>83</v>
      </c>
      <c r="AC127" t="s">
        <v>185</v>
      </c>
      <c r="AD127" t="s">
        <v>1771</v>
      </c>
      <c r="AE127" t="s">
        <v>1772</v>
      </c>
      <c r="AF127" t="s">
        <v>1771</v>
      </c>
      <c r="AG127" t="s">
        <v>1773</v>
      </c>
      <c r="AH127">
        <v>26</v>
      </c>
      <c r="AI127">
        <v>1025760</v>
      </c>
      <c r="AJ127">
        <v>150000</v>
      </c>
      <c r="AK127">
        <v>0</v>
      </c>
      <c r="AL127">
        <v>1175760</v>
      </c>
      <c r="AM127" t="s">
        <v>1768</v>
      </c>
      <c r="AN127" t="s">
        <v>1769</v>
      </c>
      <c r="AO127" t="s">
        <v>1770</v>
      </c>
      <c r="AP127" t="s">
        <v>769</v>
      </c>
      <c r="AQ127" t="s">
        <v>82</v>
      </c>
      <c r="AR127" t="s">
        <v>1774</v>
      </c>
      <c r="AS127" s="3">
        <v>46202.465223999308</v>
      </c>
      <c r="AT127" t="s">
        <v>89</v>
      </c>
      <c r="AU127" t="s">
        <v>90</v>
      </c>
      <c r="AV127" t="s">
        <v>91</v>
      </c>
      <c r="AW127" t="s">
        <v>92</v>
      </c>
      <c r="AX127" t="s">
        <v>93</v>
      </c>
      <c r="AY127" t="s">
        <v>94</v>
      </c>
      <c r="AZ127" t="s">
        <v>85</v>
      </c>
      <c r="BA127" t="s">
        <v>1775</v>
      </c>
      <c r="BB127" t="s">
        <v>1761</v>
      </c>
      <c r="BC127" t="s">
        <v>1763</v>
      </c>
      <c r="BD127" t="s">
        <v>1768</v>
      </c>
      <c r="BE127" t="s">
        <v>1769</v>
      </c>
      <c r="BF127" t="b">
        <f t="shared" si="1"/>
        <v>0</v>
      </c>
      <c r="BG127" t="b">
        <v>0</v>
      </c>
      <c r="BH127">
        <v>2020</v>
      </c>
      <c r="BI127" t="b">
        <v>0</v>
      </c>
      <c r="BJ127" t="s">
        <v>96</v>
      </c>
      <c r="BK127" t="s">
        <v>119</v>
      </c>
      <c r="BL127" t="b">
        <v>1</v>
      </c>
      <c r="BM127" t="b">
        <v>1</v>
      </c>
      <c r="BN127" t="b">
        <v>1</v>
      </c>
      <c r="BO127" t="s">
        <v>1776</v>
      </c>
      <c r="BP127" t="b">
        <f>IF(IFERROR(VLOOKUP(A127,[1]Planilha1!$A:$A,1,0),FALSE)=FALSE,FALSE,TRUE)</f>
        <v>0</v>
      </c>
    </row>
    <row r="128" spans="1:68" x14ac:dyDescent="0.25">
      <c r="A128" t="s">
        <v>1777</v>
      </c>
      <c r="B128" t="s">
        <v>68</v>
      </c>
      <c r="D128" s="1">
        <v>46204</v>
      </c>
      <c r="E128" s="1">
        <v>47664</v>
      </c>
      <c r="F128" t="s">
        <v>1778</v>
      </c>
      <c r="G128" t="s">
        <v>1779</v>
      </c>
      <c r="H128" s="2" t="s">
        <v>1780</v>
      </c>
      <c r="I128" t="s">
        <v>1779</v>
      </c>
      <c r="K128" t="s">
        <v>1781</v>
      </c>
      <c r="L128">
        <v>5111127</v>
      </c>
      <c r="M128" t="s">
        <v>1782</v>
      </c>
      <c r="N128" t="s">
        <v>249</v>
      </c>
      <c r="O128" t="s">
        <v>250</v>
      </c>
      <c r="P128" t="s">
        <v>76</v>
      </c>
      <c r="Q128" t="s">
        <v>251</v>
      </c>
      <c r="R128" t="s">
        <v>1783</v>
      </c>
      <c r="S128" t="s">
        <v>1784</v>
      </c>
      <c r="T128" t="s">
        <v>111</v>
      </c>
      <c r="U128" t="s">
        <v>112</v>
      </c>
      <c r="V128" t="s">
        <v>82</v>
      </c>
      <c r="W128" t="s">
        <v>1783</v>
      </c>
      <c r="X128" t="s">
        <v>1784</v>
      </c>
      <c r="Y128" t="s">
        <v>111</v>
      </c>
      <c r="Z128" t="s">
        <v>112</v>
      </c>
      <c r="AA128" t="s">
        <v>82</v>
      </c>
      <c r="AB128" t="s">
        <v>83</v>
      </c>
      <c r="AC128" t="s">
        <v>202</v>
      </c>
      <c r="AD128" t="s">
        <v>186</v>
      </c>
      <c r="AE128" t="s">
        <v>1785</v>
      </c>
      <c r="AF128" t="s">
        <v>167</v>
      </c>
      <c r="AG128" t="s">
        <v>1786</v>
      </c>
      <c r="AH128">
        <v>14</v>
      </c>
      <c r="AI128">
        <v>985440</v>
      </c>
      <c r="AJ128">
        <v>105000</v>
      </c>
      <c r="AK128">
        <v>0</v>
      </c>
      <c r="AL128">
        <v>1090440</v>
      </c>
      <c r="AM128" t="s">
        <v>1783</v>
      </c>
      <c r="AN128" t="s">
        <v>1784</v>
      </c>
      <c r="AO128" t="s">
        <v>111</v>
      </c>
      <c r="AP128" t="s">
        <v>112</v>
      </c>
      <c r="AQ128" t="s">
        <v>82</v>
      </c>
      <c r="AR128" t="s">
        <v>1787</v>
      </c>
      <c r="AS128" s="3">
        <v>46202.465223999308</v>
      </c>
      <c r="AT128" t="s">
        <v>89</v>
      </c>
      <c r="AU128" t="s">
        <v>90</v>
      </c>
      <c r="AV128" t="s">
        <v>91</v>
      </c>
      <c r="AW128" t="s">
        <v>92</v>
      </c>
      <c r="AX128" t="s">
        <v>93</v>
      </c>
      <c r="AY128" t="s">
        <v>94</v>
      </c>
      <c r="AZ128" t="s">
        <v>85</v>
      </c>
      <c r="BA128" t="s">
        <v>1788</v>
      </c>
      <c r="BB128" t="s">
        <v>1777</v>
      </c>
      <c r="BC128" t="s">
        <v>1779</v>
      </c>
      <c r="BD128" t="s">
        <v>1783</v>
      </c>
      <c r="BE128" t="s">
        <v>1784</v>
      </c>
      <c r="BF128" t="b">
        <f t="shared" si="1"/>
        <v>0</v>
      </c>
      <c r="BG128" t="b">
        <v>0</v>
      </c>
      <c r="BH128">
        <v>2010</v>
      </c>
      <c r="BI128" t="b">
        <v>0</v>
      </c>
      <c r="BJ128" t="s">
        <v>96</v>
      </c>
      <c r="BK128" t="s">
        <v>119</v>
      </c>
      <c r="BL128" t="b">
        <v>1</v>
      </c>
      <c r="BM128" t="b">
        <v>1</v>
      </c>
      <c r="BN128" t="b">
        <v>1</v>
      </c>
      <c r="BO128" t="s">
        <v>1789</v>
      </c>
      <c r="BP128" t="b">
        <f>IF(IFERROR(VLOOKUP(A128,[1]Planilha1!$A:$A,1,0),FALSE)=FALSE,FALSE,TRUE)</f>
        <v>0</v>
      </c>
    </row>
    <row r="129" spans="1:68" x14ac:dyDescent="0.25">
      <c r="A129" t="s">
        <v>1790</v>
      </c>
      <c r="B129" t="s">
        <v>68</v>
      </c>
      <c r="D129" s="1">
        <v>46204</v>
      </c>
      <c r="E129" s="1">
        <v>47664</v>
      </c>
      <c r="F129" t="s">
        <v>1791</v>
      </c>
      <c r="G129" t="s">
        <v>1792</v>
      </c>
      <c r="H129" s="2" t="s">
        <v>1793</v>
      </c>
      <c r="I129" t="s">
        <v>1792</v>
      </c>
      <c r="K129" t="s">
        <v>1794</v>
      </c>
      <c r="L129">
        <v>5115819</v>
      </c>
      <c r="M129" t="s">
        <v>1795</v>
      </c>
      <c r="N129" t="s">
        <v>1796</v>
      </c>
      <c r="O129" t="s">
        <v>1484</v>
      </c>
      <c r="P129" t="s">
        <v>76</v>
      </c>
      <c r="Q129" t="s">
        <v>1797</v>
      </c>
      <c r="R129" t="s">
        <v>1642</v>
      </c>
      <c r="S129" t="s">
        <v>1643</v>
      </c>
      <c r="T129" t="s">
        <v>1644</v>
      </c>
      <c r="U129" t="s">
        <v>134</v>
      </c>
      <c r="V129" t="s">
        <v>82</v>
      </c>
      <c r="W129" t="s">
        <v>1642</v>
      </c>
      <c r="X129" t="s">
        <v>1643</v>
      </c>
      <c r="Y129" t="s">
        <v>1644</v>
      </c>
      <c r="Z129" t="s">
        <v>134</v>
      </c>
      <c r="AA129" t="s">
        <v>82</v>
      </c>
      <c r="AB129" t="s">
        <v>83</v>
      </c>
      <c r="AC129" t="s">
        <v>166</v>
      </c>
      <c r="AD129" t="s">
        <v>1798</v>
      </c>
      <c r="AE129" t="s">
        <v>1799</v>
      </c>
      <c r="AF129" t="s">
        <v>1798</v>
      </c>
      <c r="AG129" t="s">
        <v>1800</v>
      </c>
      <c r="AH129">
        <v>3</v>
      </c>
      <c r="AI129">
        <v>317240</v>
      </c>
      <c r="AJ129">
        <v>31700</v>
      </c>
      <c r="AK129">
        <v>0</v>
      </c>
      <c r="AL129">
        <v>348940</v>
      </c>
      <c r="AM129" t="s">
        <v>1642</v>
      </c>
      <c r="AN129" t="s">
        <v>1643</v>
      </c>
      <c r="AO129" t="s">
        <v>1644</v>
      </c>
      <c r="AP129" t="s">
        <v>134</v>
      </c>
      <c r="AQ129" t="s">
        <v>82</v>
      </c>
      <c r="AR129" t="s">
        <v>1801</v>
      </c>
      <c r="AS129" s="3">
        <v>46202.465223999308</v>
      </c>
      <c r="AT129" t="s">
        <v>89</v>
      </c>
      <c r="AU129" t="s">
        <v>90</v>
      </c>
      <c r="AV129" t="s">
        <v>91</v>
      </c>
      <c r="AW129" t="s">
        <v>92</v>
      </c>
      <c r="AX129" t="s">
        <v>93</v>
      </c>
      <c r="AY129" t="s">
        <v>94</v>
      </c>
      <c r="AZ129" t="s">
        <v>85</v>
      </c>
      <c r="BA129" t="s">
        <v>1802</v>
      </c>
      <c r="BB129" t="s">
        <v>1790</v>
      </c>
      <c r="BC129" t="s">
        <v>1792</v>
      </c>
      <c r="BD129" t="s">
        <v>1642</v>
      </c>
      <c r="BE129" t="s">
        <v>1643</v>
      </c>
      <c r="BF129" t="b">
        <f t="shared" si="1"/>
        <v>0</v>
      </c>
      <c r="BG129" t="b">
        <v>0</v>
      </c>
      <c r="BH129">
        <v>2011</v>
      </c>
      <c r="BI129" t="b">
        <v>0</v>
      </c>
      <c r="BJ129" t="s">
        <v>96</v>
      </c>
      <c r="BK129" t="s">
        <v>272</v>
      </c>
      <c r="BL129" t="b">
        <v>1</v>
      </c>
      <c r="BM129" t="b">
        <v>1</v>
      </c>
      <c r="BN129" t="b">
        <v>1</v>
      </c>
      <c r="BO129" t="s">
        <v>1803</v>
      </c>
      <c r="BP129" t="b">
        <f>IF(IFERROR(VLOOKUP(A129,[1]Planilha1!$A:$A,1,0),FALSE)=FALSE,FALSE,TRUE)</f>
        <v>0</v>
      </c>
    </row>
    <row r="130" spans="1:68" x14ac:dyDescent="0.25">
      <c r="A130" t="s">
        <v>1804</v>
      </c>
      <c r="B130" t="s">
        <v>68</v>
      </c>
      <c r="D130" s="1">
        <v>46204</v>
      </c>
      <c r="E130" s="1">
        <v>47664</v>
      </c>
      <c r="F130" t="s">
        <v>1805</v>
      </c>
      <c r="G130" t="s">
        <v>1806</v>
      </c>
      <c r="H130" s="2" t="s">
        <v>1807</v>
      </c>
      <c r="I130" t="s">
        <v>1806</v>
      </c>
      <c r="K130" t="s">
        <v>1808</v>
      </c>
      <c r="L130">
        <v>5115684</v>
      </c>
      <c r="M130" t="s">
        <v>1809</v>
      </c>
      <c r="N130" t="s">
        <v>1810</v>
      </c>
      <c r="O130" t="s">
        <v>1811</v>
      </c>
      <c r="P130" t="s">
        <v>529</v>
      </c>
      <c r="Q130" t="s">
        <v>1812</v>
      </c>
      <c r="R130" t="s">
        <v>1813</v>
      </c>
      <c r="S130" t="s">
        <v>1814</v>
      </c>
      <c r="T130" t="s">
        <v>1815</v>
      </c>
      <c r="U130" t="s">
        <v>81</v>
      </c>
      <c r="V130" t="s">
        <v>82</v>
      </c>
      <c r="W130" t="s">
        <v>1813</v>
      </c>
      <c r="X130" t="s">
        <v>1814</v>
      </c>
      <c r="Y130" t="s">
        <v>1815</v>
      </c>
      <c r="Z130" t="s">
        <v>81</v>
      </c>
      <c r="AA130" t="s">
        <v>82</v>
      </c>
      <c r="AB130" t="s">
        <v>83</v>
      </c>
      <c r="AC130" t="s">
        <v>235</v>
      </c>
      <c r="AD130" t="s">
        <v>1816</v>
      </c>
      <c r="AE130" t="s">
        <v>1817</v>
      </c>
      <c r="AF130" t="s">
        <v>1816</v>
      </c>
      <c r="AG130" t="s">
        <v>1818</v>
      </c>
      <c r="AH130">
        <v>9</v>
      </c>
      <c r="AI130">
        <v>1098240</v>
      </c>
      <c r="AJ130">
        <v>90000</v>
      </c>
      <c r="AK130">
        <v>0</v>
      </c>
      <c r="AL130">
        <v>1188240</v>
      </c>
      <c r="AM130" t="s">
        <v>1813</v>
      </c>
      <c r="AN130" t="s">
        <v>1814</v>
      </c>
      <c r="AO130" t="s">
        <v>1815</v>
      </c>
      <c r="AP130" t="s">
        <v>81</v>
      </c>
      <c r="AQ130" t="s">
        <v>82</v>
      </c>
      <c r="AR130" t="s">
        <v>1819</v>
      </c>
      <c r="AS130" s="3">
        <v>46202.465223999308</v>
      </c>
      <c r="AT130" t="s">
        <v>89</v>
      </c>
      <c r="AU130" t="s">
        <v>90</v>
      </c>
      <c r="AV130" t="s">
        <v>91</v>
      </c>
      <c r="AW130" t="s">
        <v>92</v>
      </c>
      <c r="AX130" t="s">
        <v>93</v>
      </c>
      <c r="AY130" t="s">
        <v>94</v>
      </c>
      <c r="AZ130" t="s">
        <v>85</v>
      </c>
      <c r="BA130" t="s">
        <v>1820</v>
      </c>
      <c r="BB130" t="s">
        <v>1804</v>
      </c>
      <c r="BC130" t="s">
        <v>1806</v>
      </c>
      <c r="BD130" t="s">
        <v>1813</v>
      </c>
      <c r="BE130" t="s">
        <v>1814</v>
      </c>
      <c r="BF130" t="b">
        <f t="shared" si="1"/>
        <v>0</v>
      </c>
      <c r="BG130" t="b">
        <v>0</v>
      </c>
      <c r="BH130">
        <v>2004</v>
      </c>
      <c r="BI130" t="b">
        <v>0</v>
      </c>
      <c r="BJ130" t="s">
        <v>96</v>
      </c>
      <c r="BK130" t="s">
        <v>119</v>
      </c>
      <c r="BL130" t="b">
        <v>1</v>
      </c>
      <c r="BM130" t="b">
        <v>1</v>
      </c>
      <c r="BN130" t="b">
        <v>1</v>
      </c>
      <c r="BO130" t="s">
        <v>1821</v>
      </c>
      <c r="BP130" t="b">
        <f>IF(IFERROR(VLOOKUP(A130,[1]Planilha1!$A:$A,1,0),FALSE)=FALSE,FALSE,TRUE)</f>
        <v>0</v>
      </c>
    </row>
    <row r="131" spans="1:68" x14ac:dyDescent="0.25">
      <c r="A131" t="s">
        <v>1822</v>
      </c>
      <c r="B131" t="s">
        <v>68</v>
      </c>
      <c r="D131" s="1">
        <v>46204</v>
      </c>
      <c r="E131" s="1">
        <v>47664</v>
      </c>
      <c r="F131" t="s">
        <v>1823</v>
      </c>
      <c r="G131" t="s">
        <v>1824</v>
      </c>
      <c r="H131" s="2" t="s">
        <v>1825</v>
      </c>
      <c r="I131" t="s">
        <v>1824</v>
      </c>
      <c r="K131" t="s">
        <v>1826</v>
      </c>
      <c r="L131">
        <v>5116543</v>
      </c>
      <c r="M131" t="s">
        <v>1827</v>
      </c>
      <c r="N131" t="s">
        <v>179</v>
      </c>
      <c r="O131" t="s">
        <v>180</v>
      </c>
      <c r="P131" t="s">
        <v>129</v>
      </c>
      <c r="Q131" t="s">
        <v>1828</v>
      </c>
      <c r="R131" t="s">
        <v>182</v>
      </c>
      <c r="S131" t="s">
        <v>183</v>
      </c>
      <c r="T131" t="s">
        <v>184</v>
      </c>
      <c r="U131" t="s">
        <v>112</v>
      </c>
      <c r="V131" t="s">
        <v>82</v>
      </c>
      <c r="W131" t="s">
        <v>182</v>
      </c>
      <c r="X131" t="s">
        <v>183</v>
      </c>
      <c r="Y131" t="s">
        <v>184</v>
      </c>
      <c r="Z131" t="s">
        <v>112</v>
      </c>
      <c r="AA131" t="s">
        <v>82</v>
      </c>
      <c r="AB131" t="s">
        <v>83</v>
      </c>
      <c r="AC131" t="s">
        <v>185</v>
      </c>
      <c r="AD131" t="s">
        <v>149</v>
      </c>
      <c r="AE131" t="s">
        <v>1829</v>
      </c>
      <c r="AF131" t="s">
        <v>85</v>
      </c>
      <c r="AG131" t="s">
        <v>1830</v>
      </c>
      <c r="AH131">
        <v>12</v>
      </c>
      <c r="AI131">
        <v>995040</v>
      </c>
      <c r="AJ131">
        <v>1500000</v>
      </c>
      <c r="AK131">
        <v>0</v>
      </c>
      <c r="AL131">
        <v>2495040</v>
      </c>
      <c r="AM131" t="s">
        <v>182</v>
      </c>
      <c r="AN131" t="s">
        <v>183</v>
      </c>
      <c r="AO131" t="s">
        <v>184</v>
      </c>
      <c r="AP131" t="s">
        <v>112</v>
      </c>
      <c r="AQ131" t="s">
        <v>82</v>
      </c>
      <c r="AR131" t="s">
        <v>1831</v>
      </c>
      <c r="AS131" s="3">
        <v>46202.465223999308</v>
      </c>
      <c r="AT131" t="s">
        <v>89</v>
      </c>
      <c r="AU131" t="s">
        <v>90</v>
      </c>
      <c r="AV131" t="s">
        <v>91</v>
      </c>
      <c r="AW131" t="s">
        <v>92</v>
      </c>
      <c r="AX131" t="s">
        <v>93</v>
      </c>
      <c r="AY131" t="s">
        <v>94</v>
      </c>
      <c r="AZ131" t="s">
        <v>85</v>
      </c>
      <c r="BA131" t="s">
        <v>1832</v>
      </c>
      <c r="BB131" t="s">
        <v>1822</v>
      </c>
      <c r="BC131" t="s">
        <v>1824</v>
      </c>
      <c r="BD131" t="s">
        <v>182</v>
      </c>
      <c r="BE131" t="s">
        <v>183</v>
      </c>
      <c r="BF131" t="b">
        <f t="shared" ref="BF131:BF194" si="2">IF(AND(BG131,BI131,BL131,BM131),TRUE,FALSE)</f>
        <v>1</v>
      </c>
      <c r="BG131" t="b">
        <v>1</v>
      </c>
      <c r="BH131">
        <v>2001</v>
      </c>
      <c r="BI131" t="b">
        <v>1</v>
      </c>
      <c r="BJ131" t="s">
        <v>96</v>
      </c>
      <c r="BK131" t="s">
        <v>191</v>
      </c>
      <c r="BL131" t="b">
        <v>1</v>
      </c>
      <c r="BM131" t="b">
        <v>1</v>
      </c>
      <c r="BN131" t="b">
        <v>1</v>
      </c>
      <c r="BO131" t="s">
        <v>1833</v>
      </c>
      <c r="BP131" t="b">
        <f>IF(IFERROR(VLOOKUP(A131,[1]Planilha1!$A:$A,1,0),FALSE)=FALSE,FALSE,TRUE)</f>
        <v>1</v>
      </c>
    </row>
    <row r="132" spans="1:68" x14ac:dyDescent="0.25">
      <c r="A132" t="s">
        <v>1834</v>
      </c>
      <c r="B132" t="s">
        <v>68</v>
      </c>
      <c r="D132" s="1">
        <v>46204</v>
      </c>
      <c r="E132" s="1">
        <v>47664</v>
      </c>
      <c r="F132" t="s">
        <v>1835</v>
      </c>
      <c r="G132" t="s">
        <v>1836</v>
      </c>
      <c r="H132" s="2" t="s">
        <v>1837</v>
      </c>
      <c r="I132" t="s">
        <v>1836</v>
      </c>
      <c r="K132" t="s">
        <v>1838</v>
      </c>
      <c r="L132">
        <v>5114661</v>
      </c>
      <c r="M132" t="s">
        <v>1839</v>
      </c>
      <c r="N132" t="s">
        <v>179</v>
      </c>
      <c r="O132" t="s">
        <v>180</v>
      </c>
      <c r="P132" t="s">
        <v>129</v>
      </c>
      <c r="Q132" t="s">
        <v>1840</v>
      </c>
      <c r="R132" t="s">
        <v>1841</v>
      </c>
      <c r="S132" t="s">
        <v>1842</v>
      </c>
      <c r="T132" t="s">
        <v>111</v>
      </c>
      <c r="U132" t="s">
        <v>112</v>
      </c>
      <c r="V132" t="s">
        <v>82</v>
      </c>
      <c r="W132" t="s">
        <v>1841</v>
      </c>
      <c r="X132" t="s">
        <v>1842</v>
      </c>
      <c r="Y132" t="s">
        <v>111</v>
      </c>
      <c r="Z132" t="s">
        <v>112</v>
      </c>
      <c r="AA132" t="s">
        <v>82</v>
      </c>
      <c r="AB132" t="s">
        <v>83</v>
      </c>
      <c r="AC132" t="s">
        <v>185</v>
      </c>
      <c r="AD132" t="s">
        <v>238</v>
      </c>
      <c r="AE132" t="s">
        <v>1843</v>
      </c>
      <c r="AF132" t="s">
        <v>238</v>
      </c>
      <c r="AG132" t="s">
        <v>1844</v>
      </c>
      <c r="AH132">
        <v>2</v>
      </c>
      <c r="AI132">
        <v>399360</v>
      </c>
      <c r="AJ132">
        <v>115000</v>
      </c>
      <c r="AK132">
        <v>0</v>
      </c>
      <c r="AL132">
        <v>514360</v>
      </c>
      <c r="AR132" t="s">
        <v>1845</v>
      </c>
      <c r="AS132" s="3">
        <v>46202.465223999308</v>
      </c>
      <c r="AT132" t="s">
        <v>89</v>
      </c>
      <c r="AU132" t="s">
        <v>90</v>
      </c>
      <c r="AV132" t="s">
        <v>91</v>
      </c>
      <c r="AW132" t="s">
        <v>92</v>
      </c>
      <c r="AX132" t="s">
        <v>93</v>
      </c>
      <c r="AY132" t="s">
        <v>94</v>
      </c>
      <c r="AZ132" t="s">
        <v>85</v>
      </c>
      <c r="BA132" t="s">
        <v>1846</v>
      </c>
      <c r="BB132" t="s">
        <v>1834</v>
      </c>
      <c r="BC132" t="s">
        <v>1836</v>
      </c>
      <c r="BD132" t="s">
        <v>1841</v>
      </c>
      <c r="BE132" t="s">
        <v>1842</v>
      </c>
      <c r="BF132" t="b">
        <f t="shared" si="2"/>
        <v>0</v>
      </c>
      <c r="BG132" t="b">
        <v>0</v>
      </c>
      <c r="BH132">
        <v>2016</v>
      </c>
      <c r="BI132" t="b">
        <v>0</v>
      </c>
      <c r="BJ132" t="s">
        <v>96</v>
      </c>
      <c r="BK132" t="s">
        <v>119</v>
      </c>
      <c r="BL132" t="b">
        <v>1</v>
      </c>
      <c r="BM132" t="b">
        <v>1</v>
      </c>
      <c r="BN132" t="b">
        <v>1</v>
      </c>
      <c r="BO132" t="s">
        <v>1847</v>
      </c>
      <c r="BP132" t="b">
        <f>IF(IFERROR(VLOOKUP(A132,[1]Planilha1!$A:$A,1,0),FALSE)=FALSE,FALSE,TRUE)</f>
        <v>0</v>
      </c>
    </row>
    <row r="133" spans="1:68" x14ac:dyDescent="0.25">
      <c r="A133" t="s">
        <v>1848</v>
      </c>
      <c r="B133" t="s">
        <v>68</v>
      </c>
      <c r="D133" s="1">
        <v>46204</v>
      </c>
      <c r="E133" s="1">
        <v>47664</v>
      </c>
      <c r="F133" t="s">
        <v>1849</v>
      </c>
      <c r="G133" t="s">
        <v>1850</v>
      </c>
      <c r="H133" s="2" t="s">
        <v>1851</v>
      </c>
      <c r="I133" t="s">
        <v>1850</v>
      </c>
      <c r="K133" t="s">
        <v>1852</v>
      </c>
      <c r="L133">
        <v>5116348</v>
      </c>
      <c r="M133" t="s">
        <v>1853</v>
      </c>
      <c r="N133" t="s">
        <v>74</v>
      </c>
      <c r="O133" t="s">
        <v>75</v>
      </c>
      <c r="P133" t="s">
        <v>76</v>
      </c>
      <c r="Q133" t="s">
        <v>77</v>
      </c>
      <c r="R133" t="s">
        <v>78</v>
      </c>
      <c r="S133" t="s">
        <v>79</v>
      </c>
      <c r="T133" t="s">
        <v>80</v>
      </c>
      <c r="U133" t="s">
        <v>81</v>
      </c>
      <c r="V133" t="s">
        <v>82</v>
      </c>
      <c r="W133" t="s">
        <v>78</v>
      </c>
      <c r="X133" t="s">
        <v>79</v>
      </c>
      <c r="Y133" t="s">
        <v>80</v>
      </c>
      <c r="Z133" t="s">
        <v>81</v>
      </c>
      <c r="AA133" t="s">
        <v>82</v>
      </c>
      <c r="AB133" t="s">
        <v>83</v>
      </c>
      <c r="AC133" t="s">
        <v>84</v>
      </c>
      <c r="AD133" t="s">
        <v>1396</v>
      </c>
      <c r="AE133" t="s">
        <v>1854</v>
      </c>
      <c r="AF133" t="s">
        <v>1396</v>
      </c>
      <c r="AG133" t="s">
        <v>1855</v>
      </c>
      <c r="AH133">
        <v>9</v>
      </c>
      <c r="AI133">
        <v>1260740</v>
      </c>
      <c r="AJ133">
        <v>130000</v>
      </c>
      <c r="AK133">
        <v>0</v>
      </c>
      <c r="AL133">
        <v>1390740</v>
      </c>
      <c r="AM133" t="s">
        <v>78</v>
      </c>
      <c r="AN133" t="s">
        <v>79</v>
      </c>
      <c r="AO133" t="s">
        <v>80</v>
      </c>
      <c r="AP133" t="s">
        <v>81</v>
      </c>
      <c r="AQ133" t="s">
        <v>82</v>
      </c>
      <c r="AR133" t="s">
        <v>1856</v>
      </c>
      <c r="AS133" s="3">
        <v>46202.465223999308</v>
      </c>
      <c r="AT133" t="s">
        <v>89</v>
      </c>
      <c r="AU133" t="s">
        <v>90</v>
      </c>
      <c r="AV133" t="s">
        <v>91</v>
      </c>
      <c r="AW133" t="s">
        <v>92</v>
      </c>
      <c r="AX133" t="s">
        <v>93</v>
      </c>
      <c r="AY133" t="s">
        <v>94</v>
      </c>
      <c r="AZ133" t="s">
        <v>85</v>
      </c>
      <c r="BA133" t="s">
        <v>1857</v>
      </c>
      <c r="BB133" t="s">
        <v>1848</v>
      </c>
      <c r="BC133" t="s">
        <v>1850</v>
      </c>
      <c r="BD133" t="s">
        <v>78</v>
      </c>
      <c r="BE133" t="s">
        <v>79</v>
      </c>
      <c r="BF133" t="b">
        <f t="shared" si="2"/>
        <v>0</v>
      </c>
      <c r="BG133" t="b">
        <v>1</v>
      </c>
      <c r="BH133">
        <v>2002</v>
      </c>
      <c r="BI133" t="b">
        <v>0</v>
      </c>
      <c r="BJ133" t="s">
        <v>96</v>
      </c>
      <c r="BK133" t="s">
        <v>97</v>
      </c>
      <c r="BL133" t="b">
        <v>1</v>
      </c>
      <c r="BM133" t="b">
        <v>1</v>
      </c>
      <c r="BN133" t="b">
        <v>1</v>
      </c>
      <c r="BO133" t="s">
        <v>1858</v>
      </c>
      <c r="BP133" t="b">
        <f>IF(IFERROR(VLOOKUP(A133,[1]Planilha1!$A:$A,1,0),FALSE)=FALSE,FALSE,TRUE)</f>
        <v>0</v>
      </c>
    </row>
    <row r="134" spans="1:68" x14ac:dyDescent="0.25">
      <c r="A134" t="s">
        <v>1859</v>
      </c>
      <c r="B134" t="s">
        <v>68</v>
      </c>
      <c r="D134" s="1">
        <v>46204</v>
      </c>
      <c r="E134" s="1">
        <v>47664</v>
      </c>
      <c r="F134" t="s">
        <v>1860</v>
      </c>
      <c r="G134" t="s">
        <v>1861</v>
      </c>
      <c r="H134" s="2" t="s">
        <v>1862</v>
      </c>
      <c r="I134" t="s">
        <v>1861</v>
      </c>
      <c r="K134" t="s">
        <v>1863</v>
      </c>
      <c r="L134">
        <v>5116477</v>
      </c>
      <c r="M134" t="s">
        <v>1864</v>
      </c>
      <c r="N134" t="s">
        <v>1865</v>
      </c>
      <c r="O134" t="s">
        <v>1866</v>
      </c>
      <c r="P134" t="s">
        <v>439</v>
      </c>
      <c r="Q134" t="s">
        <v>1867</v>
      </c>
      <c r="R134" t="s">
        <v>331</v>
      </c>
      <c r="S134" t="s">
        <v>332</v>
      </c>
      <c r="T134" t="s">
        <v>111</v>
      </c>
      <c r="U134" t="s">
        <v>112</v>
      </c>
      <c r="V134" t="s">
        <v>82</v>
      </c>
      <c r="W134" t="s">
        <v>331</v>
      </c>
      <c r="X134" t="s">
        <v>332</v>
      </c>
      <c r="Y134" t="s">
        <v>111</v>
      </c>
      <c r="Z134" t="s">
        <v>112</v>
      </c>
      <c r="AA134" t="s">
        <v>82</v>
      </c>
      <c r="AB134" t="s">
        <v>83</v>
      </c>
      <c r="AC134" t="s">
        <v>185</v>
      </c>
      <c r="AD134" t="s">
        <v>252</v>
      </c>
      <c r="AE134" t="s">
        <v>1868</v>
      </c>
      <c r="AF134" t="s">
        <v>252</v>
      </c>
      <c r="AG134" t="s">
        <v>1869</v>
      </c>
      <c r="AH134">
        <v>5</v>
      </c>
      <c r="AI134">
        <v>1110720</v>
      </c>
      <c r="AJ134">
        <v>56064</v>
      </c>
      <c r="AK134">
        <v>0</v>
      </c>
      <c r="AL134">
        <v>1166784</v>
      </c>
      <c r="AR134" t="s">
        <v>1870</v>
      </c>
      <c r="AS134" s="3">
        <v>46202.465223999308</v>
      </c>
      <c r="AT134" t="s">
        <v>89</v>
      </c>
      <c r="AU134" t="s">
        <v>90</v>
      </c>
      <c r="AV134" t="s">
        <v>91</v>
      </c>
      <c r="AW134" t="s">
        <v>92</v>
      </c>
      <c r="AX134" t="s">
        <v>93</v>
      </c>
      <c r="AY134" t="s">
        <v>94</v>
      </c>
      <c r="AZ134" t="s">
        <v>85</v>
      </c>
      <c r="BA134" t="s">
        <v>1871</v>
      </c>
      <c r="BB134" t="s">
        <v>1859</v>
      </c>
      <c r="BC134" t="s">
        <v>1861</v>
      </c>
      <c r="BD134" t="s">
        <v>331</v>
      </c>
      <c r="BE134" t="s">
        <v>332</v>
      </c>
      <c r="BF134" t="b">
        <f t="shared" si="2"/>
        <v>1</v>
      </c>
      <c r="BG134" t="b">
        <v>1</v>
      </c>
      <c r="BH134">
        <v>2006</v>
      </c>
      <c r="BI134" t="b">
        <v>1</v>
      </c>
      <c r="BJ134" t="s">
        <v>96</v>
      </c>
      <c r="BK134" t="s">
        <v>338</v>
      </c>
      <c r="BL134" t="b">
        <v>1</v>
      </c>
      <c r="BM134" t="b">
        <v>1</v>
      </c>
      <c r="BN134" t="b">
        <v>0</v>
      </c>
      <c r="BO134" t="s">
        <v>1872</v>
      </c>
      <c r="BP134" t="b">
        <f>IF(IFERROR(VLOOKUP(A134,[1]Planilha1!$A:$A,1,0),FALSE)=FALSE,FALSE,TRUE)</f>
        <v>1</v>
      </c>
    </row>
    <row r="135" spans="1:68" x14ac:dyDescent="0.25">
      <c r="A135" t="s">
        <v>1873</v>
      </c>
      <c r="B135" t="s">
        <v>68</v>
      </c>
      <c r="D135" s="1">
        <v>46204</v>
      </c>
      <c r="E135" s="1">
        <v>47664</v>
      </c>
      <c r="F135" t="s">
        <v>1874</v>
      </c>
      <c r="G135" t="s">
        <v>1875</v>
      </c>
      <c r="H135" s="2" t="s">
        <v>1876</v>
      </c>
      <c r="I135" t="s">
        <v>1875</v>
      </c>
      <c r="K135" t="s">
        <v>1877</v>
      </c>
      <c r="L135">
        <v>5115724</v>
      </c>
      <c r="M135" t="s">
        <v>1878</v>
      </c>
      <c r="N135" t="s">
        <v>328</v>
      </c>
      <c r="O135" t="s">
        <v>329</v>
      </c>
      <c r="P135" t="s">
        <v>107</v>
      </c>
      <c r="Q135" t="s">
        <v>1879</v>
      </c>
      <c r="R135" t="s">
        <v>182</v>
      </c>
      <c r="S135" t="s">
        <v>183</v>
      </c>
      <c r="T135" t="s">
        <v>184</v>
      </c>
      <c r="U135" t="s">
        <v>112</v>
      </c>
      <c r="V135" t="s">
        <v>82</v>
      </c>
      <c r="W135" t="s">
        <v>182</v>
      </c>
      <c r="X135" t="s">
        <v>183</v>
      </c>
      <c r="Y135" t="s">
        <v>184</v>
      </c>
      <c r="Z135" t="s">
        <v>112</v>
      </c>
      <c r="AA135" t="s">
        <v>82</v>
      </c>
      <c r="AB135" t="s">
        <v>83</v>
      </c>
      <c r="AC135" t="s">
        <v>333</v>
      </c>
      <c r="AD135" t="s">
        <v>1880</v>
      </c>
      <c r="AE135" t="s">
        <v>1881</v>
      </c>
      <c r="AF135" t="s">
        <v>1880</v>
      </c>
      <c r="AG135" t="s">
        <v>1882</v>
      </c>
      <c r="AH135">
        <v>5</v>
      </c>
      <c r="AI135">
        <v>948480</v>
      </c>
      <c r="AJ135">
        <v>150000</v>
      </c>
      <c r="AK135">
        <v>0</v>
      </c>
      <c r="AL135">
        <v>1098480</v>
      </c>
      <c r="AM135" t="s">
        <v>182</v>
      </c>
      <c r="AN135" t="s">
        <v>183</v>
      </c>
      <c r="AO135" t="s">
        <v>184</v>
      </c>
      <c r="AP135" t="s">
        <v>112</v>
      </c>
      <c r="AQ135" t="s">
        <v>82</v>
      </c>
      <c r="AR135" t="s">
        <v>1883</v>
      </c>
      <c r="AS135" s="3">
        <v>46202.465223999308</v>
      </c>
      <c r="AT135" t="s">
        <v>89</v>
      </c>
      <c r="AU135" t="s">
        <v>90</v>
      </c>
      <c r="AV135" t="s">
        <v>91</v>
      </c>
      <c r="AW135" t="s">
        <v>92</v>
      </c>
      <c r="AX135" t="s">
        <v>93</v>
      </c>
      <c r="AY135" t="s">
        <v>94</v>
      </c>
      <c r="AZ135" t="s">
        <v>85</v>
      </c>
      <c r="BA135" t="s">
        <v>1884</v>
      </c>
      <c r="BB135" t="s">
        <v>1873</v>
      </c>
      <c r="BC135" t="s">
        <v>1875</v>
      </c>
      <c r="BD135" t="s">
        <v>182</v>
      </c>
      <c r="BE135" t="s">
        <v>183</v>
      </c>
      <c r="BF135" t="b">
        <f t="shared" si="2"/>
        <v>1</v>
      </c>
      <c r="BG135" t="b">
        <v>1</v>
      </c>
      <c r="BH135">
        <v>2017</v>
      </c>
      <c r="BI135" t="b">
        <v>1</v>
      </c>
      <c r="BJ135" t="s">
        <v>96</v>
      </c>
      <c r="BK135" t="s">
        <v>191</v>
      </c>
      <c r="BL135" t="b">
        <v>1</v>
      </c>
      <c r="BM135" t="b">
        <v>1</v>
      </c>
      <c r="BN135" t="b">
        <v>1</v>
      </c>
      <c r="BO135" t="s">
        <v>1885</v>
      </c>
      <c r="BP135" t="b">
        <f>IF(IFERROR(VLOOKUP(A135,[1]Planilha1!$A:$A,1,0),FALSE)=FALSE,FALSE,TRUE)</f>
        <v>1</v>
      </c>
    </row>
    <row r="136" spans="1:68" x14ac:dyDescent="0.25">
      <c r="A136" t="s">
        <v>1886</v>
      </c>
      <c r="B136" t="s">
        <v>68</v>
      </c>
      <c r="D136" s="1">
        <v>46204</v>
      </c>
      <c r="E136" s="1">
        <v>47664</v>
      </c>
      <c r="F136" t="s">
        <v>1887</v>
      </c>
      <c r="G136" t="s">
        <v>1888</v>
      </c>
      <c r="H136" s="2" t="s">
        <v>1889</v>
      </c>
      <c r="I136" t="s">
        <v>1888</v>
      </c>
      <c r="K136" t="s">
        <v>1890</v>
      </c>
      <c r="L136">
        <v>5116452</v>
      </c>
      <c r="M136" t="s">
        <v>1891</v>
      </c>
      <c r="N136" t="s">
        <v>389</v>
      </c>
      <c r="O136" t="s">
        <v>390</v>
      </c>
      <c r="P136" t="s">
        <v>107</v>
      </c>
      <c r="Q136" t="s">
        <v>1892</v>
      </c>
      <c r="R136" t="s">
        <v>182</v>
      </c>
      <c r="S136" t="s">
        <v>183</v>
      </c>
      <c r="T136" t="s">
        <v>184</v>
      </c>
      <c r="U136" t="s">
        <v>112</v>
      </c>
      <c r="V136" t="s">
        <v>82</v>
      </c>
      <c r="W136" t="s">
        <v>182</v>
      </c>
      <c r="X136" t="s">
        <v>183</v>
      </c>
      <c r="Y136" t="s">
        <v>184</v>
      </c>
      <c r="Z136" t="s">
        <v>112</v>
      </c>
      <c r="AA136" t="s">
        <v>82</v>
      </c>
      <c r="AB136" t="s">
        <v>83</v>
      </c>
      <c r="AC136" t="s">
        <v>202</v>
      </c>
      <c r="AD136" t="s">
        <v>252</v>
      </c>
      <c r="AE136" t="s">
        <v>1893</v>
      </c>
      <c r="AF136" t="s">
        <v>252</v>
      </c>
      <c r="AG136" t="s">
        <v>1894</v>
      </c>
      <c r="AH136">
        <v>12</v>
      </c>
      <c r="AI136">
        <v>962740</v>
      </c>
      <c r="AJ136">
        <v>100000</v>
      </c>
      <c r="AK136">
        <v>0</v>
      </c>
      <c r="AL136">
        <v>1062740</v>
      </c>
      <c r="AM136" t="s">
        <v>182</v>
      </c>
      <c r="AN136" t="s">
        <v>183</v>
      </c>
      <c r="AO136" t="s">
        <v>184</v>
      </c>
      <c r="AP136" t="s">
        <v>112</v>
      </c>
      <c r="AQ136" t="s">
        <v>82</v>
      </c>
      <c r="AR136" t="s">
        <v>1895</v>
      </c>
      <c r="AS136" s="3">
        <v>46202.465223999308</v>
      </c>
      <c r="AT136" t="s">
        <v>89</v>
      </c>
      <c r="AU136" t="s">
        <v>90</v>
      </c>
      <c r="AV136" t="s">
        <v>91</v>
      </c>
      <c r="AW136" t="s">
        <v>92</v>
      </c>
      <c r="AX136" t="s">
        <v>93</v>
      </c>
      <c r="AY136" t="s">
        <v>94</v>
      </c>
      <c r="AZ136" t="s">
        <v>85</v>
      </c>
      <c r="BA136" t="s">
        <v>1896</v>
      </c>
      <c r="BB136" t="s">
        <v>1886</v>
      </c>
      <c r="BC136" t="s">
        <v>1888</v>
      </c>
      <c r="BD136" t="s">
        <v>182</v>
      </c>
      <c r="BE136" t="s">
        <v>183</v>
      </c>
      <c r="BF136" t="b">
        <f t="shared" si="2"/>
        <v>1</v>
      </c>
      <c r="BG136" t="b">
        <v>1</v>
      </c>
      <c r="BH136">
        <v>1998</v>
      </c>
      <c r="BI136" t="b">
        <v>1</v>
      </c>
      <c r="BJ136" t="s">
        <v>96</v>
      </c>
      <c r="BK136" t="s">
        <v>191</v>
      </c>
      <c r="BL136" t="b">
        <v>1</v>
      </c>
      <c r="BM136" t="b">
        <v>1</v>
      </c>
      <c r="BN136" t="b">
        <v>1</v>
      </c>
      <c r="BO136" t="s">
        <v>1897</v>
      </c>
      <c r="BP136" t="b">
        <f>IF(IFERROR(VLOOKUP(A136,[1]Planilha1!$A:$A,1,0),FALSE)=FALSE,FALSE,TRUE)</f>
        <v>1</v>
      </c>
    </row>
    <row r="137" spans="1:68" x14ac:dyDescent="0.25">
      <c r="A137" t="s">
        <v>1898</v>
      </c>
      <c r="B137" t="s">
        <v>68</v>
      </c>
      <c r="D137" s="1">
        <v>46204</v>
      </c>
      <c r="E137" s="1">
        <v>47664</v>
      </c>
      <c r="F137" t="s">
        <v>1899</v>
      </c>
      <c r="G137" t="s">
        <v>1900</v>
      </c>
      <c r="H137" s="2" t="s">
        <v>1901</v>
      </c>
      <c r="I137" t="s">
        <v>1900</v>
      </c>
      <c r="K137" t="s">
        <v>1902</v>
      </c>
      <c r="L137">
        <v>5116624</v>
      </c>
      <c r="M137" t="s">
        <v>1903</v>
      </c>
      <c r="N137" t="s">
        <v>856</v>
      </c>
      <c r="O137" t="s">
        <v>857</v>
      </c>
      <c r="P137" t="s">
        <v>454</v>
      </c>
      <c r="Q137" t="s">
        <v>1904</v>
      </c>
      <c r="R137" t="s">
        <v>1905</v>
      </c>
      <c r="S137" t="s">
        <v>1906</v>
      </c>
      <c r="T137" t="s">
        <v>111</v>
      </c>
      <c r="U137" t="s">
        <v>112</v>
      </c>
      <c r="V137" t="s">
        <v>82</v>
      </c>
      <c r="W137" t="s">
        <v>1905</v>
      </c>
      <c r="X137" t="s">
        <v>1906</v>
      </c>
      <c r="Y137" t="s">
        <v>111</v>
      </c>
      <c r="Z137" t="s">
        <v>112</v>
      </c>
      <c r="AA137" t="s">
        <v>82</v>
      </c>
      <c r="AB137" t="s">
        <v>83</v>
      </c>
      <c r="AC137" t="s">
        <v>459</v>
      </c>
      <c r="AD137" t="s">
        <v>149</v>
      </c>
      <c r="AE137" t="s">
        <v>1907</v>
      </c>
      <c r="AF137" t="s">
        <v>85</v>
      </c>
      <c r="AG137" t="s">
        <v>1908</v>
      </c>
      <c r="AH137">
        <v>9</v>
      </c>
      <c r="AI137">
        <v>1344720</v>
      </c>
      <c r="AJ137">
        <v>150000</v>
      </c>
      <c r="AK137">
        <v>0</v>
      </c>
      <c r="AL137">
        <v>1494720</v>
      </c>
      <c r="AM137" t="s">
        <v>1905</v>
      </c>
      <c r="AN137" t="s">
        <v>1906</v>
      </c>
      <c r="AO137" t="s">
        <v>111</v>
      </c>
      <c r="AP137" t="s">
        <v>112</v>
      </c>
      <c r="AQ137" t="s">
        <v>82</v>
      </c>
      <c r="AR137" t="s">
        <v>1909</v>
      </c>
      <c r="AS137" s="3">
        <v>46202.465223999308</v>
      </c>
      <c r="AT137" t="s">
        <v>89</v>
      </c>
      <c r="AU137" t="s">
        <v>90</v>
      </c>
      <c r="AV137" t="s">
        <v>91</v>
      </c>
      <c r="AW137" t="s">
        <v>92</v>
      </c>
      <c r="AX137" t="s">
        <v>93</v>
      </c>
      <c r="AY137" t="s">
        <v>94</v>
      </c>
      <c r="AZ137" t="s">
        <v>85</v>
      </c>
      <c r="BA137" t="s">
        <v>1910</v>
      </c>
      <c r="BB137" t="s">
        <v>1898</v>
      </c>
      <c r="BC137" t="s">
        <v>1900</v>
      </c>
      <c r="BD137" t="s">
        <v>1905</v>
      </c>
      <c r="BE137" t="s">
        <v>1906</v>
      </c>
      <c r="BF137" t="b">
        <f t="shared" si="2"/>
        <v>0</v>
      </c>
      <c r="BG137" t="b">
        <v>0</v>
      </c>
      <c r="BH137">
        <v>1993</v>
      </c>
      <c r="BI137" t="b">
        <v>0</v>
      </c>
      <c r="BJ137" t="s">
        <v>96</v>
      </c>
      <c r="BK137" t="s">
        <v>1911</v>
      </c>
      <c r="BL137" t="b">
        <v>0</v>
      </c>
      <c r="BM137" t="b">
        <v>1</v>
      </c>
      <c r="BN137" t="b">
        <v>1</v>
      </c>
      <c r="BO137" t="s">
        <v>1912</v>
      </c>
      <c r="BP137" t="b">
        <f>IF(IFERROR(VLOOKUP(A137,[1]Planilha1!$A:$A,1,0),FALSE)=FALSE,FALSE,TRUE)</f>
        <v>0</v>
      </c>
    </row>
    <row r="138" spans="1:68" x14ac:dyDescent="0.25">
      <c r="A138" t="s">
        <v>1913</v>
      </c>
      <c r="B138" t="s">
        <v>68</v>
      </c>
      <c r="D138" s="1">
        <v>46204</v>
      </c>
      <c r="E138" s="1">
        <v>47664</v>
      </c>
      <c r="F138" t="s">
        <v>1914</v>
      </c>
      <c r="G138" t="s">
        <v>1915</v>
      </c>
      <c r="H138" s="2" t="s">
        <v>1916</v>
      </c>
      <c r="I138" t="s">
        <v>1915</v>
      </c>
      <c r="K138" t="s">
        <v>1917</v>
      </c>
      <c r="L138">
        <v>5116353</v>
      </c>
      <c r="M138" t="s">
        <v>1918</v>
      </c>
      <c r="N138" t="s">
        <v>199</v>
      </c>
      <c r="O138" t="s">
        <v>200</v>
      </c>
      <c r="P138" t="s">
        <v>107</v>
      </c>
      <c r="Q138" t="s">
        <v>1919</v>
      </c>
      <c r="R138" t="s">
        <v>182</v>
      </c>
      <c r="S138" t="s">
        <v>183</v>
      </c>
      <c r="T138" t="s">
        <v>184</v>
      </c>
      <c r="U138" t="s">
        <v>112</v>
      </c>
      <c r="V138" t="s">
        <v>82</v>
      </c>
      <c r="W138" t="s">
        <v>182</v>
      </c>
      <c r="X138" t="s">
        <v>183</v>
      </c>
      <c r="Y138" t="s">
        <v>184</v>
      </c>
      <c r="Z138" t="s">
        <v>112</v>
      </c>
      <c r="AA138" t="s">
        <v>82</v>
      </c>
      <c r="AB138" t="s">
        <v>83</v>
      </c>
      <c r="AC138" t="s">
        <v>202</v>
      </c>
      <c r="AD138" t="s">
        <v>1396</v>
      </c>
      <c r="AE138" t="s">
        <v>1920</v>
      </c>
      <c r="AF138" t="s">
        <v>1396</v>
      </c>
      <c r="AG138" t="s">
        <v>1921</v>
      </c>
      <c r="AH138">
        <v>10</v>
      </c>
      <c r="AI138">
        <v>1347360</v>
      </c>
      <c r="AJ138">
        <v>148600</v>
      </c>
      <c r="AK138">
        <v>0</v>
      </c>
      <c r="AL138">
        <v>1495960</v>
      </c>
      <c r="AM138" t="s">
        <v>182</v>
      </c>
      <c r="AN138" t="s">
        <v>183</v>
      </c>
      <c r="AO138" t="s">
        <v>184</v>
      </c>
      <c r="AP138" t="s">
        <v>112</v>
      </c>
      <c r="AQ138" t="s">
        <v>82</v>
      </c>
      <c r="AR138" t="s">
        <v>1922</v>
      </c>
      <c r="AS138" s="3">
        <v>46202.465223999308</v>
      </c>
      <c r="AT138" t="s">
        <v>89</v>
      </c>
      <c r="AU138" t="s">
        <v>90</v>
      </c>
      <c r="AV138" t="s">
        <v>91</v>
      </c>
      <c r="AW138" t="s">
        <v>92</v>
      </c>
      <c r="AX138" t="s">
        <v>93</v>
      </c>
      <c r="AY138" t="s">
        <v>94</v>
      </c>
      <c r="AZ138" t="s">
        <v>85</v>
      </c>
      <c r="BA138" t="s">
        <v>1923</v>
      </c>
      <c r="BB138" t="s">
        <v>1913</v>
      </c>
      <c r="BC138" t="s">
        <v>1915</v>
      </c>
      <c r="BD138" t="s">
        <v>182</v>
      </c>
      <c r="BE138" t="s">
        <v>183</v>
      </c>
      <c r="BF138" t="b">
        <f t="shared" si="2"/>
        <v>1</v>
      </c>
      <c r="BG138" t="b">
        <v>1</v>
      </c>
      <c r="BH138">
        <v>2002</v>
      </c>
      <c r="BI138" t="b">
        <v>1</v>
      </c>
      <c r="BJ138" t="s">
        <v>96</v>
      </c>
      <c r="BK138" t="s">
        <v>191</v>
      </c>
      <c r="BL138" t="b">
        <v>1</v>
      </c>
      <c r="BM138" t="b">
        <v>1</v>
      </c>
      <c r="BN138" t="b">
        <v>1</v>
      </c>
      <c r="BO138" t="s">
        <v>1924</v>
      </c>
      <c r="BP138" t="b">
        <f>IF(IFERROR(VLOOKUP(A138,[1]Planilha1!$A:$A,1,0),FALSE)=FALSE,FALSE,TRUE)</f>
        <v>1</v>
      </c>
    </row>
    <row r="139" spans="1:68" x14ac:dyDescent="0.25">
      <c r="A139" t="s">
        <v>1925</v>
      </c>
      <c r="B139" t="s">
        <v>68</v>
      </c>
      <c r="D139" s="1">
        <v>46204</v>
      </c>
      <c r="E139" s="1">
        <v>47664</v>
      </c>
      <c r="F139" t="s">
        <v>1926</v>
      </c>
      <c r="G139" t="s">
        <v>1927</v>
      </c>
      <c r="H139" s="2" t="s">
        <v>1928</v>
      </c>
      <c r="I139" t="s">
        <v>1927</v>
      </c>
      <c r="K139" t="s">
        <v>1929</v>
      </c>
      <c r="L139">
        <v>5116568</v>
      </c>
      <c r="M139" t="s">
        <v>1930</v>
      </c>
      <c r="N139" t="s">
        <v>714</v>
      </c>
      <c r="O139" t="s">
        <v>715</v>
      </c>
      <c r="P139" t="s">
        <v>107</v>
      </c>
      <c r="Q139" t="s">
        <v>1931</v>
      </c>
      <c r="R139" t="s">
        <v>331</v>
      </c>
      <c r="S139" t="s">
        <v>332</v>
      </c>
      <c r="T139" t="s">
        <v>111</v>
      </c>
      <c r="U139" t="s">
        <v>112</v>
      </c>
      <c r="V139" t="s">
        <v>82</v>
      </c>
      <c r="W139" t="s">
        <v>331</v>
      </c>
      <c r="X139" t="s">
        <v>332</v>
      </c>
      <c r="Y139" t="s">
        <v>111</v>
      </c>
      <c r="Z139" t="s">
        <v>112</v>
      </c>
      <c r="AA139" t="s">
        <v>82</v>
      </c>
      <c r="AB139" t="s">
        <v>83</v>
      </c>
      <c r="AC139" t="s">
        <v>113</v>
      </c>
      <c r="AD139" t="s">
        <v>252</v>
      </c>
      <c r="AE139" t="s">
        <v>1932</v>
      </c>
      <c r="AF139" t="s">
        <v>85</v>
      </c>
      <c r="AG139" t="s">
        <v>1933</v>
      </c>
      <c r="AH139">
        <v>4</v>
      </c>
      <c r="AI139">
        <v>998400</v>
      </c>
      <c r="AJ139">
        <v>129792</v>
      </c>
      <c r="AK139">
        <v>0</v>
      </c>
      <c r="AL139">
        <v>1128192</v>
      </c>
      <c r="AR139" t="s">
        <v>1934</v>
      </c>
      <c r="AS139" s="3">
        <v>46202.465223999308</v>
      </c>
      <c r="AT139" t="s">
        <v>89</v>
      </c>
      <c r="AU139" t="s">
        <v>90</v>
      </c>
      <c r="AV139" t="s">
        <v>91</v>
      </c>
      <c r="AW139" t="s">
        <v>92</v>
      </c>
      <c r="AX139" t="s">
        <v>93</v>
      </c>
      <c r="AY139" t="s">
        <v>94</v>
      </c>
      <c r="AZ139" t="s">
        <v>85</v>
      </c>
      <c r="BA139" t="s">
        <v>1935</v>
      </c>
      <c r="BB139" t="s">
        <v>1925</v>
      </c>
      <c r="BC139" t="s">
        <v>1927</v>
      </c>
      <c r="BD139" t="s">
        <v>331</v>
      </c>
      <c r="BE139" t="s">
        <v>332</v>
      </c>
      <c r="BF139" t="b">
        <f t="shared" si="2"/>
        <v>1</v>
      </c>
      <c r="BG139" t="b">
        <v>1</v>
      </c>
      <c r="BH139">
        <v>2009</v>
      </c>
      <c r="BI139" t="b">
        <v>1</v>
      </c>
      <c r="BJ139" t="s">
        <v>96</v>
      </c>
      <c r="BK139" t="s">
        <v>338</v>
      </c>
      <c r="BL139" t="b">
        <v>1</v>
      </c>
      <c r="BM139" t="b">
        <v>1</v>
      </c>
      <c r="BN139" t="b">
        <v>1</v>
      </c>
      <c r="BO139" t="s">
        <v>476</v>
      </c>
      <c r="BP139" t="b">
        <f>IF(IFERROR(VLOOKUP(A139,[1]Planilha1!$A:$A,1,0),FALSE)=FALSE,FALSE,TRUE)</f>
        <v>1</v>
      </c>
    </row>
    <row r="140" spans="1:68" x14ac:dyDescent="0.25">
      <c r="A140" t="s">
        <v>1936</v>
      </c>
      <c r="B140" t="s">
        <v>68</v>
      </c>
      <c r="D140" s="1">
        <v>46204</v>
      </c>
      <c r="E140" s="1">
        <v>47664</v>
      </c>
      <c r="F140" t="s">
        <v>1937</v>
      </c>
      <c r="G140" t="s">
        <v>1938</v>
      </c>
      <c r="H140" s="2" t="s">
        <v>1939</v>
      </c>
      <c r="I140" t="s">
        <v>1938</v>
      </c>
      <c r="K140" t="s">
        <v>1940</v>
      </c>
      <c r="L140">
        <v>5116456</v>
      </c>
      <c r="M140" t="s">
        <v>1941</v>
      </c>
      <c r="N140" t="s">
        <v>328</v>
      </c>
      <c r="O140" t="s">
        <v>329</v>
      </c>
      <c r="P140" t="s">
        <v>129</v>
      </c>
      <c r="Q140" t="s">
        <v>1265</v>
      </c>
      <c r="R140" t="s">
        <v>331</v>
      </c>
      <c r="S140" t="s">
        <v>332</v>
      </c>
      <c r="T140" t="s">
        <v>111</v>
      </c>
      <c r="U140" t="s">
        <v>112</v>
      </c>
      <c r="V140" t="s">
        <v>82</v>
      </c>
      <c r="W140" t="s">
        <v>331</v>
      </c>
      <c r="X140" t="s">
        <v>332</v>
      </c>
      <c r="Y140" t="s">
        <v>111</v>
      </c>
      <c r="Z140" t="s">
        <v>112</v>
      </c>
      <c r="AA140" t="s">
        <v>82</v>
      </c>
      <c r="AB140" t="s">
        <v>83</v>
      </c>
      <c r="AC140" t="s">
        <v>333</v>
      </c>
      <c r="AD140" t="s">
        <v>252</v>
      </c>
      <c r="AE140" t="s">
        <v>1942</v>
      </c>
      <c r="AF140" t="s">
        <v>252</v>
      </c>
      <c r="AG140" t="s">
        <v>1943</v>
      </c>
      <c r="AH140">
        <v>6</v>
      </c>
      <c r="AI140">
        <v>1048320</v>
      </c>
      <c r="AJ140">
        <v>136000</v>
      </c>
      <c r="AK140">
        <v>0</v>
      </c>
      <c r="AL140">
        <v>1184320</v>
      </c>
      <c r="AM140" t="s">
        <v>331</v>
      </c>
      <c r="AN140" t="s">
        <v>332</v>
      </c>
      <c r="AO140" t="s">
        <v>111</v>
      </c>
      <c r="AP140" t="s">
        <v>112</v>
      </c>
      <c r="AQ140" t="s">
        <v>82</v>
      </c>
      <c r="AR140" t="s">
        <v>1944</v>
      </c>
      <c r="AS140" s="3">
        <v>46202.465223999308</v>
      </c>
      <c r="AT140" t="s">
        <v>89</v>
      </c>
      <c r="AU140" t="s">
        <v>90</v>
      </c>
      <c r="AV140" t="s">
        <v>91</v>
      </c>
      <c r="AW140" t="s">
        <v>92</v>
      </c>
      <c r="AX140" t="s">
        <v>93</v>
      </c>
      <c r="AY140" t="s">
        <v>94</v>
      </c>
      <c r="AZ140" t="s">
        <v>85</v>
      </c>
      <c r="BA140" t="s">
        <v>1945</v>
      </c>
      <c r="BB140" t="s">
        <v>1936</v>
      </c>
      <c r="BC140" t="s">
        <v>1938</v>
      </c>
      <c r="BD140" t="s">
        <v>331</v>
      </c>
      <c r="BE140" t="s">
        <v>332</v>
      </c>
      <c r="BF140" t="b">
        <f t="shared" si="2"/>
        <v>1</v>
      </c>
      <c r="BG140" t="b">
        <v>1</v>
      </c>
      <c r="BH140">
        <v>1999</v>
      </c>
      <c r="BI140" t="b">
        <v>1</v>
      </c>
      <c r="BJ140" t="s">
        <v>96</v>
      </c>
      <c r="BK140" t="s">
        <v>338</v>
      </c>
      <c r="BL140" t="b">
        <v>1</v>
      </c>
      <c r="BM140" t="b">
        <v>1</v>
      </c>
      <c r="BN140" t="b">
        <v>1</v>
      </c>
      <c r="BO140" t="s">
        <v>1946</v>
      </c>
      <c r="BP140" t="b">
        <f>IF(IFERROR(VLOOKUP(A140,[1]Planilha1!$A:$A,1,0),FALSE)=FALSE,FALSE,TRUE)</f>
        <v>1</v>
      </c>
    </row>
    <row r="141" spans="1:68" x14ac:dyDescent="0.25">
      <c r="A141" t="s">
        <v>1947</v>
      </c>
      <c r="B141" t="s">
        <v>68</v>
      </c>
      <c r="D141" s="1">
        <v>46204</v>
      </c>
      <c r="E141" s="1">
        <v>47664</v>
      </c>
      <c r="F141" t="s">
        <v>1948</v>
      </c>
      <c r="G141" t="s">
        <v>1949</v>
      </c>
      <c r="H141" s="2" t="s">
        <v>1950</v>
      </c>
      <c r="I141" t="s">
        <v>1949</v>
      </c>
      <c r="K141" t="s">
        <v>1951</v>
      </c>
      <c r="L141">
        <v>5116853</v>
      </c>
      <c r="M141" t="s">
        <v>1952</v>
      </c>
      <c r="N141" t="s">
        <v>359</v>
      </c>
      <c r="O141" t="s">
        <v>360</v>
      </c>
      <c r="P141" t="s">
        <v>129</v>
      </c>
      <c r="Q141" t="s">
        <v>1953</v>
      </c>
      <c r="R141" t="s">
        <v>1954</v>
      </c>
      <c r="S141" t="s">
        <v>1955</v>
      </c>
      <c r="T141" t="s">
        <v>1956</v>
      </c>
      <c r="U141" t="s">
        <v>301</v>
      </c>
      <c r="V141" t="s">
        <v>82</v>
      </c>
      <c r="W141" t="s">
        <v>1954</v>
      </c>
      <c r="X141" t="s">
        <v>1955</v>
      </c>
      <c r="Y141" t="s">
        <v>1956</v>
      </c>
      <c r="Z141" t="s">
        <v>301</v>
      </c>
      <c r="AA141" t="s">
        <v>82</v>
      </c>
      <c r="AB141" t="s">
        <v>83</v>
      </c>
      <c r="AC141" t="s">
        <v>185</v>
      </c>
      <c r="AD141" t="s">
        <v>85</v>
      </c>
      <c r="AE141" t="s">
        <v>1957</v>
      </c>
      <c r="AF141" t="s">
        <v>85</v>
      </c>
      <c r="AG141" t="s">
        <v>1958</v>
      </c>
      <c r="AH141">
        <v>12</v>
      </c>
      <c r="AI141">
        <v>1170000</v>
      </c>
      <c r="AJ141">
        <v>130818.48</v>
      </c>
      <c r="AK141">
        <v>0</v>
      </c>
      <c r="AL141">
        <v>1300818.48</v>
      </c>
      <c r="AM141" t="s">
        <v>1954</v>
      </c>
      <c r="AN141" t="s">
        <v>1955</v>
      </c>
      <c r="AO141" t="s">
        <v>1956</v>
      </c>
      <c r="AP141" t="s">
        <v>301</v>
      </c>
      <c r="AQ141" t="s">
        <v>82</v>
      </c>
      <c r="AR141" t="s">
        <v>1959</v>
      </c>
      <c r="AS141" s="3">
        <v>46202.465223999308</v>
      </c>
      <c r="AT141" t="s">
        <v>89</v>
      </c>
      <c r="AU141" t="s">
        <v>90</v>
      </c>
      <c r="AV141" t="s">
        <v>91</v>
      </c>
      <c r="AW141" t="s">
        <v>92</v>
      </c>
      <c r="AX141" t="s">
        <v>93</v>
      </c>
      <c r="AY141" t="s">
        <v>94</v>
      </c>
      <c r="AZ141" t="s">
        <v>85</v>
      </c>
      <c r="BA141" t="s">
        <v>1960</v>
      </c>
      <c r="BB141" t="s">
        <v>1947</v>
      </c>
      <c r="BC141" t="s">
        <v>1949</v>
      </c>
      <c r="BD141" t="s">
        <v>1954</v>
      </c>
      <c r="BE141" t="s">
        <v>1955</v>
      </c>
      <c r="BF141" t="b">
        <f t="shared" si="2"/>
        <v>0</v>
      </c>
      <c r="BG141" t="b">
        <v>0</v>
      </c>
      <c r="BH141">
        <v>2024</v>
      </c>
      <c r="BI141" t="b">
        <v>0</v>
      </c>
      <c r="BJ141" t="s">
        <v>96</v>
      </c>
      <c r="BK141" t="s">
        <v>119</v>
      </c>
      <c r="BL141" t="b">
        <v>1</v>
      </c>
      <c r="BM141" t="b">
        <v>1</v>
      </c>
      <c r="BN141" t="b">
        <v>1</v>
      </c>
      <c r="BO141" t="s">
        <v>1961</v>
      </c>
      <c r="BP141" t="b">
        <f>IF(IFERROR(VLOOKUP(A141,[1]Planilha1!$A:$A,1,0),FALSE)=FALSE,FALSE,TRUE)</f>
        <v>0</v>
      </c>
    </row>
    <row r="142" spans="1:68" x14ac:dyDescent="0.25">
      <c r="A142" t="s">
        <v>1962</v>
      </c>
      <c r="B142" t="s">
        <v>68</v>
      </c>
      <c r="D142" s="1">
        <v>46204</v>
      </c>
      <c r="E142" s="1">
        <v>47664</v>
      </c>
      <c r="F142" t="s">
        <v>1963</v>
      </c>
      <c r="G142" t="s">
        <v>1964</v>
      </c>
      <c r="H142" s="2" t="s">
        <v>1965</v>
      </c>
      <c r="I142" t="s">
        <v>1964</v>
      </c>
      <c r="K142" t="s">
        <v>1966</v>
      </c>
      <c r="L142">
        <v>5116366</v>
      </c>
      <c r="M142" t="s">
        <v>1967</v>
      </c>
      <c r="N142" t="s">
        <v>1025</v>
      </c>
      <c r="O142" t="s">
        <v>715</v>
      </c>
      <c r="P142" t="s">
        <v>107</v>
      </c>
      <c r="Q142" t="s">
        <v>1968</v>
      </c>
      <c r="R142" t="s">
        <v>182</v>
      </c>
      <c r="S142" t="s">
        <v>183</v>
      </c>
      <c r="T142" t="s">
        <v>184</v>
      </c>
      <c r="U142" t="s">
        <v>112</v>
      </c>
      <c r="V142" t="s">
        <v>82</v>
      </c>
      <c r="W142" t="s">
        <v>182</v>
      </c>
      <c r="X142" t="s">
        <v>183</v>
      </c>
      <c r="Y142" t="s">
        <v>184</v>
      </c>
      <c r="Z142" t="s">
        <v>112</v>
      </c>
      <c r="AA142" t="s">
        <v>82</v>
      </c>
      <c r="AB142" t="s">
        <v>83</v>
      </c>
      <c r="AC142" t="s">
        <v>113</v>
      </c>
      <c r="AD142" t="s">
        <v>252</v>
      </c>
      <c r="AE142" t="s">
        <v>1969</v>
      </c>
      <c r="AF142" t="s">
        <v>252</v>
      </c>
      <c r="AG142" t="s">
        <v>1970</v>
      </c>
      <c r="AH142">
        <v>5</v>
      </c>
      <c r="AI142">
        <v>1088880</v>
      </c>
      <c r="AJ142">
        <v>82600</v>
      </c>
      <c r="AK142">
        <v>0</v>
      </c>
      <c r="AL142">
        <v>1171480</v>
      </c>
      <c r="AM142" t="s">
        <v>182</v>
      </c>
      <c r="AN142" t="s">
        <v>183</v>
      </c>
      <c r="AO142" t="s">
        <v>184</v>
      </c>
      <c r="AP142" t="s">
        <v>112</v>
      </c>
      <c r="AQ142" t="s">
        <v>82</v>
      </c>
      <c r="AR142" t="s">
        <v>1971</v>
      </c>
      <c r="AS142" s="3">
        <v>46202.465223999308</v>
      </c>
      <c r="AT142" t="s">
        <v>89</v>
      </c>
      <c r="AU142" t="s">
        <v>90</v>
      </c>
      <c r="AV142" t="s">
        <v>91</v>
      </c>
      <c r="AW142" t="s">
        <v>92</v>
      </c>
      <c r="AX142" t="s">
        <v>93</v>
      </c>
      <c r="AY142" t="s">
        <v>94</v>
      </c>
      <c r="AZ142" t="s">
        <v>85</v>
      </c>
      <c r="BA142" t="s">
        <v>1972</v>
      </c>
      <c r="BB142" t="s">
        <v>1962</v>
      </c>
      <c r="BC142" t="s">
        <v>1964</v>
      </c>
      <c r="BD142" t="s">
        <v>182</v>
      </c>
      <c r="BE142" t="s">
        <v>183</v>
      </c>
      <c r="BF142" t="b">
        <f t="shared" si="2"/>
        <v>1</v>
      </c>
      <c r="BG142" t="b">
        <v>1</v>
      </c>
      <c r="BH142">
        <v>2002</v>
      </c>
      <c r="BI142" t="b">
        <v>1</v>
      </c>
      <c r="BJ142" t="s">
        <v>96</v>
      </c>
      <c r="BK142" t="s">
        <v>191</v>
      </c>
      <c r="BL142" t="b">
        <v>1</v>
      </c>
      <c r="BM142" t="b">
        <v>1</v>
      </c>
      <c r="BN142" t="b">
        <v>1</v>
      </c>
      <c r="BO142" t="s">
        <v>1973</v>
      </c>
      <c r="BP142" t="b">
        <f>IF(IFERROR(VLOOKUP(A142,[1]Planilha1!$A:$A,1,0),FALSE)=FALSE,FALSE,TRUE)</f>
        <v>1</v>
      </c>
    </row>
    <row r="143" spans="1:68" x14ac:dyDescent="0.25">
      <c r="A143" t="s">
        <v>1974</v>
      </c>
      <c r="B143" t="s">
        <v>68</v>
      </c>
      <c r="D143" s="1">
        <v>46204</v>
      </c>
      <c r="E143" s="1">
        <v>47664</v>
      </c>
      <c r="F143" t="s">
        <v>1975</v>
      </c>
      <c r="G143" t="s">
        <v>1976</v>
      </c>
      <c r="H143" s="2" t="s">
        <v>1977</v>
      </c>
      <c r="I143" t="s">
        <v>1976</v>
      </c>
      <c r="K143" t="s">
        <v>1976</v>
      </c>
      <c r="L143">
        <v>5116890</v>
      </c>
      <c r="M143" t="s">
        <v>1978</v>
      </c>
      <c r="N143" t="s">
        <v>389</v>
      </c>
      <c r="O143" t="s">
        <v>390</v>
      </c>
      <c r="P143" t="s">
        <v>107</v>
      </c>
      <c r="Q143" t="s">
        <v>1979</v>
      </c>
      <c r="R143" t="s">
        <v>1980</v>
      </c>
      <c r="S143" t="s">
        <v>1981</v>
      </c>
      <c r="T143" t="s">
        <v>234</v>
      </c>
      <c r="U143" t="s">
        <v>112</v>
      </c>
      <c r="V143" t="s">
        <v>82</v>
      </c>
      <c r="W143" t="s">
        <v>1980</v>
      </c>
      <c r="X143" t="s">
        <v>1981</v>
      </c>
      <c r="Y143" t="s">
        <v>234</v>
      </c>
      <c r="Z143" t="s">
        <v>112</v>
      </c>
      <c r="AA143" t="s">
        <v>82</v>
      </c>
      <c r="AB143" t="s">
        <v>83</v>
      </c>
      <c r="AC143" t="s">
        <v>202</v>
      </c>
      <c r="AD143" t="s">
        <v>85</v>
      </c>
      <c r="AE143" t="s">
        <v>1982</v>
      </c>
      <c r="AF143" t="s">
        <v>85</v>
      </c>
      <c r="AG143" t="s">
        <v>1616</v>
      </c>
      <c r="AH143">
        <v>5</v>
      </c>
      <c r="AI143">
        <v>636480</v>
      </c>
      <c r="AJ143">
        <v>43000</v>
      </c>
      <c r="AK143">
        <v>0</v>
      </c>
      <c r="AL143">
        <v>679480</v>
      </c>
      <c r="AM143" t="s">
        <v>1980</v>
      </c>
      <c r="AN143" t="s">
        <v>1981</v>
      </c>
      <c r="AO143" t="s">
        <v>234</v>
      </c>
      <c r="AP143" t="s">
        <v>112</v>
      </c>
      <c r="AQ143" t="s">
        <v>82</v>
      </c>
      <c r="AR143" t="s">
        <v>1983</v>
      </c>
      <c r="AS143" s="3">
        <v>46202.465223999308</v>
      </c>
      <c r="AT143" t="s">
        <v>89</v>
      </c>
      <c r="AU143" t="s">
        <v>90</v>
      </c>
      <c r="AV143" t="s">
        <v>91</v>
      </c>
      <c r="AW143" t="s">
        <v>92</v>
      </c>
      <c r="AX143" t="s">
        <v>93</v>
      </c>
      <c r="AY143" t="s">
        <v>94</v>
      </c>
      <c r="AZ143" t="s">
        <v>85</v>
      </c>
      <c r="BA143" t="s">
        <v>1984</v>
      </c>
      <c r="BB143" t="s">
        <v>1974</v>
      </c>
      <c r="BC143" t="s">
        <v>1976</v>
      </c>
      <c r="BD143" t="s">
        <v>1980</v>
      </c>
      <c r="BE143" t="s">
        <v>1981</v>
      </c>
      <c r="BF143" t="b">
        <f t="shared" si="2"/>
        <v>0</v>
      </c>
      <c r="BG143" t="b">
        <v>0</v>
      </c>
      <c r="BH143">
        <v>2003</v>
      </c>
      <c r="BI143" t="b">
        <v>0</v>
      </c>
      <c r="BJ143" t="s">
        <v>96</v>
      </c>
      <c r="BK143" t="s">
        <v>119</v>
      </c>
      <c r="BL143" t="b">
        <v>1</v>
      </c>
      <c r="BM143" t="b">
        <v>1</v>
      </c>
      <c r="BN143" t="b">
        <v>1</v>
      </c>
      <c r="BO143" t="s">
        <v>1985</v>
      </c>
      <c r="BP143" t="b">
        <f>IF(IFERROR(VLOOKUP(A143,[1]Planilha1!$A:$A,1,0),FALSE)=FALSE,FALSE,TRUE)</f>
        <v>0</v>
      </c>
    </row>
    <row r="144" spans="1:68" x14ac:dyDescent="0.25">
      <c r="A144" t="s">
        <v>1986</v>
      </c>
      <c r="B144" t="s">
        <v>68</v>
      </c>
      <c r="D144" s="1">
        <v>46204</v>
      </c>
      <c r="E144" s="1">
        <v>47664</v>
      </c>
      <c r="F144" t="s">
        <v>1987</v>
      </c>
      <c r="G144" t="s">
        <v>1988</v>
      </c>
      <c r="H144" s="2" t="s">
        <v>1989</v>
      </c>
      <c r="I144" t="s">
        <v>1988</v>
      </c>
      <c r="K144" t="s">
        <v>1990</v>
      </c>
      <c r="L144">
        <v>5116554</v>
      </c>
      <c r="M144" t="s">
        <v>1991</v>
      </c>
      <c r="N144" t="s">
        <v>714</v>
      </c>
      <c r="O144" t="s">
        <v>715</v>
      </c>
      <c r="P144" t="s">
        <v>107</v>
      </c>
      <c r="Q144" t="s">
        <v>1992</v>
      </c>
      <c r="R144" t="s">
        <v>331</v>
      </c>
      <c r="S144" t="s">
        <v>332</v>
      </c>
      <c r="T144" t="s">
        <v>111</v>
      </c>
      <c r="U144" t="s">
        <v>112</v>
      </c>
      <c r="V144" t="s">
        <v>82</v>
      </c>
      <c r="W144" t="s">
        <v>331</v>
      </c>
      <c r="X144" t="s">
        <v>332</v>
      </c>
      <c r="Y144" t="s">
        <v>111</v>
      </c>
      <c r="Z144" t="s">
        <v>112</v>
      </c>
      <c r="AA144" t="s">
        <v>82</v>
      </c>
      <c r="AB144" t="s">
        <v>83</v>
      </c>
      <c r="AC144" t="s">
        <v>113</v>
      </c>
      <c r="AD144" t="s">
        <v>149</v>
      </c>
      <c r="AE144" t="s">
        <v>1993</v>
      </c>
      <c r="AF144" t="s">
        <v>85</v>
      </c>
      <c r="AG144" t="s">
        <v>1994</v>
      </c>
      <c r="AH144">
        <v>6</v>
      </c>
      <c r="AI144">
        <v>1029600</v>
      </c>
      <c r="AJ144">
        <v>133000</v>
      </c>
      <c r="AK144">
        <v>0</v>
      </c>
      <c r="AL144">
        <v>1162600</v>
      </c>
      <c r="AM144" t="s">
        <v>331</v>
      </c>
      <c r="AN144" t="s">
        <v>332</v>
      </c>
      <c r="AO144" t="s">
        <v>111</v>
      </c>
      <c r="AP144" t="s">
        <v>112</v>
      </c>
      <c r="AQ144" t="s">
        <v>82</v>
      </c>
      <c r="AR144" t="s">
        <v>1995</v>
      </c>
      <c r="AS144" s="3">
        <v>46202.465223999308</v>
      </c>
      <c r="AT144" t="s">
        <v>89</v>
      </c>
      <c r="AU144" t="s">
        <v>90</v>
      </c>
      <c r="AV144" t="s">
        <v>91</v>
      </c>
      <c r="AW144" t="s">
        <v>92</v>
      </c>
      <c r="AX144" t="s">
        <v>93</v>
      </c>
      <c r="AY144" t="s">
        <v>94</v>
      </c>
      <c r="AZ144" t="s">
        <v>85</v>
      </c>
      <c r="BA144" t="s">
        <v>1996</v>
      </c>
      <c r="BB144" t="s">
        <v>1986</v>
      </c>
      <c r="BC144" t="s">
        <v>1988</v>
      </c>
      <c r="BD144" t="s">
        <v>331</v>
      </c>
      <c r="BE144" t="s">
        <v>332</v>
      </c>
      <c r="BF144" t="b">
        <f t="shared" si="2"/>
        <v>1</v>
      </c>
      <c r="BG144" t="b">
        <v>1</v>
      </c>
      <c r="BH144">
        <v>2013</v>
      </c>
      <c r="BI144" t="b">
        <v>1</v>
      </c>
      <c r="BJ144" t="s">
        <v>96</v>
      </c>
      <c r="BK144" t="s">
        <v>338</v>
      </c>
      <c r="BL144" t="b">
        <v>1</v>
      </c>
      <c r="BM144" t="b">
        <v>1</v>
      </c>
      <c r="BN144" t="b">
        <v>1</v>
      </c>
      <c r="BO144" t="s">
        <v>1997</v>
      </c>
      <c r="BP144" t="b">
        <f>IF(IFERROR(VLOOKUP(A144,[1]Planilha1!$A:$A,1,0),FALSE)=FALSE,FALSE,TRUE)</f>
        <v>1</v>
      </c>
    </row>
    <row r="145" spans="1:68" x14ac:dyDescent="0.25">
      <c r="A145" t="s">
        <v>1998</v>
      </c>
      <c r="B145" t="s">
        <v>68</v>
      </c>
      <c r="D145" s="1">
        <v>46204</v>
      </c>
      <c r="E145" s="1">
        <v>47664</v>
      </c>
      <c r="F145" t="s">
        <v>1999</v>
      </c>
      <c r="G145" t="s">
        <v>2000</v>
      </c>
      <c r="H145" s="2" t="s">
        <v>2001</v>
      </c>
      <c r="I145" t="s">
        <v>2000</v>
      </c>
      <c r="K145" t="s">
        <v>2002</v>
      </c>
      <c r="L145">
        <v>5116500</v>
      </c>
      <c r="M145" t="s">
        <v>2003</v>
      </c>
      <c r="N145" t="s">
        <v>249</v>
      </c>
      <c r="O145" t="s">
        <v>250</v>
      </c>
      <c r="P145" t="s">
        <v>76</v>
      </c>
      <c r="Q145" t="s">
        <v>2004</v>
      </c>
      <c r="R145" t="s">
        <v>182</v>
      </c>
      <c r="S145" t="s">
        <v>2005</v>
      </c>
      <c r="T145" t="s">
        <v>111</v>
      </c>
      <c r="U145" t="s">
        <v>112</v>
      </c>
      <c r="V145" t="s">
        <v>82</v>
      </c>
      <c r="W145" t="s">
        <v>182</v>
      </c>
      <c r="X145" t="s">
        <v>2005</v>
      </c>
      <c r="Y145" t="s">
        <v>111</v>
      </c>
      <c r="Z145" t="s">
        <v>112</v>
      </c>
      <c r="AA145" t="s">
        <v>82</v>
      </c>
      <c r="AB145" t="s">
        <v>83</v>
      </c>
      <c r="AC145" t="s">
        <v>202</v>
      </c>
      <c r="AD145" t="s">
        <v>252</v>
      </c>
      <c r="AE145" t="s">
        <v>2006</v>
      </c>
      <c r="AF145" t="s">
        <v>252</v>
      </c>
      <c r="AG145" t="s">
        <v>2007</v>
      </c>
      <c r="AH145">
        <v>7</v>
      </c>
      <c r="AI145">
        <v>1335360</v>
      </c>
      <c r="AJ145">
        <v>150000</v>
      </c>
      <c r="AK145">
        <v>0</v>
      </c>
      <c r="AL145">
        <v>1485360</v>
      </c>
      <c r="AM145" t="s">
        <v>182</v>
      </c>
      <c r="AN145" t="s">
        <v>2005</v>
      </c>
      <c r="AO145" t="s">
        <v>111</v>
      </c>
      <c r="AP145" t="s">
        <v>112</v>
      </c>
      <c r="AQ145" t="s">
        <v>82</v>
      </c>
      <c r="AR145" t="s">
        <v>2008</v>
      </c>
      <c r="AS145" s="3">
        <v>46202.465223999308</v>
      </c>
      <c r="AT145" t="s">
        <v>89</v>
      </c>
      <c r="AU145" t="s">
        <v>90</v>
      </c>
      <c r="AV145" t="s">
        <v>91</v>
      </c>
      <c r="AW145" t="s">
        <v>92</v>
      </c>
      <c r="AX145" t="s">
        <v>93</v>
      </c>
      <c r="AY145" t="s">
        <v>94</v>
      </c>
      <c r="AZ145" t="s">
        <v>85</v>
      </c>
      <c r="BA145" t="s">
        <v>2009</v>
      </c>
      <c r="BB145" t="s">
        <v>1998</v>
      </c>
      <c r="BC145" t="s">
        <v>2000</v>
      </c>
      <c r="BD145" t="s">
        <v>182</v>
      </c>
      <c r="BE145" t="s">
        <v>2005</v>
      </c>
      <c r="BF145" t="b">
        <f t="shared" si="2"/>
        <v>1</v>
      </c>
      <c r="BG145" t="b">
        <v>1</v>
      </c>
      <c r="BH145">
        <v>1998</v>
      </c>
      <c r="BI145" t="b">
        <v>1</v>
      </c>
      <c r="BJ145" t="s">
        <v>96</v>
      </c>
      <c r="BK145" t="s">
        <v>191</v>
      </c>
      <c r="BL145" t="b">
        <v>1</v>
      </c>
      <c r="BM145" t="b">
        <v>1</v>
      </c>
      <c r="BN145" t="b">
        <v>1</v>
      </c>
      <c r="BO145" t="s">
        <v>2010</v>
      </c>
      <c r="BP145" t="b">
        <f>IF(IFERROR(VLOOKUP(A145,[1]Planilha1!$A:$A,1,0),FALSE)=FALSE,FALSE,TRUE)</f>
        <v>1</v>
      </c>
    </row>
    <row r="146" spans="1:68" x14ac:dyDescent="0.25">
      <c r="A146" t="s">
        <v>2011</v>
      </c>
      <c r="B146" t="s">
        <v>68</v>
      </c>
      <c r="D146" s="1">
        <v>46204</v>
      </c>
      <c r="E146" s="1">
        <v>47664</v>
      </c>
      <c r="F146" t="s">
        <v>2012</v>
      </c>
      <c r="G146" t="s">
        <v>2013</v>
      </c>
      <c r="H146" s="2" t="s">
        <v>2014</v>
      </c>
      <c r="I146" t="s">
        <v>2013</v>
      </c>
      <c r="K146" t="s">
        <v>2015</v>
      </c>
      <c r="L146">
        <v>5116816</v>
      </c>
      <c r="M146" t="s">
        <v>2016</v>
      </c>
      <c r="N146" t="s">
        <v>2017</v>
      </c>
      <c r="O146" t="s">
        <v>2018</v>
      </c>
      <c r="P146" t="s">
        <v>230</v>
      </c>
      <c r="Q146" t="s">
        <v>2019</v>
      </c>
      <c r="R146" t="s">
        <v>78</v>
      </c>
      <c r="S146" t="s">
        <v>79</v>
      </c>
      <c r="T146" t="s">
        <v>80</v>
      </c>
      <c r="U146" t="s">
        <v>81</v>
      </c>
      <c r="V146" t="s">
        <v>82</v>
      </c>
      <c r="W146" t="s">
        <v>78</v>
      </c>
      <c r="X146" t="s">
        <v>79</v>
      </c>
      <c r="Y146" t="s">
        <v>80</v>
      </c>
      <c r="Z146" t="s">
        <v>81</v>
      </c>
      <c r="AA146" t="s">
        <v>82</v>
      </c>
      <c r="AB146" t="s">
        <v>83</v>
      </c>
      <c r="AC146" t="s">
        <v>1013</v>
      </c>
      <c r="AD146" t="s">
        <v>85</v>
      </c>
      <c r="AE146" t="s">
        <v>2020</v>
      </c>
      <c r="AF146" t="s">
        <v>85</v>
      </c>
      <c r="AG146" t="s">
        <v>2021</v>
      </c>
      <c r="AH146">
        <v>8</v>
      </c>
      <c r="AI146">
        <v>1360320</v>
      </c>
      <c r="AJ146">
        <v>100000</v>
      </c>
      <c r="AK146">
        <v>0</v>
      </c>
      <c r="AL146">
        <v>1460320</v>
      </c>
      <c r="AM146" t="s">
        <v>78</v>
      </c>
      <c r="AN146" t="s">
        <v>79</v>
      </c>
      <c r="AO146" t="s">
        <v>80</v>
      </c>
      <c r="AP146" t="s">
        <v>81</v>
      </c>
      <c r="AQ146" t="s">
        <v>82</v>
      </c>
      <c r="AR146" t="s">
        <v>2022</v>
      </c>
      <c r="AS146" s="3">
        <v>46202.465223999308</v>
      </c>
      <c r="AT146" t="s">
        <v>89</v>
      </c>
      <c r="AU146" t="s">
        <v>90</v>
      </c>
      <c r="AV146" t="s">
        <v>91</v>
      </c>
      <c r="AW146" t="s">
        <v>92</v>
      </c>
      <c r="AX146" t="s">
        <v>93</v>
      </c>
      <c r="AY146" t="s">
        <v>94</v>
      </c>
      <c r="AZ146" t="s">
        <v>85</v>
      </c>
      <c r="BA146" t="s">
        <v>2023</v>
      </c>
      <c r="BB146" t="s">
        <v>2011</v>
      </c>
      <c r="BC146" t="s">
        <v>2013</v>
      </c>
      <c r="BD146" t="s">
        <v>78</v>
      </c>
      <c r="BE146" t="s">
        <v>79</v>
      </c>
      <c r="BF146" t="b">
        <f t="shared" si="2"/>
        <v>1</v>
      </c>
      <c r="BG146" t="b">
        <v>1</v>
      </c>
      <c r="BH146">
        <v>2011</v>
      </c>
      <c r="BI146" t="b">
        <v>1</v>
      </c>
      <c r="BJ146" t="s">
        <v>96</v>
      </c>
      <c r="BK146" t="s">
        <v>97</v>
      </c>
      <c r="BL146" t="b">
        <v>1</v>
      </c>
      <c r="BM146" t="b">
        <v>1</v>
      </c>
      <c r="BN146" t="b">
        <v>1</v>
      </c>
      <c r="BO146" t="s">
        <v>2024</v>
      </c>
      <c r="BP146" t="b">
        <f>IF(IFERROR(VLOOKUP(A146,[1]Planilha1!$A:$A,1,0),FALSE)=FALSE,FALSE,TRUE)</f>
        <v>1</v>
      </c>
    </row>
    <row r="147" spans="1:68" x14ac:dyDescent="0.25">
      <c r="A147" t="s">
        <v>2025</v>
      </c>
      <c r="B147" t="s">
        <v>68</v>
      </c>
      <c r="D147" s="1">
        <v>46204</v>
      </c>
      <c r="E147" s="1">
        <v>47664</v>
      </c>
      <c r="F147" t="s">
        <v>2026</v>
      </c>
      <c r="G147" t="s">
        <v>2027</v>
      </c>
      <c r="H147" s="2" t="s">
        <v>2028</v>
      </c>
      <c r="I147" t="s">
        <v>2027</v>
      </c>
      <c r="K147" t="s">
        <v>2029</v>
      </c>
      <c r="L147">
        <v>5115512</v>
      </c>
      <c r="M147" t="s">
        <v>2030</v>
      </c>
      <c r="N147" t="s">
        <v>886</v>
      </c>
      <c r="O147" t="s">
        <v>887</v>
      </c>
      <c r="P147" t="s">
        <v>107</v>
      </c>
      <c r="Q147" t="s">
        <v>2031</v>
      </c>
      <c r="R147" t="s">
        <v>281</v>
      </c>
      <c r="S147" t="s">
        <v>282</v>
      </c>
      <c r="T147" t="s">
        <v>111</v>
      </c>
      <c r="U147" t="s">
        <v>112</v>
      </c>
      <c r="V147" t="s">
        <v>82</v>
      </c>
      <c r="W147" t="s">
        <v>281</v>
      </c>
      <c r="X147" t="s">
        <v>282</v>
      </c>
      <c r="Y147" t="s">
        <v>111</v>
      </c>
      <c r="Z147" t="s">
        <v>112</v>
      </c>
      <c r="AA147" t="s">
        <v>82</v>
      </c>
      <c r="AB147" t="s">
        <v>83</v>
      </c>
      <c r="AC147" t="s">
        <v>202</v>
      </c>
      <c r="AD147" t="s">
        <v>633</v>
      </c>
      <c r="AE147" t="s">
        <v>2032</v>
      </c>
      <c r="AF147" t="s">
        <v>633</v>
      </c>
      <c r="AG147" t="s">
        <v>2033</v>
      </c>
      <c r="AH147">
        <v>8</v>
      </c>
      <c r="AI147">
        <v>1360320</v>
      </c>
      <c r="AJ147">
        <v>136032</v>
      </c>
      <c r="AK147">
        <v>0</v>
      </c>
      <c r="AL147">
        <v>1496352</v>
      </c>
      <c r="AR147" t="s">
        <v>2034</v>
      </c>
      <c r="AS147" s="3">
        <v>46202.465223999308</v>
      </c>
      <c r="AT147" t="s">
        <v>89</v>
      </c>
      <c r="AU147" t="s">
        <v>90</v>
      </c>
      <c r="AV147" t="s">
        <v>91</v>
      </c>
      <c r="AW147" t="s">
        <v>92</v>
      </c>
      <c r="AX147" t="s">
        <v>93</v>
      </c>
      <c r="AY147" t="s">
        <v>94</v>
      </c>
      <c r="AZ147" t="s">
        <v>85</v>
      </c>
      <c r="BA147" t="s">
        <v>2035</v>
      </c>
      <c r="BB147" t="s">
        <v>2025</v>
      </c>
      <c r="BC147" t="s">
        <v>2027</v>
      </c>
      <c r="BD147" t="s">
        <v>281</v>
      </c>
      <c r="BE147" t="s">
        <v>282</v>
      </c>
      <c r="BF147" t="b">
        <f t="shared" si="2"/>
        <v>0</v>
      </c>
      <c r="BG147" t="b">
        <v>1</v>
      </c>
      <c r="BH147">
        <v>2001</v>
      </c>
      <c r="BI147" t="b">
        <v>0</v>
      </c>
      <c r="BJ147" t="s">
        <v>96</v>
      </c>
      <c r="BK147" t="s">
        <v>287</v>
      </c>
      <c r="BL147" t="b">
        <v>1</v>
      </c>
      <c r="BM147" t="b">
        <v>1</v>
      </c>
      <c r="BN147" t="b">
        <v>1</v>
      </c>
      <c r="BO147" t="s">
        <v>2036</v>
      </c>
      <c r="BP147" t="b">
        <f>IF(IFERROR(VLOOKUP(A147,[1]Planilha1!$A:$A,1,0),FALSE)=FALSE,FALSE,TRUE)</f>
        <v>0</v>
      </c>
    </row>
    <row r="148" spans="1:68" x14ac:dyDescent="0.25">
      <c r="A148" t="s">
        <v>2037</v>
      </c>
      <c r="B148" t="s">
        <v>68</v>
      </c>
      <c r="D148" s="1">
        <v>46204</v>
      </c>
      <c r="E148" s="1">
        <v>47664</v>
      </c>
      <c r="F148" t="s">
        <v>2038</v>
      </c>
      <c r="G148" t="s">
        <v>2039</v>
      </c>
      <c r="H148" s="2" t="s">
        <v>2040</v>
      </c>
      <c r="I148" t="s">
        <v>2039</v>
      </c>
      <c r="K148" t="s">
        <v>2041</v>
      </c>
      <c r="L148">
        <v>5115919</v>
      </c>
      <c r="M148" t="s">
        <v>2042</v>
      </c>
      <c r="N148" t="s">
        <v>389</v>
      </c>
      <c r="O148" t="s">
        <v>390</v>
      </c>
      <c r="P148" t="s">
        <v>107</v>
      </c>
      <c r="Q148" t="s">
        <v>1236</v>
      </c>
      <c r="R148" t="s">
        <v>2043</v>
      </c>
      <c r="S148" t="s">
        <v>2044</v>
      </c>
      <c r="T148" t="s">
        <v>768</v>
      </c>
      <c r="U148" t="s">
        <v>769</v>
      </c>
      <c r="V148" t="s">
        <v>82</v>
      </c>
      <c r="W148" t="s">
        <v>2043</v>
      </c>
      <c r="X148" t="s">
        <v>2044</v>
      </c>
      <c r="Y148" t="s">
        <v>768</v>
      </c>
      <c r="Z148" t="s">
        <v>769</v>
      </c>
      <c r="AA148" t="s">
        <v>82</v>
      </c>
      <c r="AB148" t="s">
        <v>83</v>
      </c>
      <c r="AC148" t="s">
        <v>202</v>
      </c>
      <c r="AD148" t="s">
        <v>1798</v>
      </c>
      <c r="AE148" t="s">
        <v>2045</v>
      </c>
      <c r="AF148" t="s">
        <v>1798</v>
      </c>
      <c r="AG148" t="s">
        <v>2046</v>
      </c>
      <c r="AH148">
        <v>6</v>
      </c>
      <c r="AI148">
        <v>102600</v>
      </c>
      <c r="AJ148">
        <v>12000</v>
      </c>
      <c r="AK148">
        <v>0</v>
      </c>
      <c r="AL148">
        <v>114600</v>
      </c>
      <c r="AM148" t="s">
        <v>2043</v>
      </c>
      <c r="AN148" t="s">
        <v>2044</v>
      </c>
      <c r="AO148" t="s">
        <v>768</v>
      </c>
      <c r="AP148" t="s">
        <v>769</v>
      </c>
      <c r="AQ148" t="s">
        <v>82</v>
      </c>
      <c r="AR148" t="s">
        <v>2047</v>
      </c>
      <c r="AS148" s="3">
        <v>46202.465223999308</v>
      </c>
      <c r="AT148" t="s">
        <v>89</v>
      </c>
      <c r="AU148" t="s">
        <v>90</v>
      </c>
      <c r="AV148" t="s">
        <v>91</v>
      </c>
      <c r="AW148" t="s">
        <v>92</v>
      </c>
      <c r="AX148" t="s">
        <v>93</v>
      </c>
      <c r="AY148" t="s">
        <v>94</v>
      </c>
      <c r="AZ148" t="s">
        <v>85</v>
      </c>
      <c r="BA148" t="s">
        <v>2048</v>
      </c>
      <c r="BB148" t="s">
        <v>2037</v>
      </c>
      <c r="BC148" t="s">
        <v>2039</v>
      </c>
      <c r="BD148" t="s">
        <v>2043</v>
      </c>
      <c r="BE148" t="s">
        <v>2044</v>
      </c>
      <c r="BF148" t="b">
        <f t="shared" si="2"/>
        <v>0</v>
      </c>
      <c r="BG148" t="b">
        <v>0</v>
      </c>
      <c r="BH148">
        <v>2019</v>
      </c>
      <c r="BI148" t="b">
        <v>0</v>
      </c>
      <c r="BJ148" t="s">
        <v>96</v>
      </c>
      <c r="BK148" t="s">
        <v>2049</v>
      </c>
      <c r="BL148" t="b">
        <v>0</v>
      </c>
      <c r="BM148" t="b">
        <v>1</v>
      </c>
      <c r="BN148" t="b">
        <v>1</v>
      </c>
      <c r="BO148" t="s">
        <v>2050</v>
      </c>
      <c r="BP148" t="b">
        <f>IF(IFERROR(VLOOKUP(A148,[1]Planilha1!$A:$A,1,0),FALSE)=FALSE,FALSE,TRUE)</f>
        <v>0</v>
      </c>
    </row>
    <row r="149" spans="1:68" x14ac:dyDescent="0.25">
      <c r="A149" t="s">
        <v>2051</v>
      </c>
      <c r="B149" t="s">
        <v>68</v>
      </c>
      <c r="D149" s="1">
        <v>46204</v>
      </c>
      <c r="E149" s="1">
        <v>47664</v>
      </c>
      <c r="F149" t="s">
        <v>2052</v>
      </c>
      <c r="G149" t="s">
        <v>2053</v>
      </c>
      <c r="H149" s="2" t="s">
        <v>2054</v>
      </c>
      <c r="I149" t="s">
        <v>2053</v>
      </c>
      <c r="K149" t="s">
        <v>2055</v>
      </c>
      <c r="L149">
        <v>5110385</v>
      </c>
      <c r="M149" t="s">
        <v>2056</v>
      </c>
      <c r="N149" t="s">
        <v>105</v>
      </c>
      <c r="O149" t="s">
        <v>106</v>
      </c>
      <c r="P149" t="s">
        <v>107</v>
      </c>
      <c r="Q149" t="s">
        <v>2057</v>
      </c>
      <c r="R149" t="s">
        <v>2058</v>
      </c>
      <c r="S149" t="s">
        <v>2059</v>
      </c>
      <c r="T149" t="s">
        <v>1770</v>
      </c>
      <c r="U149" t="s">
        <v>769</v>
      </c>
      <c r="V149" t="s">
        <v>82</v>
      </c>
      <c r="W149" t="s">
        <v>2058</v>
      </c>
      <c r="X149" t="s">
        <v>2059</v>
      </c>
      <c r="Y149" t="s">
        <v>1770</v>
      </c>
      <c r="Z149" t="s">
        <v>769</v>
      </c>
      <c r="AA149" t="s">
        <v>82</v>
      </c>
      <c r="AB149" t="s">
        <v>83</v>
      </c>
      <c r="AC149" t="s">
        <v>113</v>
      </c>
      <c r="AD149" t="s">
        <v>316</v>
      </c>
      <c r="AE149" t="s">
        <v>2060</v>
      </c>
      <c r="AF149" t="s">
        <v>2061</v>
      </c>
      <c r="AG149" t="s">
        <v>2062</v>
      </c>
      <c r="AH149">
        <v>14</v>
      </c>
      <c r="AI149">
        <v>940680</v>
      </c>
      <c r="AJ149">
        <v>94000</v>
      </c>
      <c r="AK149">
        <v>0</v>
      </c>
      <c r="AL149">
        <v>1034680</v>
      </c>
      <c r="AM149" t="s">
        <v>2058</v>
      </c>
      <c r="AN149" t="s">
        <v>2059</v>
      </c>
      <c r="AO149" t="s">
        <v>1770</v>
      </c>
      <c r="AP149" t="s">
        <v>769</v>
      </c>
      <c r="AQ149" t="s">
        <v>82</v>
      </c>
      <c r="AR149" t="s">
        <v>2063</v>
      </c>
      <c r="AS149" s="3">
        <v>46202.465223999308</v>
      </c>
      <c r="AT149" t="s">
        <v>89</v>
      </c>
      <c r="AU149" t="s">
        <v>90</v>
      </c>
      <c r="AV149" t="s">
        <v>91</v>
      </c>
      <c r="AW149" t="s">
        <v>92</v>
      </c>
      <c r="AX149" t="s">
        <v>93</v>
      </c>
      <c r="AY149" t="s">
        <v>94</v>
      </c>
      <c r="AZ149" t="s">
        <v>85</v>
      </c>
      <c r="BA149" t="s">
        <v>2064</v>
      </c>
      <c r="BB149" t="s">
        <v>2051</v>
      </c>
      <c r="BC149" t="s">
        <v>2053</v>
      </c>
      <c r="BD149" t="s">
        <v>2058</v>
      </c>
      <c r="BE149" t="s">
        <v>2059</v>
      </c>
      <c r="BF149" t="b">
        <f t="shared" si="2"/>
        <v>0</v>
      </c>
      <c r="BG149" t="b">
        <v>0</v>
      </c>
      <c r="BH149">
        <v>2021</v>
      </c>
      <c r="BI149" t="b">
        <v>0</v>
      </c>
      <c r="BJ149" t="s">
        <v>96</v>
      </c>
      <c r="BK149" t="s">
        <v>119</v>
      </c>
      <c r="BL149" t="b">
        <v>1</v>
      </c>
      <c r="BM149" t="b">
        <v>1</v>
      </c>
      <c r="BN149" t="b">
        <v>1</v>
      </c>
      <c r="BO149" t="s">
        <v>2065</v>
      </c>
      <c r="BP149" t="b">
        <f>IF(IFERROR(VLOOKUP(A149,[1]Planilha1!$A:$A,1,0),FALSE)=FALSE,FALSE,TRUE)</f>
        <v>0</v>
      </c>
    </row>
    <row r="150" spans="1:68" x14ac:dyDescent="0.25">
      <c r="A150" t="s">
        <v>2066</v>
      </c>
      <c r="B150" t="s">
        <v>68</v>
      </c>
      <c r="D150" s="1">
        <v>46204</v>
      </c>
      <c r="E150" s="1">
        <v>47664</v>
      </c>
      <c r="F150" t="s">
        <v>2067</v>
      </c>
      <c r="G150" t="s">
        <v>2068</v>
      </c>
      <c r="H150" s="2" t="s">
        <v>2069</v>
      </c>
      <c r="I150" t="s">
        <v>2068</v>
      </c>
      <c r="K150" t="s">
        <v>2070</v>
      </c>
      <c r="L150">
        <v>5116504</v>
      </c>
      <c r="M150" t="s">
        <v>2071</v>
      </c>
      <c r="N150" t="s">
        <v>2072</v>
      </c>
      <c r="O150" t="s">
        <v>2073</v>
      </c>
      <c r="P150" t="s">
        <v>76</v>
      </c>
      <c r="Q150" t="s">
        <v>2074</v>
      </c>
      <c r="R150" t="s">
        <v>664</v>
      </c>
      <c r="S150" t="s">
        <v>665</v>
      </c>
      <c r="T150" t="s">
        <v>80</v>
      </c>
      <c r="U150" t="s">
        <v>81</v>
      </c>
      <c r="V150" t="s">
        <v>82</v>
      </c>
      <c r="W150" t="s">
        <v>664</v>
      </c>
      <c r="X150" t="s">
        <v>665</v>
      </c>
      <c r="Y150" t="s">
        <v>80</v>
      </c>
      <c r="Z150" t="s">
        <v>81</v>
      </c>
      <c r="AA150" t="s">
        <v>82</v>
      </c>
      <c r="AB150" t="s">
        <v>83</v>
      </c>
      <c r="AC150" t="s">
        <v>166</v>
      </c>
      <c r="AD150" t="s">
        <v>149</v>
      </c>
      <c r="AE150" t="s">
        <v>2075</v>
      </c>
      <c r="AF150" t="s">
        <v>149</v>
      </c>
      <c r="AG150" t="s">
        <v>2076</v>
      </c>
      <c r="AH150">
        <v>6</v>
      </c>
      <c r="AI150">
        <v>945360</v>
      </c>
      <c r="AJ150">
        <v>92500</v>
      </c>
      <c r="AK150">
        <v>0</v>
      </c>
      <c r="AL150">
        <v>1037860</v>
      </c>
      <c r="AM150" t="s">
        <v>664</v>
      </c>
      <c r="AN150" t="s">
        <v>665</v>
      </c>
      <c r="AO150" t="s">
        <v>80</v>
      </c>
      <c r="AP150" t="s">
        <v>81</v>
      </c>
      <c r="AQ150" t="s">
        <v>82</v>
      </c>
      <c r="AR150" t="s">
        <v>2077</v>
      </c>
      <c r="AS150" s="3">
        <v>46202.465223999308</v>
      </c>
      <c r="AT150" t="s">
        <v>89</v>
      </c>
      <c r="AU150" t="s">
        <v>90</v>
      </c>
      <c r="AV150" t="s">
        <v>91</v>
      </c>
      <c r="AW150" t="s">
        <v>92</v>
      </c>
      <c r="AX150" t="s">
        <v>93</v>
      </c>
      <c r="AY150" t="s">
        <v>94</v>
      </c>
      <c r="AZ150" t="s">
        <v>85</v>
      </c>
      <c r="BA150" t="s">
        <v>2078</v>
      </c>
      <c r="BB150" t="s">
        <v>2066</v>
      </c>
      <c r="BC150" t="s">
        <v>2068</v>
      </c>
      <c r="BD150" t="s">
        <v>664</v>
      </c>
      <c r="BE150" t="s">
        <v>665</v>
      </c>
      <c r="BF150" t="b">
        <f t="shared" si="2"/>
        <v>0</v>
      </c>
      <c r="BG150" t="b">
        <v>0</v>
      </c>
      <c r="BH150">
        <v>1998</v>
      </c>
      <c r="BI150" t="b">
        <v>0</v>
      </c>
      <c r="BJ150" t="s">
        <v>96</v>
      </c>
      <c r="BK150" t="s">
        <v>119</v>
      </c>
      <c r="BL150" t="b">
        <v>1</v>
      </c>
      <c r="BM150" t="b">
        <v>1</v>
      </c>
      <c r="BN150" t="b">
        <v>1</v>
      </c>
      <c r="BO150" t="s">
        <v>2079</v>
      </c>
      <c r="BP150" t="b">
        <f>IF(IFERROR(VLOOKUP(A150,[1]Planilha1!$A:$A,1,0),FALSE)=FALSE,FALSE,TRUE)</f>
        <v>0</v>
      </c>
    </row>
    <row r="151" spans="1:68" x14ac:dyDescent="0.25">
      <c r="A151" t="s">
        <v>2080</v>
      </c>
      <c r="B151" t="s">
        <v>68</v>
      </c>
      <c r="D151" s="1">
        <v>46204</v>
      </c>
      <c r="E151" s="1">
        <v>47664</v>
      </c>
      <c r="F151" t="s">
        <v>2081</v>
      </c>
      <c r="G151" t="s">
        <v>2082</v>
      </c>
      <c r="H151" s="2" t="s">
        <v>2083</v>
      </c>
      <c r="I151" t="s">
        <v>2082</v>
      </c>
      <c r="K151" t="s">
        <v>2084</v>
      </c>
      <c r="L151">
        <v>5116462</v>
      </c>
      <c r="M151" t="s">
        <v>2085</v>
      </c>
      <c r="N151" t="s">
        <v>328</v>
      </c>
      <c r="O151" t="s">
        <v>329</v>
      </c>
      <c r="P151" t="s">
        <v>439</v>
      </c>
      <c r="Q151" t="s">
        <v>440</v>
      </c>
      <c r="R151" t="s">
        <v>78</v>
      </c>
      <c r="S151" t="s">
        <v>79</v>
      </c>
      <c r="T151" t="s">
        <v>80</v>
      </c>
      <c r="U151" t="s">
        <v>81</v>
      </c>
      <c r="V151" t="s">
        <v>82</v>
      </c>
      <c r="W151" t="s">
        <v>78</v>
      </c>
      <c r="X151" t="s">
        <v>79</v>
      </c>
      <c r="Y151" t="s">
        <v>80</v>
      </c>
      <c r="Z151" t="s">
        <v>81</v>
      </c>
      <c r="AA151" t="s">
        <v>82</v>
      </c>
      <c r="AB151" t="s">
        <v>83</v>
      </c>
      <c r="AC151" t="s">
        <v>333</v>
      </c>
      <c r="AD151" t="s">
        <v>252</v>
      </c>
      <c r="AE151" t="s">
        <v>2086</v>
      </c>
      <c r="AF151" t="s">
        <v>252</v>
      </c>
      <c r="AG151" t="s">
        <v>2087</v>
      </c>
      <c r="AH151">
        <v>7</v>
      </c>
      <c r="AI151">
        <v>1079520</v>
      </c>
      <c r="AJ151">
        <v>137180</v>
      </c>
      <c r="AK151">
        <v>0</v>
      </c>
      <c r="AL151">
        <v>1216700</v>
      </c>
      <c r="AR151" t="s">
        <v>2088</v>
      </c>
      <c r="AS151" s="3">
        <v>46202.465223999308</v>
      </c>
      <c r="AT151" t="s">
        <v>89</v>
      </c>
      <c r="AU151" t="s">
        <v>90</v>
      </c>
      <c r="AV151" t="s">
        <v>91</v>
      </c>
      <c r="AW151" t="s">
        <v>92</v>
      </c>
      <c r="AX151" t="s">
        <v>93</v>
      </c>
      <c r="AY151" t="s">
        <v>94</v>
      </c>
      <c r="AZ151" t="s">
        <v>85</v>
      </c>
      <c r="BA151" t="s">
        <v>2089</v>
      </c>
      <c r="BB151" t="s">
        <v>2080</v>
      </c>
      <c r="BC151" t="s">
        <v>2082</v>
      </c>
      <c r="BD151" t="s">
        <v>78</v>
      </c>
      <c r="BE151" t="s">
        <v>79</v>
      </c>
      <c r="BF151" t="b">
        <f t="shared" si="2"/>
        <v>1</v>
      </c>
      <c r="BG151" t="b">
        <v>1</v>
      </c>
      <c r="BH151">
        <v>2019</v>
      </c>
      <c r="BI151" t="b">
        <v>1</v>
      </c>
      <c r="BJ151" t="s">
        <v>96</v>
      </c>
      <c r="BK151" t="s">
        <v>97</v>
      </c>
      <c r="BL151" t="b">
        <v>1</v>
      </c>
      <c r="BM151" t="b">
        <v>1</v>
      </c>
      <c r="BN151" t="b">
        <v>1</v>
      </c>
      <c r="BO151" t="s">
        <v>2090</v>
      </c>
      <c r="BP151" t="b">
        <f>IF(IFERROR(VLOOKUP(A151,[1]Planilha1!$A:$A,1,0),FALSE)=FALSE,FALSE,TRUE)</f>
        <v>1</v>
      </c>
    </row>
    <row r="152" spans="1:68" x14ac:dyDescent="0.25">
      <c r="A152" t="s">
        <v>2091</v>
      </c>
      <c r="B152" t="s">
        <v>68</v>
      </c>
      <c r="D152" s="1">
        <v>46204</v>
      </c>
      <c r="E152" s="1">
        <v>47664</v>
      </c>
      <c r="F152" t="s">
        <v>2092</v>
      </c>
      <c r="G152" t="s">
        <v>2093</v>
      </c>
      <c r="H152" s="2" t="s">
        <v>2094</v>
      </c>
      <c r="I152" t="s">
        <v>2093</v>
      </c>
      <c r="K152" t="s">
        <v>2095</v>
      </c>
      <c r="L152">
        <v>5116763</v>
      </c>
      <c r="M152" t="s">
        <v>2096</v>
      </c>
      <c r="N152" t="s">
        <v>389</v>
      </c>
      <c r="O152" t="s">
        <v>390</v>
      </c>
      <c r="P152" t="s">
        <v>107</v>
      </c>
      <c r="Q152" t="s">
        <v>2097</v>
      </c>
      <c r="R152" t="s">
        <v>182</v>
      </c>
      <c r="S152" t="s">
        <v>183</v>
      </c>
      <c r="T152" t="s">
        <v>184</v>
      </c>
      <c r="U152" t="s">
        <v>112</v>
      </c>
      <c r="V152" t="s">
        <v>82</v>
      </c>
      <c r="W152" t="s">
        <v>182</v>
      </c>
      <c r="X152" t="s">
        <v>183</v>
      </c>
      <c r="Y152" t="s">
        <v>184</v>
      </c>
      <c r="Z152" t="s">
        <v>112</v>
      </c>
      <c r="AA152" t="s">
        <v>82</v>
      </c>
      <c r="AB152" t="s">
        <v>83</v>
      </c>
      <c r="AC152" t="s">
        <v>202</v>
      </c>
      <c r="AD152" t="s">
        <v>149</v>
      </c>
      <c r="AE152" t="s">
        <v>2098</v>
      </c>
      <c r="AF152" t="s">
        <v>85</v>
      </c>
      <c r="AG152" t="s">
        <v>2099</v>
      </c>
      <c r="AH152">
        <v>3</v>
      </c>
      <c r="AI152">
        <v>648960</v>
      </c>
      <c r="AJ152">
        <v>70185</v>
      </c>
      <c r="AK152">
        <v>0</v>
      </c>
      <c r="AL152">
        <v>719145</v>
      </c>
      <c r="AR152" t="s">
        <v>2100</v>
      </c>
      <c r="AS152" s="3">
        <v>46202.465223999308</v>
      </c>
      <c r="AT152" t="s">
        <v>89</v>
      </c>
      <c r="AU152" t="s">
        <v>90</v>
      </c>
      <c r="AV152" t="s">
        <v>91</v>
      </c>
      <c r="AW152" t="s">
        <v>92</v>
      </c>
      <c r="AX152" t="s">
        <v>93</v>
      </c>
      <c r="AY152" t="s">
        <v>94</v>
      </c>
      <c r="AZ152" t="s">
        <v>85</v>
      </c>
      <c r="BA152" t="s">
        <v>2101</v>
      </c>
      <c r="BB152" t="s">
        <v>2091</v>
      </c>
      <c r="BC152" t="s">
        <v>2093</v>
      </c>
      <c r="BD152" t="s">
        <v>182</v>
      </c>
      <c r="BE152" t="s">
        <v>183</v>
      </c>
      <c r="BF152" t="b">
        <f t="shared" si="2"/>
        <v>0</v>
      </c>
      <c r="BG152" t="b">
        <v>1</v>
      </c>
      <c r="BH152">
        <v>1993</v>
      </c>
      <c r="BI152" t="b">
        <v>1</v>
      </c>
      <c r="BJ152" t="s">
        <v>96</v>
      </c>
      <c r="BK152" t="s">
        <v>191</v>
      </c>
      <c r="BL152" t="b">
        <v>1</v>
      </c>
      <c r="BM152" t="b">
        <v>0</v>
      </c>
      <c r="BN152" t="b">
        <v>0</v>
      </c>
      <c r="BO152" t="s">
        <v>2102</v>
      </c>
      <c r="BP152" t="b">
        <f>IF(IFERROR(VLOOKUP(A152,[1]Planilha1!$A:$A,1,0),FALSE)=FALSE,FALSE,TRUE)</f>
        <v>0</v>
      </c>
    </row>
    <row r="153" spans="1:68" x14ac:dyDescent="0.25">
      <c r="A153" t="s">
        <v>2103</v>
      </c>
      <c r="B153" t="s">
        <v>68</v>
      </c>
      <c r="D153" s="1">
        <v>46204</v>
      </c>
      <c r="E153" s="1">
        <v>47664</v>
      </c>
      <c r="F153" t="s">
        <v>2104</v>
      </c>
      <c r="G153" t="s">
        <v>2105</v>
      </c>
      <c r="H153" s="2" t="s">
        <v>2106</v>
      </c>
      <c r="I153" t="s">
        <v>2105</v>
      </c>
      <c r="K153" t="s">
        <v>2107</v>
      </c>
      <c r="L153">
        <v>5116699</v>
      </c>
      <c r="M153" t="s">
        <v>2108</v>
      </c>
      <c r="N153" t="s">
        <v>2109</v>
      </c>
      <c r="O153" t="s">
        <v>2018</v>
      </c>
      <c r="P153" t="s">
        <v>230</v>
      </c>
      <c r="Q153" t="s">
        <v>2110</v>
      </c>
      <c r="R153" t="s">
        <v>2111</v>
      </c>
      <c r="S153" t="s">
        <v>2112</v>
      </c>
      <c r="T153" t="s">
        <v>184</v>
      </c>
      <c r="U153" t="s">
        <v>112</v>
      </c>
      <c r="V153" t="s">
        <v>82</v>
      </c>
      <c r="W153" t="s">
        <v>2111</v>
      </c>
      <c r="X153" t="s">
        <v>2112</v>
      </c>
      <c r="Y153" t="s">
        <v>184</v>
      </c>
      <c r="Z153" t="s">
        <v>112</v>
      </c>
      <c r="AA153" t="s">
        <v>82</v>
      </c>
      <c r="AB153" t="s">
        <v>83</v>
      </c>
      <c r="AC153" t="s">
        <v>1013</v>
      </c>
      <c r="AD153" t="s">
        <v>149</v>
      </c>
      <c r="AE153" t="s">
        <v>2113</v>
      </c>
      <c r="AF153" t="s">
        <v>85</v>
      </c>
      <c r="AG153" t="s">
        <v>2114</v>
      </c>
      <c r="AH153">
        <v>4</v>
      </c>
      <c r="AI153">
        <v>486720</v>
      </c>
      <c r="AJ153">
        <v>47000</v>
      </c>
      <c r="AK153">
        <v>0</v>
      </c>
      <c r="AL153">
        <v>533720</v>
      </c>
      <c r="AM153" t="s">
        <v>2111</v>
      </c>
      <c r="AN153" t="s">
        <v>2112</v>
      </c>
      <c r="AO153" t="s">
        <v>184</v>
      </c>
      <c r="AP153" t="s">
        <v>112</v>
      </c>
      <c r="AQ153" t="s">
        <v>82</v>
      </c>
      <c r="AR153" t="s">
        <v>2115</v>
      </c>
      <c r="AS153" s="3">
        <v>46202.465224200983</v>
      </c>
      <c r="AT153" t="s">
        <v>89</v>
      </c>
      <c r="AU153" t="s">
        <v>90</v>
      </c>
      <c r="AV153" t="s">
        <v>2116</v>
      </c>
      <c r="AW153" t="s">
        <v>92</v>
      </c>
      <c r="AX153" t="s">
        <v>2117</v>
      </c>
      <c r="AY153" t="s">
        <v>94</v>
      </c>
      <c r="AZ153" t="s">
        <v>85</v>
      </c>
      <c r="BA153" t="s">
        <v>2118</v>
      </c>
      <c r="BB153" t="s">
        <v>2103</v>
      </c>
      <c r="BC153" t="s">
        <v>2105</v>
      </c>
      <c r="BD153" t="s">
        <v>2111</v>
      </c>
      <c r="BE153" t="s">
        <v>2112</v>
      </c>
      <c r="BF153" t="b">
        <f t="shared" si="2"/>
        <v>1</v>
      </c>
      <c r="BG153" t="b">
        <v>1</v>
      </c>
      <c r="BH153">
        <v>2019</v>
      </c>
      <c r="BI153" t="b">
        <v>1</v>
      </c>
      <c r="BJ153" t="s">
        <v>2119</v>
      </c>
      <c r="BK153" t="s">
        <v>2120</v>
      </c>
      <c r="BL153" t="b">
        <v>1</v>
      </c>
      <c r="BM153" t="b">
        <v>1</v>
      </c>
      <c r="BN153" t="b">
        <v>1</v>
      </c>
      <c r="BO153" t="s">
        <v>2121</v>
      </c>
      <c r="BP153" t="b">
        <f>IF(IFERROR(VLOOKUP(A153,[1]Planilha1!$A:$A,1,0),FALSE)=FALSE,FALSE,TRUE)</f>
        <v>1</v>
      </c>
    </row>
    <row r="154" spans="1:68" x14ac:dyDescent="0.25">
      <c r="A154" t="s">
        <v>2122</v>
      </c>
      <c r="B154" t="s">
        <v>68</v>
      </c>
      <c r="D154" s="1">
        <v>46204</v>
      </c>
      <c r="E154" s="1">
        <v>47664</v>
      </c>
      <c r="F154" t="s">
        <v>2123</v>
      </c>
      <c r="G154" t="s">
        <v>2124</v>
      </c>
      <c r="H154" s="2" t="s">
        <v>2125</v>
      </c>
      <c r="I154" t="s">
        <v>2124</v>
      </c>
      <c r="K154" t="s">
        <v>2126</v>
      </c>
      <c r="L154">
        <v>5116596</v>
      </c>
      <c r="M154" t="s">
        <v>2127</v>
      </c>
      <c r="N154" t="s">
        <v>2128</v>
      </c>
      <c r="O154" t="s">
        <v>2129</v>
      </c>
      <c r="P154" t="s">
        <v>647</v>
      </c>
      <c r="Q154" t="s">
        <v>2130</v>
      </c>
      <c r="R154" t="s">
        <v>2131</v>
      </c>
      <c r="S154" t="s">
        <v>2132</v>
      </c>
      <c r="T154" t="s">
        <v>364</v>
      </c>
      <c r="U154" t="s">
        <v>81</v>
      </c>
      <c r="V154" t="s">
        <v>82</v>
      </c>
      <c r="W154" t="s">
        <v>2131</v>
      </c>
      <c r="X154" t="s">
        <v>2132</v>
      </c>
      <c r="Y154" t="s">
        <v>364</v>
      </c>
      <c r="Z154" t="s">
        <v>81</v>
      </c>
      <c r="AA154" t="s">
        <v>82</v>
      </c>
      <c r="AB154" t="s">
        <v>83</v>
      </c>
      <c r="AC154" t="s">
        <v>649</v>
      </c>
      <c r="AD154" t="s">
        <v>149</v>
      </c>
      <c r="AE154" t="s">
        <v>2133</v>
      </c>
      <c r="AF154" t="s">
        <v>85</v>
      </c>
      <c r="AG154" t="s">
        <v>2134</v>
      </c>
      <c r="AH154">
        <v>8</v>
      </c>
      <c r="AI154">
        <v>1165840</v>
      </c>
      <c r="AJ154">
        <v>127000</v>
      </c>
      <c r="AK154">
        <v>0</v>
      </c>
      <c r="AL154">
        <v>1292840</v>
      </c>
      <c r="AM154" t="s">
        <v>2131</v>
      </c>
      <c r="AN154" t="s">
        <v>2132</v>
      </c>
      <c r="AO154" t="s">
        <v>364</v>
      </c>
      <c r="AP154" t="s">
        <v>81</v>
      </c>
      <c r="AQ154" t="s">
        <v>82</v>
      </c>
      <c r="AR154" t="s">
        <v>2135</v>
      </c>
      <c r="AS154" s="3">
        <v>46202.465224200983</v>
      </c>
      <c r="AT154" t="s">
        <v>89</v>
      </c>
      <c r="AU154" t="s">
        <v>90</v>
      </c>
      <c r="AV154" t="s">
        <v>2116</v>
      </c>
      <c r="AW154" t="s">
        <v>92</v>
      </c>
      <c r="AX154" t="s">
        <v>2117</v>
      </c>
      <c r="AY154" t="s">
        <v>94</v>
      </c>
      <c r="AZ154" t="s">
        <v>85</v>
      </c>
      <c r="BA154" t="s">
        <v>2136</v>
      </c>
      <c r="BB154" t="s">
        <v>2122</v>
      </c>
      <c r="BC154" t="s">
        <v>2124</v>
      </c>
      <c r="BD154" t="s">
        <v>2131</v>
      </c>
      <c r="BE154" t="s">
        <v>2132</v>
      </c>
      <c r="BF154" t="b">
        <f t="shared" si="2"/>
        <v>1</v>
      </c>
      <c r="BG154" t="b">
        <v>1</v>
      </c>
      <c r="BH154">
        <v>2021</v>
      </c>
      <c r="BI154" t="b">
        <v>1</v>
      </c>
      <c r="BJ154" t="s">
        <v>2119</v>
      </c>
      <c r="BK154" t="s">
        <v>2137</v>
      </c>
      <c r="BL154" t="b">
        <v>1</v>
      </c>
      <c r="BM154" t="b">
        <v>1</v>
      </c>
      <c r="BN154" t="b">
        <v>1</v>
      </c>
      <c r="BO154" t="s">
        <v>2138</v>
      </c>
      <c r="BP154" t="b">
        <f>IF(IFERROR(VLOOKUP(A154,[1]Planilha1!$A:$A,1,0),FALSE)=FALSE,FALSE,TRUE)</f>
        <v>1</v>
      </c>
    </row>
    <row r="155" spans="1:68" x14ac:dyDescent="0.25">
      <c r="A155" t="s">
        <v>2139</v>
      </c>
      <c r="B155" t="s">
        <v>68</v>
      </c>
      <c r="D155" s="1">
        <v>46204</v>
      </c>
      <c r="E155" s="1">
        <v>47664</v>
      </c>
      <c r="F155" t="s">
        <v>2140</v>
      </c>
      <c r="G155" t="s">
        <v>2141</v>
      </c>
      <c r="H155" s="2" t="s">
        <v>2142</v>
      </c>
      <c r="I155" t="s">
        <v>2141</v>
      </c>
      <c r="K155" t="s">
        <v>2143</v>
      </c>
      <c r="L155">
        <v>5115498</v>
      </c>
      <c r="M155" t="s">
        <v>2144</v>
      </c>
      <c r="N155" t="s">
        <v>2145</v>
      </c>
      <c r="O155" t="s">
        <v>2146</v>
      </c>
      <c r="P155" t="s">
        <v>129</v>
      </c>
      <c r="Q155" t="s">
        <v>2147</v>
      </c>
      <c r="R155" t="s">
        <v>2148</v>
      </c>
      <c r="S155" t="s">
        <v>2149</v>
      </c>
      <c r="T155" t="s">
        <v>184</v>
      </c>
      <c r="U155" t="s">
        <v>112</v>
      </c>
      <c r="V155" t="s">
        <v>82</v>
      </c>
      <c r="W155" t="s">
        <v>2148</v>
      </c>
      <c r="X155" t="s">
        <v>2149</v>
      </c>
      <c r="Y155" t="s">
        <v>184</v>
      </c>
      <c r="Z155" t="s">
        <v>112</v>
      </c>
      <c r="AA155" t="s">
        <v>82</v>
      </c>
      <c r="AB155" t="s">
        <v>83</v>
      </c>
      <c r="AC155" t="s">
        <v>185</v>
      </c>
      <c r="AD155" t="s">
        <v>2150</v>
      </c>
      <c r="AE155" t="s">
        <v>2151</v>
      </c>
      <c r="AF155" t="s">
        <v>2150</v>
      </c>
      <c r="AG155" t="s">
        <v>2152</v>
      </c>
      <c r="AH155">
        <v>12</v>
      </c>
      <c r="AI155">
        <v>1446476</v>
      </c>
      <c r="AJ155">
        <v>144500</v>
      </c>
      <c r="AK155">
        <v>0</v>
      </c>
      <c r="AL155">
        <v>1590976</v>
      </c>
      <c r="AM155" t="s">
        <v>2148</v>
      </c>
      <c r="AN155" t="s">
        <v>2149</v>
      </c>
      <c r="AO155" t="s">
        <v>184</v>
      </c>
      <c r="AP155" t="s">
        <v>112</v>
      </c>
      <c r="AQ155" t="s">
        <v>82</v>
      </c>
      <c r="AR155" t="s">
        <v>2153</v>
      </c>
      <c r="AS155" s="3">
        <v>46202.465224200983</v>
      </c>
      <c r="AT155" t="s">
        <v>89</v>
      </c>
      <c r="AU155" t="s">
        <v>90</v>
      </c>
      <c r="AV155" t="s">
        <v>2116</v>
      </c>
      <c r="AW155" t="s">
        <v>92</v>
      </c>
      <c r="AX155" t="s">
        <v>2117</v>
      </c>
      <c r="AY155" t="s">
        <v>94</v>
      </c>
      <c r="AZ155" t="s">
        <v>85</v>
      </c>
      <c r="BA155" t="s">
        <v>2154</v>
      </c>
      <c r="BB155" t="s">
        <v>2139</v>
      </c>
      <c r="BC155" t="s">
        <v>2141</v>
      </c>
      <c r="BD155" t="s">
        <v>2148</v>
      </c>
      <c r="BE155" t="s">
        <v>2149</v>
      </c>
      <c r="BF155" t="b">
        <f t="shared" si="2"/>
        <v>1</v>
      </c>
      <c r="BG155" t="b">
        <v>1</v>
      </c>
      <c r="BH155">
        <v>1994</v>
      </c>
      <c r="BI155" t="b">
        <v>1</v>
      </c>
      <c r="BJ155" t="s">
        <v>2119</v>
      </c>
      <c r="BK155" t="s">
        <v>2155</v>
      </c>
      <c r="BL155" t="b">
        <v>1</v>
      </c>
      <c r="BM155" t="b">
        <v>1</v>
      </c>
      <c r="BN155" t="b">
        <v>1</v>
      </c>
      <c r="BO155" t="s">
        <v>2156</v>
      </c>
      <c r="BP155" t="b">
        <f>IF(IFERROR(VLOOKUP(A155,[1]Planilha1!$A:$A,1,0),FALSE)=FALSE,FALSE,TRUE)</f>
        <v>1</v>
      </c>
    </row>
    <row r="156" spans="1:68" x14ac:dyDescent="0.25">
      <c r="A156" t="s">
        <v>2157</v>
      </c>
      <c r="B156" t="s">
        <v>68</v>
      </c>
      <c r="D156" s="1">
        <v>46204</v>
      </c>
      <c r="E156" s="1">
        <v>47664</v>
      </c>
      <c r="F156" t="s">
        <v>2158</v>
      </c>
      <c r="G156" t="s">
        <v>2159</v>
      </c>
      <c r="H156" s="2" t="s">
        <v>2160</v>
      </c>
      <c r="I156" t="s">
        <v>2159</v>
      </c>
      <c r="K156" t="s">
        <v>2161</v>
      </c>
      <c r="L156">
        <v>5116789</v>
      </c>
      <c r="M156" t="s">
        <v>2162</v>
      </c>
      <c r="N156" t="s">
        <v>228</v>
      </c>
      <c r="O156" t="s">
        <v>229</v>
      </c>
      <c r="P156" t="s">
        <v>230</v>
      </c>
      <c r="Q156" t="s">
        <v>483</v>
      </c>
      <c r="R156" t="s">
        <v>2163</v>
      </c>
      <c r="S156" t="s">
        <v>2164</v>
      </c>
      <c r="T156" t="s">
        <v>768</v>
      </c>
      <c r="U156" t="s">
        <v>769</v>
      </c>
      <c r="V156" t="s">
        <v>82</v>
      </c>
      <c r="W156" t="s">
        <v>2163</v>
      </c>
      <c r="X156" t="s">
        <v>2164</v>
      </c>
      <c r="Y156" t="s">
        <v>768</v>
      </c>
      <c r="Z156" t="s">
        <v>769</v>
      </c>
      <c r="AA156" t="s">
        <v>82</v>
      </c>
      <c r="AB156" t="s">
        <v>83</v>
      </c>
      <c r="AC156" t="s">
        <v>235</v>
      </c>
      <c r="AD156" t="s">
        <v>149</v>
      </c>
      <c r="AE156" t="s">
        <v>2165</v>
      </c>
      <c r="AF156" t="s">
        <v>85</v>
      </c>
      <c r="AG156" t="s">
        <v>2166</v>
      </c>
      <c r="AH156">
        <v>15</v>
      </c>
      <c r="AI156">
        <v>1327560</v>
      </c>
      <c r="AJ156">
        <v>150000</v>
      </c>
      <c r="AK156">
        <v>0</v>
      </c>
      <c r="AL156">
        <v>1477560</v>
      </c>
      <c r="AM156" t="s">
        <v>2163</v>
      </c>
      <c r="AN156" t="s">
        <v>2164</v>
      </c>
      <c r="AO156" t="s">
        <v>768</v>
      </c>
      <c r="AP156" t="s">
        <v>769</v>
      </c>
      <c r="AQ156" t="s">
        <v>82</v>
      </c>
      <c r="AR156" t="s">
        <v>2167</v>
      </c>
      <c r="AS156" s="3">
        <v>46202.465224200983</v>
      </c>
      <c r="AT156" t="s">
        <v>89</v>
      </c>
      <c r="AU156" t="s">
        <v>90</v>
      </c>
      <c r="AV156" t="s">
        <v>2116</v>
      </c>
      <c r="AW156" t="s">
        <v>92</v>
      </c>
      <c r="AX156" t="s">
        <v>2117</v>
      </c>
      <c r="AY156" t="s">
        <v>94</v>
      </c>
      <c r="AZ156" t="s">
        <v>85</v>
      </c>
      <c r="BA156" t="s">
        <v>2168</v>
      </c>
      <c r="BB156" t="s">
        <v>2157</v>
      </c>
      <c r="BC156" t="s">
        <v>2159</v>
      </c>
      <c r="BD156" t="s">
        <v>2163</v>
      </c>
      <c r="BE156" t="s">
        <v>2164</v>
      </c>
      <c r="BF156" t="b">
        <f t="shared" si="2"/>
        <v>0</v>
      </c>
      <c r="BG156" t="b">
        <v>0</v>
      </c>
      <c r="BH156">
        <v>2005</v>
      </c>
      <c r="BI156" t="b">
        <v>0</v>
      </c>
      <c r="BJ156" t="s">
        <v>2119</v>
      </c>
      <c r="BK156" t="s">
        <v>2169</v>
      </c>
      <c r="BL156" t="b">
        <v>1</v>
      </c>
      <c r="BM156" t="b">
        <v>1</v>
      </c>
      <c r="BN156" t="b">
        <v>1</v>
      </c>
      <c r="BO156" t="s">
        <v>2170</v>
      </c>
      <c r="BP156" t="b">
        <f>IF(IFERROR(VLOOKUP(A156,[1]Planilha1!$A:$A,1,0),FALSE)=FALSE,FALSE,TRUE)</f>
        <v>0</v>
      </c>
    </row>
    <row r="157" spans="1:68" x14ac:dyDescent="0.25">
      <c r="A157" t="s">
        <v>2171</v>
      </c>
      <c r="B157" t="s">
        <v>68</v>
      </c>
      <c r="D157" s="1">
        <v>46204</v>
      </c>
      <c r="E157" s="1">
        <v>47664</v>
      </c>
      <c r="F157" t="s">
        <v>2172</v>
      </c>
      <c r="G157" t="s">
        <v>2173</v>
      </c>
      <c r="H157" s="2" t="s">
        <v>2174</v>
      </c>
      <c r="I157" t="s">
        <v>2173</v>
      </c>
      <c r="K157" t="s">
        <v>2175</v>
      </c>
      <c r="L157">
        <v>5116748</v>
      </c>
      <c r="M157" t="s">
        <v>2176</v>
      </c>
      <c r="N157" t="s">
        <v>809</v>
      </c>
      <c r="O157" t="s">
        <v>810</v>
      </c>
      <c r="P157" t="s">
        <v>76</v>
      </c>
      <c r="Q157" t="s">
        <v>811</v>
      </c>
      <c r="R157" t="s">
        <v>2131</v>
      </c>
      <c r="S157" t="s">
        <v>2132</v>
      </c>
      <c r="T157" t="s">
        <v>364</v>
      </c>
      <c r="U157" t="s">
        <v>81</v>
      </c>
      <c r="V157" t="s">
        <v>82</v>
      </c>
      <c r="W157" t="s">
        <v>2131</v>
      </c>
      <c r="X157" t="s">
        <v>2132</v>
      </c>
      <c r="Y157" t="s">
        <v>364</v>
      </c>
      <c r="Z157" t="s">
        <v>81</v>
      </c>
      <c r="AA157" t="s">
        <v>82</v>
      </c>
      <c r="AB157" t="s">
        <v>83</v>
      </c>
      <c r="AC157" t="s">
        <v>84</v>
      </c>
      <c r="AD157" t="s">
        <v>149</v>
      </c>
      <c r="AE157" t="s">
        <v>2177</v>
      </c>
      <c r="AF157" t="s">
        <v>85</v>
      </c>
      <c r="AG157" t="s">
        <v>2178</v>
      </c>
      <c r="AH157">
        <v>7</v>
      </c>
      <c r="AI157">
        <v>1349000</v>
      </c>
      <c r="AJ157">
        <v>149280</v>
      </c>
      <c r="AK157">
        <v>0</v>
      </c>
      <c r="AL157">
        <v>1498280</v>
      </c>
      <c r="AM157" t="s">
        <v>2131</v>
      </c>
      <c r="AN157" t="s">
        <v>2132</v>
      </c>
      <c r="AO157" t="s">
        <v>364</v>
      </c>
      <c r="AP157" t="s">
        <v>81</v>
      </c>
      <c r="AQ157" t="s">
        <v>82</v>
      </c>
      <c r="AR157" t="s">
        <v>2179</v>
      </c>
      <c r="AS157" s="3">
        <v>46202.465224200983</v>
      </c>
      <c r="AT157" t="s">
        <v>89</v>
      </c>
      <c r="AU157" t="s">
        <v>90</v>
      </c>
      <c r="AV157" t="s">
        <v>2116</v>
      </c>
      <c r="AW157" t="s">
        <v>92</v>
      </c>
      <c r="AX157" t="s">
        <v>2117</v>
      </c>
      <c r="AY157" t="s">
        <v>94</v>
      </c>
      <c r="AZ157" t="s">
        <v>85</v>
      </c>
      <c r="BA157" t="s">
        <v>2180</v>
      </c>
      <c r="BB157" t="s">
        <v>2171</v>
      </c>
      <c r="BC157" t="s">
        <v>2173</v>
      </c>
      <c r="BD157" t="s">
        <v>2131</v>
      </c>
      <c r="BE157" t="s">
        <v>2132</v>
      </c>
      <c r="BF157" t="b">
        <f t="shared" si="2"/>
        <v>1</v>
      </c>
      <c r="BG157" t="b">
        <v>1</v>
      </c>
      <c r="BH157">
        <v>2022</v>
      </c>
      <c r="BI157" t="b">
        <v>1</v>
      </c>
      <c r="BJ157" t="s">
        <v>2119</v>
      </c>
      <c r="BK157" t="s">
        <v>2137</v>
      </c>
      <c r="BL157" t="b">
        <v>1</v>
      </c>
      <c r="BM157" t="b">
        <v>1</v>
      </c>
      <c r="BN157" t="b">
        <v>1</v>
      </c>
      <c r="BO157" t="s">
        <v>2181</v>
      </c>
      <c r="BP157" t="b">
        <f>IF(IFERROR(VLOOKUP(A157,[1]Planilha1!$A:$A,1,0),FALSE)=FALSE,FALSE,TRUE)</f>
        <v>1</v>
      </c>
    </row>
    <row r="158" spans="1:68" x14ac:dyDescent="0.25">
      <c r="A158" t="s">
        <v>2182</v>
      </c>
      <c r="B158" t="s">
        <v>68</v>
      </c>
      <c r="D158" s="1">
        <v>46204</v>
      </c>
      <c r="E158" s="1">
        <v>47664</v>
      </c>
      <c r="F158" t="s">
        <v>2183</v>
      </c>
      <c r="G158" t="s">
        <v>2184</v>
      </c>
      <c r="H158" s="2" t="s">
        <v>2185</v>
      </c>
      <c r="I158" t="s">
        <v>2184</v>
      </c>
      <c r="K158" t="s">
        <v>2186</v>
      </c>
      <c r="L158">
        <v>5116731</v>
      </c>
      <c r="M158" t="s">
        <v>2187</v>
      </c>
      <c r="N158" t="s">
        <v>359</v>
      </c>
      <c r="O158" t="s">
        <v>360</v>
      </c>
      <c r="P158" t="s">
        <v>129</v>
      </c>
      <c r="Q158" t="s">
        <v>2188</v>
      </c>
      <c r="R158" t="s">
        <v>2111</v>
      </c>
      <c r="S158" t="s">
        <v>2112</v>
      </c>
      <c r="T158" t="s">
        <v>184</v>
      </c>
      <c r="U158" t="s">
        <v>112</v>
      </c>
      <c r="V158" t="s">
        <v>82</v>
      </c>
      <c r="W158" t="s">
        <v>2111</v>
      </c>
      <c r="X158" t="s">
        <v>2112</v>
      </c>
      <c r="Y158" t="s">
        <v>184</v>
      </c>
      <c r="Z158" t="s">
        <v>112</v>
      </c>
      <c r="AA158" t="s">
        <v>82</v>
      </c>
      <c r="AB158" t="s">
        <v>83</v>
      </c>
      <c r="AC158" t="s">
        <v>185</v>
      </c>
      <c r="AD158" t="s">
        <v>149</v>
      </c>
      <c r="AE158" t="s">
        <v>2189</v>
      </c>
      <c r="AF158" t="s">
        <v>85</v>
      </c>
      <c r="AG158" t="s">
        <v>2190</v>
      </c>
      <c r="AH158">
        <v>10</v>
      </c>
      <c r="AI158">
        <v>1033950</v>
      </c>
      <c r="AJ158">
        <v>100000</v>
      </c>
      <c r="AK158">
        <v>0</v>
      </c>
      <c r="AL158">
        <v>1133950</v>
      </c>
      <c r="AM158" t="s">
        <v>2111</v>
      </c>
      <c r="AN158" t="s">
        <v>2112</v>
      </c>
      <c r="AO158" t="s">
        <v>184</v>
      </c>
      <c r="AP158" t="s">
        <v>112</v>
      </c>
      <c r="AQ158" t="s">
        <v>82</v>
      </c>
      <c r="AR158" t="s">
        <v>2191</v>
      </c>
      <c r="AS158" s="3">
        <v>46202.465224200983</v>
      </c>
      <c r="AT158" t="s">
        <v>89</v>
      </c>
      <c r="AU158" t="s">
        <v>90</v>
      </c>
      <c r="AV158" t="s">
        <v>2116</v>
      </c>
      <c r="AW158" t="s">
        <v>92</v>
      </c>
      <c r="AX158" t="s">
        <v>2117</v>
      </c>
      <c r="AY158" t="s">
        <v>94</v>
      </c>
      <c r="AZ158" t="s">
        <v>85</v>
      </c>
      <c r="BA158" t="s">
        <v>2192</v>
      </c>
      <c r="BB158" t="s">
        <v>2182</v>
      </c>
      <c r="BC158" t="s">
        <v>2184</v>
      </c>
      <c r="BD158" t="s">
        <v>2111</v>
      </c>
      <c r="BE158" t="s">
        <v>2112</v>
      </c>
      <c r="BF158" t="b">
        <f t="shared" si="2"/>
        <v>1</v>
      </c>
      <c r="BG158" t="b">
        <v>1</v>
      </c>
      <c r="BH158">
        <v>2010</v>
      </c>
      <c r="BI158" t="b">
        <v>1</v>
      </c>
      <c r="BJ158" t="s">
        <v>2119</v>
      </c>
      <c r="BK158" t="s">
        <v>2120</v>
      </c>
      <c r="BL158" t="b">
        <v>1</v>
      </c>
      <c r="BM158" t="b">
        <v>1</v>
      </c>
      <c r="BN158" t="b">
        <v>1</v>
      </c>
      <c r="BO158" t="s">
        <v>2193</v>
      </c>
      <c r="BP158" t="b">
        <f>IF(IFERROR(VLOOKUP(A158,[1]Planilha1!$A:$A,1,0),FALSE)=FALSE,FALSE,TRUE)</f>
        <v>1</v>
      </c>
    </row>
    <row r="159" spans="1:68" x14ac:dyDescent="0.25">
      <c r="A159" t="s">
        <v>2194</v>
      </c>
      <c r="B159" t="s">
        <v>68</v>
      </c>
      <c r="D159" s="1">
        <v>46204</v>
      </c>
      <c r="E159" s="1">
        <v>47664</v>
      </c>
      <c r="F159" t="s">
        <v>2195</v>
      </c>
      <c r="G159" t="s">
        <v>2196</v>
      </c>
      <c r="H159" s="2" t="s">
        <v>2197</v>
      </c>
      <c r="I159" t="s">
        <v>2196</v>
      </c>
      <c r="K159" t="s">
        <v>2198</v>
      </c>
      <c r="L159">
        <v>5116670</v>
      </c>
      <c r="M159" t="s">
        <v>2199</v>
      </c>
      <c r="N159" t="s">
        <v>2145</v>
      </c>
      <c r="O159" t="s">
        <v>2146</v>
      </c>
      <c r="P159" t="s">
        <v>129</v>
      </c>
      <c r="Q159" t="s">
        <v>2147</v>
      </c>
      <c r="R159" t="s">
        <v>2148</v>
      </c>
      <c r="S159" t="s">
        <v>2149</v>
      </c>
      <c r="T159" t="s">
        <v>184</v>
      </c>
      <c r="U159" t="s">
        <v>112</v>
      </c>
      <c r="V159" t="s">
        <v>82</v>
      </c>
      <c r="W159" t="s">
        <v>2148</v>
      </c>
      <c r="X159" t="s">
        <v>2149</v>
      </c>
      <c r="Y159" t="s">
        <v>184</v>
      </c>
      <c r="Z159" t="s">
        <v>112</v>
      </c>
      <c r="AA159" t="s">
        <v>82</v>
      </c>
      <c r="AB159" t="s">
        <v>83</v>
      </c>
      <c r="AC159" t="s">
        <v>185</v>
      </c>
      <c r="AD159" t="s">
        <v>85</v>
      </c>
      <c r="AE159" t="s">
        <v>2200</v>
      </c>
      <c r="AF159" t="s">
        <v>85</v>
      </c>
      <c r="AG159" t="s">
        <v>2201</v>
      </c>
      <c r="AH159">
        <v>16</v>
      </c>
      <c r="AI159">
        <v>1331460</v>
      </c>
      <c r="AJ159">
        <v>147818.67000000001</v>
      </c>
      <c r="AK159">
        <v>0</v>
      </c>
      <c r="AL159">
        <v>1479278.67</v>
      </c>
      <c r="AM159" t="s">
        <v>2148</v>
      </c>
      <c r="AN159" t="s">
        <v>2149</v>
      </c>
      <c r="AO159" t="s">
        <v>184</v>
      </c>
      <c r="AP159" t="s">
        <v>112</v>
      </c>
      <c r="AQ159" t="s">
        <v>82</v>
      </c>
      <c r="AR159" t="s">
        <v>2202</v>
      </c>
      <c r="AS159" s="3">
        <v>46202.465224200983</v>
      </c>
      <c r="AT159" t="s">
        <v>89</v>
      </c>
      <c r="AU159" t="s">
        <v>90</v>
      </c>
      <c r="AV159" t="s">
        <v>2116</v>
      </c>
      <c r="AW159" t="s">
        <v>92</v>
      </c>
      <c r="AX159" t="s">
        <v>2117</v>
      </c>
      <c r="AY159" t="s">
        <v>94</v>
      </c>
      <c r="AZ159" t="s">
        <v>85</v>
      </c>
      <c r="BA159" t="s">
        <v>2203</v>
      </c>
      <c r="BB159" t="s">
        <v>2194</v>
      </c>
      <c r="BC159" t="s">
        <v>2196</v>
      </c>
      <c r="BD159" t="s">
        <v>2148</v>
      </c>
      <c r="BE159" t="s">
        <v>2149</v>
      </c>
      <c r="BF159" t="b">
        <f t="shared" si="2"/>
        <v>1</v>
      </c>
      <c r="BG159" t="b">
        <v>1</v>
      </c>
      <c r="BH159">
        <v>2004</v>
      </c>
      <c r="BI159" t="b">
        <v>1</v>
      </c>
      <c r="BJ159" t="s">
        <v>2119</v>
      </c>
      <c r="BK159" t="s">
        <v>2155</v>
      </c>
      <c r="BL159" t="b">
        <v>1</v>
      </c>
      <c r="BM159" t="b">
        <v>1</v>
      </c>
      <c r="BN159" t="b">
        <v>1</v>
      </c>
      <c r="BO159" t="s">
        <v>2204</v>
      </c>
      <c r="BP159" t="b">
        <f>IF(IFERROR(VLOOKUP(A159,[1]Planilha1!$A:$A,1,0),FALSE)=FALSE,FALSE,TRUE)</f>
        <v>1</v>
      </c>
    </row>
    <row r="160" spans="1:68" x14ac:dyDescent="0.25">
      <c r="A160" t="s">
        <v>2205</v>
      </c>
      <c r="B160" t="s">
        <v>68</v>
      </c>
      <c r="D160" s="1">
        <v>46204</v>
      </c>
      <c r="E160" s="1">
        <v>47664</v>
      </c>
      <c r="F160" t="s">
        <v>2206</v>
      </c>
      <c r="G160" t="s">
        <v>2207</v>
      </c>
      <c r="H160" s="2" t="s">
        <v>2208</v>
      </c>
      <c r="I160" t="s">
        <v>2207</v>
      </c>
      <c r="K160" t="s">
        <v>2209</v>
      </c>
      <c r="L160">
        <v>5115466</v>
      </c>
      <c r="M160" t="s">
        <v>2210</v>
      </c>
      <c r="N160" t="s">
        <v>2211</v>
      </c>
      <c r="O160" t="s">
        <v>1484</v>
      </c>
      <c r="P160" t="s">
        <v>76</v>
      </c>
      <c r="Q160" t="s">
        <v>2212</v>
      </c>
      <c r="R160" t="s">
        <v>509</v>
      </c>
      <c r="S160" t="s">
        <v>510</v>
      </c>
      <c r="T160" t="s">
        <v>184</v>
      </c>
      <c r="U160" t="s">
        <v>112</v>
      </c>
      <c r="V160" t="s">
        <v>82</v>
      </c>
      <c r="W160" t="s">
        <v>509</v>
      </c>
      <c r="X160" t="s">
        <v>510</v>
      </c>
      <c r="Y160" t="s">
        <v>184</v>
      </c>
      <c r="Z160" t="s">
        <v>112</v>
      </c>
      <c r="AA160" t="s">
        <v>82</v>
      </c>
      <c r="AB160" t="s">
        <v>83</v>
      </c>
      <c r="AC160" t="s">
        <v>166</v>
      </c>
      <c r="AD160" t="s">
        <v>2213</v>
      </c>
      <c r="AE160" t="s">
        <v>2214</v>
      </c>
      <c r="AF160" t="s">
        <v>2213</v>
      </c>
      <c r="AG160" t="s">
        <v>2215</v>
      </c>
      <c r="AH160">
        <v>2</v>
      </c>
      <c r="AI160">
        <v>399360</v>
      </c>
      <c r="AJ160">
        <v>32560</v>
      </c>
      <c r="AK160">
        <v>0</v>
      </c>
      <c r="AL160">
        <v>431920</v>
      </c>
      <c r="AM160" t="s">
        <v>509</v>
      </c>
      <c r="AN160" t="s">
        <v>510</v>
      </c>
      <c r="AO160" t="s">
        <v>184</v>
      </c>
      <c r="AP160" t="s">
        <v>112</v>
      </c>
      <c r="AQ160" t="s">
        <v>82</v>
      </c>
      <c r="AR160" t="s">
        <v>2216</v>
      </c>
      <c r="AS160" s="3">
        <v>46202.465224200983</v>
      </c>
      <c r="AT160" t="s">
        <v>89</v>
      </c>
      <c r="AU160" t="s">
        <v>90</v>
      </c>
      <c r="AV160" t="s">
        <v>2116</v>
      </c>
      <c r="AW160" t="s">
        <v>92</v>
      </c>
      <c r="AX160" t="s">
        <v>2117</v>
      </c>
      <c r="AY160" t="s">
        <v>94</v>
      </c>
      <c r="AZ160" t="s">
        <v>85</v>
      </c>
      <c r="BA160" t="s">
        <v>2217</v>
      </c>
      <c r="BB160" t="s">
        <v>2205</v>
      </c>
      <c r="BC160" t="s">
        <v>2207</v>
      </c>
      <c r="BD160" t="s">
        <v>509</v>
      </c>
      <c r="BE160" t="s">
        <v>510</v>
      </c>
      <c r="BF160" t="b">
        <f t="shared" si="2"/>
        <v>0</v>
      </c>
      <c r="BG160" t="b">
        <v>0</v>
      </c>
      <c r="BH160">
        <v>2006</v>
      </c>
      <c r="BI160" t="b">
        <v>0</v>
      </c>
      <c r="BJ160" t="s">
        <v>2119</v>
      </c>
      <c r="BK160" t="s">
        <v>515</v>
      </c>
      <c r="BL160" t="b">
        <v>0</v>
      </c>
      <c r="BM160" t="b">
        <v>1</v>
      </c>
      <c r="BN160" t="b">
        <v>1</v>
      </c>
      <c r="BO160" t="s">
        <v>2218</v>
      </c>
      <c r="BP160" t="b">
        <f>IF(IFERROR(VLOOKUP(A160,[1]Planilha1!$A:$A,1,0),FALSE)=FALSE,FALSE,TRUE)</f>
        <v>0</v>
      </c>
    </row>
    <row r="161" spans="1:68" x14ac:dyDescent="0.25">
      <c r="A161" t="s">
        <v>2219</v>
      </c>
      <c r="B161" t="s">
        <v>68</v>
      </c>
      <c r="D161" s="1">
        <v>46204</v>
      </c>
      <c r="E161" s="1">
        <v>47664</v>
      </c>
      <c r="F161" t="s">
        <v>2220</v>
      </c>
      <c r="G161" t="s">
        <v>2221</v>
      </c>
      <c r="H161" s="2" t="s">
        <v>2222</v>
      </c>
      <c r="I161" t="s">
        <v>2221</v>
      </c>
      <c r="K161" t="s">
        <v>2223</v>
      </c>
      <c r="L161">
        <v>5116683</v>
      </c>
      <c r="M161" t="s">
        <v>2224</v>
      </c>
      <c r="N161" t="s">
        <v>179</v>
      </c>
      <c r="O161" t="s">
        <v>180</v>
      </c>
      <c r="P161" t="s">
        <v>129</v>
      </c>
      <c r="Q161" t="s">
        <v>1174</v>
      </c>
      <c r="R161" t="s">
        <v>2225</v>
      </c>
      <c r="S161" t="s">
        <v>2226</v>
      </c>
      <c r="T161" t="s">
        <v>111</v>
      </c>
      <c r="U161" t="s">
        <v>112</v>
      </c>
      <c r="V161" t="s">
        <v>82</v>
      </c>
      <c r="W161" t="s">
        <v>2225</v>
      </c>
      <c r="X161" t="s">
        <v>2226</v>
      </c>
      <c r="Y161" t="s">
        <v>111</v>
      </c>
      <c r="Z161" t="s">
        <v>112</v>
      </c>
      <c r="AA161" t="s">
        <v>82</v>
      </c>
      <c r="AB161" t="s">
        <v>83</v>
      </c>
      <c r="AC161" t="s">
        <v>185</v>
      </c>
      <c r="AD161" t="s">
        <v>149</v>
      </c>
      <c r="AE161" t="s">
        <v>1398</v>
      </c>
      <c r="AF161" t="s">
        <v>85</v>
      </c>
      <c r="AG161" t="s">
        <v>2227</v>
      </c>
      <c r="AH161">
        <v>6</v>
      </c>
      <c r="AI161">
        <v>1497600</v>
      </c>
      <c r="AJ161">
        <v>0</v>
      </c>
      <c r="AK161">
        <v>0</v>
      </c>
      <c r="AL161">
        <v>1497600</v>
      </c>
      <c r="AM161" t="s">
        <v>606</v>
      </c>
      <c r="AN161" t="s">
        <v>607</v>
      </c>
      <c r="AO161" t="s">
        <v>184</v>
      </c>
      <c r="AP161" t="s">
        <v>112</v>
      </c>
      <c r="AQ161" t="s">
        <v>82</v>
      </c>
      <c r="AR161" t="s">
        <v>2228</v>
      </c>
      <c r="AS161" s="3">
        <v>46202.465224200983</v>
      </c>
      <c r="AT161" t="s">
        <v>89</v>
      </c>
      <c r="AU161" t="s">
        <v>90</v>
      </c>
      <c r="AV161" t="s">
        <v>2116</v>
      </c>
      <c r="AW161" t="s">
        <v>92</v>
      </c>
      <c r="AX161" t="s">
        <v>2117</v>
      </c>
      <c r="AY161" t="s">
        <v>94</v>
      </c>
      <c r="AZ161" t="s">
        <v>85</v>
      </c>
      <c r="BA161" t="s">
        <v>2229</v>
      </c>
      <c r="BB161" t="s">
        <v>2219</v>
      </c>
      <c r="BC161" t="s">
        <v>2221</v>
      </c>
      <c r="BD161" t="s">
        <v>2225</v>
      </c>
      <c r="BE161" t="s">
        <v>2226</v>
      </c>
      <c r="BF161" t="b">
        <f t="shared" si="2"/>
        <v>0</v>
      </c>
      <c r="BG161" t="b">
        <v>1</v>
      </c>
      <c r="BH161">
        <v>1996</v>
      </c>
      <c r="BI161" t="b">
        <v>0</v>
      </c>
      <c r="BJ161" t="s">
        <v>2119</v>
      </c>
      <c r="BK161" t="s">
        <v>2120</v>
      </c>
      <c r="BL161" t="b">
        <v>1</v>
      </c>
      <c r="BM161" t="b">
        <v>1</v>
      </c>
      <c r="BN161" t="b">
        <v>1</v>
      </c>
      <c r="BO161" t="s">
        <v>2230</v>
      </c>
      <c r="BP161" t="b">
        <f>IF(IFERROR(VLOOKUP(A161,[1]Planilha1!$A:$A,1,0),FALSE)=FALSE,FALSE,TRUE)</f>
        <v>0</v>
      </c>
    </row>
    <row r="162" spans="1:68" x14ac:dyDescent="0.25">
      <c r="A162" t="s">
        <v>2231</v>
      </c>
      <c r="B162" t="s">
        <v>68</v>
      </c>
      <c r="D162" s="1">
        <v>46204</v>
      </c>
      <c r="E162" s="1">
        <v>47664</v>
      </c>
      <c r="F162" t="s">
        <v>2232</v>
      </c>
      <c r="G162" t="s">
        <v>2233</v>
      </c>
      <c r="H162" s="2" t="s">
        <v>2234</v>
      </c>
      <c r="I162" t="s">
        <v>2233</v>
      </c>
      <c r="K162" t="s">
        <v>2235</v>
      </c>
      <c r="L162">
        <v>5116427</v>
      </c>
      <c r="M162" t="s">
        <v>2236</v>
      </c>
      <c r="N162" t="s">
        <v>2237</v>
      </c>
      <c r="O162" t="s">
        <v>2238</v>
      </c>
      <c r="P162" t="s">
        <v>129</v>
      </c>
      <c r="Q162" t="s">
        <v>2239</v>
      </c>
      <c r="R162" t="s">
        <v>2240</v>
      </c>
      <c r="S162" t="s">
        <v>2241</v>
      </c>
      <c r="T162" t="s">
        <v>184</v>
      </c>
      <c r="U162" t="s">
        <v>112</v>
      </c>
      <c r="V162" t="s">
        <v>82</v>
      </c>
      <c r="W162" t="s">
        <v>2240</v>
      </c>
      <c r="X162" t="s">
        <v>2241</v>
      </c>
      <c r="Y162" t="s">
        <v>184</v>
      </c>
      <c r="Z162" t="s">
        <v>112</v>
      </c>
      <c r="AA162" t="s">
        <v>82</v>
      </c>
      <c r="AB162" t="s">
        <v>83</v>
      </c>
      <c r="AC162" t="s">
        <v>333</v>
      </c>
      <c r="AD162" t="s">
        <v>252</v>
      </c>
      <c r="AE162" t="s">
        <v>2242</v>
      </c>
      <c r="AF162" t="s">
        <v>252</v>
      </c>
      <c r="AG162" t="s">
        <v>2243</v>
      </c>
      <c r="AH162">
        <v>5</v>
      </c>
      <c r="AI162">
        <v>1135680</v>
      </c>
      <c r="AJ162">
        <v>23616</v>
      </c>
      <c r="AK162">
        <v>0</v>
      </c>
      <c r="AL162">
        <v>1159296</v>
      </c>
      <c r="AR162" t="s">
        <v>2244</v>
      </c>
      <c r="AS162" s="3">
        <v>46202.465224200983</v>
      </c>
      <c r="AT162" t="s">
        <v>89</v>
      </c>
      <c r="AU162" t="s">
        <v>90</v>
      </c>
      <c r="AV162" t="s">
        <v>2116</v>
      </c>
      <c r="AW162" t="s">
        <v>92</v>
      </c>
      <c r="AX162" t="s">
        <v>2117</v>
      </c>
      <c r="AY162" t="s">
        <v>94</v>
      </c>
      <c r="AZ162" t="s">
        <v>85</v>
      </c>
      <c r="BA162" t="s">
        <v>2245</v>
      </c>
      <c r="BB162" t="s">
        <v>2231</v>
      </c>
      <c r="BC162" t="s">
        <v>2233</v>
      </c>
      <c r="BD162" t="s">
        <v>2240</v>
      </c>
      <c r="BE162" t="s">
        <v>2241</v>
      </c>
      <c r="BF162" t="b">
        <f t="shared" si="2"/>
        <v>0</v>
      </c>
      <c r="BG162" t="b">
        <v>1</v>
      </c>
      <c r="BH162">
        <v>1984</v>
      </c>
      <c r="BI162" t="b">
        <v>0</v>
      </c>
      <c r="BJ162" t="s">
        <v>2119</v>
      </c>
      <c r="BK162" t="s">
        <v>2169</v>
      </c>
      <c r="BL162" t="b">
        <v>1</v>
      </c>
      <c r="BM162" t="b">
        <v>1</v>
      </c>
      <c r="BN162" t="b">
        <v>1</v>
      </c>
      <c r="BO162" t="s">
        <v>2246</v>
      </c>
      <c r="BP162" t="b">
        <f>IF(IFERROR(VLOOKUP(A162,[1]Planilha1!$A:$A,1,0),FALSE)=FALSE,FALSE,TRUE)</f>
        <v>0</v>
      </c>
    </row>
    <row r="163" spans="1:68" x14ac:dyDescent="0.25">
      <c r="A163" t="s">
        <v>2247</v>
      </c>
      <c r="B163" t="s">
        <v>68</v>
      </c>
      <c r="D163" s="1">
        <v>46204</v>
      </c>
      <c r="E163" s="1">
        <v>47664</v>
      </c>
      <c r="F163" t="s">
        <v>2248</v>
      </c>
      <c r="G163" t="s">
        <v>2249</v>
      </c>
      <c r="H163" s="2" t="s">
        <v>2250</v>
      </c>
      <c r="I163" t="s">
        <v>2249</v>
      </c>
      <c r="K163" t="s">
        <v>2251</v>
      </c>
      <c r="L163">
        <v>5116562</v>
      </c>
      <c r="M163" t="s">
        <v>2252</v>
      </c>
      <c r="N163" t="s">
        <v>359</v>
      </c>
      <c r="O163" t="s">
        <v>360</v>
      </c>
      <c r="P163" t="s">
        <v>129</v>
      </c>
      <c r="Q163" t="s">
        <v>1953</v>
      </c>
      <c r="R163" t="s">
        <v>2043</v>
      </c>
      <c r="S163" t="s">
        <v>2044</v>
      </c>
      <c r="T163" t="s">
        <v>768</v>
      </c>
      <c r="U163" t="s">
        <v>769</v>
      </c>
      <c r="V163" t="s">
        <v>82</v>
      </c>
      <c r="W163" t="s">
        <v>2043</v>
      </c>
      <c r="X163" t="s">
        <v>2044</v>
      </c>
      <c r="Y163" t="s">
        <v>768</v>
      </c>
      <c r="Z163" t="s">
        <v>769</v>
      </c>
      <c r="AA163" t="s">
        <v>82</v>
      </c>
      <c r="AB163" t="s">
        <v>83</v>
      </c>
      <c r="AC163" t="s">
        <v>185</v>
      </c>
      <c r="AD163" t="s">
        <v>149</v>
      </c>
      <c r="AE163" t="s">
        <v>2215</v>
      </c>
      <c r="AF163" t="s">
        <v>85</v>
      </c>
      <c r="AG163" t="s">
        <v>2253</v>
      </c>
      <c r="AH163">
        <v>10</v>
      </c>
      <c r="AI163">
        <v>1028300</v>
      </c>
      <c r="AJ163">
        <v>145000</v>
      </c>
      <c r="AK163">
        <v>0</v>
      </c>
      <c r="AL163">
        <v>1173300</v>
      </c>
      <c r="AM163" t="s">
        <v>2043</v>
      </c>
      <c r="AN163" t="s">
        <v>2044</v>
      </c>
      <c r="AO163" t="s">
        <v>768</v>
      </c>
      <c r="AP163" t="s">
        <v>769</v>
      </c>
      <c r="AQ163" t="s">
        <v>82</v>
      </c>
      <c r="AR163" t="s">
        <v>2254</v>
      </c>
      <c r="AS163" s="3">
        <v>46202.465224200983</v>
      </c>
      <c r="AT163" t="s">
        <v>89</v>
      </c>
      <c r="AU163" t="s">
        <v>90</v>
      </c>
      <c r="AV163" t="s">
        <v>2116</v>
      </c>
      <c r="AW163" t="s">
        <v>92</v>
      </c>
      <c r="AX163" t="s">
        <v>2117</v>
      </c>
      <c r="AY163" t="s">
        <v>94</v>
      </c>
      <c r="AZ163" t="s">
        <v>85</v>
      </c>
      <c r="BA163" t="s">
        <v>2255</v>
      </c>
      <c r="BB163" t="s">
        <v>2247</v>
      </c>
      <c r="BC163" t="s">
        <v>2249</v>
      </c>
      <c r="BD163" t="s">
        <v>2043</v>
      </c>
      <c r="BE163" t="s">
        <v>2044</v>
      </c>
      <c r="BF163" t="b">
        <f t="shared" si="2"/>
        <v>0</v>
      </c>
      <c r="BG163" t="b">
        <v>0</v>
      </c>
      <c r="BH163">
        <v>2016</v>
      </c>
      <c r="BI163" t="b">
        <v>0</v>
      </c>
      <c r="BJ163" t="s">
        <v>2119</v>
      </c>
      <c r="BK163" t="s">
        <v>2049</v>
      </c>
      <c r="BL163" t="b">
        <v>1</v>
      </c>
      <c r="BM163" t="b">
        <v>1</v>
      </c>
      <c r="BN163" t="b">
        <v>1</v>
      </c>
      <c r="BO163" t="s">
        <v>2256</v>
      </c>
      <c r="BP163" t="b">
        <f>IF(IFERROR(VLOOKUP(A163,[1]Planilha1!$A:$A,1,0),FALSE)=FALSE,FALSE,TRUE)</f>
        <v>0</v>
      </c>
    </row>
    <row r="164" spans="1:68" x14ac:dyDescent="0.25">
      <c r="A164" t="s">
        <v>2257</v>
      </c>
      <c r="B164" t="s">
        <v>68</v>
      </c>
      <c r="D164" s="1">
        <v>46204</v>
      </c>
      <c r="E164" s="1">
        <v>47664</v>
      </c>
      <c r="F164" t="s">
        <v>2258</v>
      </c>
      <c r="G164" t="s">
        <v>2259</v>
      </c>
      <c r="H164" s="2" t="s">
        <v>2260</v>
      </c>
      <c r="I164" t="s">
        <v>2259</v>
      </c>
      <c r="K164" t="s">
        <v>2261</v>
      </c>
      <c r="L164">
        <v>5115729</v>
      </c>
      <c r="M164" t="s">
        <v>2262</v>
      </c>
      <c r="N164" t="s">
        <v>161</v>
      </c>
      <c r="O164" t="s">
        <v>162</v>
      </c>
      <c r="P164" t="s">
        <v>76</v>
      </c>
      <c r="Q164" t="s">
        <v>924</v>
      </c>
      <c r="R164" t="s">
        <v>2225</v>
      </c>
      <c r="S164" t="s">
        <v>2226</v>
      </c>
      <c r="T164" t="s">
        <v>111</v>
      </c>
      <c r="U164" t="s">
        <v>112</v>
      </c>
      <c r="V164" t="s">
        <v>82</v>
      </c>
      <c r="W164" t="s">
        <v>2225</v>
      </c>
      <c r="X164" t="s">
        <v>2226</v>
      </c>
      <c r="Y164" t="s">
        <v>111</v>
      </c>
      <c r="Z164" t="s">
        <v>112</v>
      </c>
      <c r="AA164" t="s">
        <v>82</v>
      </c>
      <c r="AB164" t="s">
        <v>83</v>
      </c>
      <c r="AC164" t="s">
        <v>166</v>
      </c>
      <c r="AD164" t="s">
        <v>1880</v>
      </c>
      <c r="AE164" t="s">
        <v>2263</v>
      </c>
      <c r="AF164" t="s">
        <v>1880</v>
      </c>
      <c r="AG164" t="s">
        <v>2264</v>
      </c>
      <c r="AH164">
        <v>8</v>
      </c>
      <c r="AI164">
        <v>1123200</v>
      </c>
      <c r="AJ164">
        <v>112320</v>
      </c>
      <c r="AK164">
        <v>0</v>
      </c>
      <c r="AL164">
        <v>1235520</v>
      </c>
      <c r="AM164" t="s">
        <v>2225</v>
      </c>
      <c r="AN164" t="s">
        <v>2226</v>
      </c>
      <c r="AO164" t="s">
        <v>111</v>
      </c>
      <c r="AP164" t="s">
        <v>112</v>
      </c>
      <c r="AQ164" t="s">
        <v>82</v>
      </c>
      <c r="AR164" t="s">
        <v>2265</v>
      </c>
      <c r="AS164" s="3">
        <v>46202.465224200983</v>
      </c>
      <c r="AT164" t="s">
        <v>89</v>
      </c>
      <c r="AU164" t="s">
        <v>90</v>
      </c>
      <c r="AV164" t="s">
        <v>2116</v>
      </c>
      <c r="AW164" t="s">
        <v>92</v>
      </c>
      <c r="AX164" t="s">
        <v>2117</v>
      </c>
      <c r="AY164" t="s">
        <v>94</v>
      </c>
      <c r="AZ164" t="s">
        <v>85</v>
      </c>
      <c r="BA164" t="s">
        <v>2266</v>
      </c>
      <c r="BB164" t="s">
        <v>2257</v>
      </c>
      <c r="BC164" t="s">
        <v>2259</v>
      </c>
      <c r="BD164" t="s">
        <v>2225</v>
      </c>
      <c r="BE164" t="s">
        <v>2226</v>
      </c>
      <c r="BF164" t="b">
        <f t="shared" si="2"/>
        <v>1</v>
      </c>
      <c r="BG164" t="b">
        <v>1</v>
      </c>
      <c r="BH164">
        <v>2023</v>
      </c>
      <c r="BI164" t="b">
        <v>1</v>
      </c>
      <c r="BJ164" t="s">
        <v>2119</v>
      </c>
      <c r="BK164" t="s">
        <v>2120</v>
      </c>
      <c r="BL164" t="b">
        <v>1</v>
      </c>
      <c r="BM164" t="b">
        <v>1</v>
      </c>
      <c r="BN164" t="b">
        <v>1</v>
      </c>
      <c r="BO164" t="s">
        <v>2267</v>
      </c>
      <c r="BP164" t="b">
        <f>IF(IFERROR(VLOOKUP(A164,[1]Planilha1!$A:$A,1,0),FALSE)=FALSE,FALSE,TRUE)</f>
        <v>1</v>
      </c>
    </row>
    <row r="165" spans="1:68" x14ac:dyDescent="0.25">
      <c r="A165" t="s">
        <v>2268</v>
      </c>
      <c r="B165" t="s">
        <v>68</v>
      </c>
      <c r="D165" s="1">
        <v>46204</v>
      </c>
      <c r="E165" s="1">
        <v>47664</v>
      </c>
      <c r="F165" t="s">
        <v>2269</v>
      </c>
      <c r="G165" t="s">
        <v>2270</v>
      </c>
      <c r="H165" s="2" t="s">
        <v>2271</v>
      </c>
      <c r="I165" t="s">
        <v>2270</v>
      </c>
      <c r="K165" t="s">
        <v>2270</v>
      </c>
      <c r="L165">
        <v>5116435</v>
      </c>
      <c r="M165" t="s">
        <v>2272</v>
      </c>
      <c r="N165" t="s">
        <v>359</v>
      </c>
      <c r="O165" t="s">
        <v>360</v>
      </c>
      <c r="P165" t="s">
        <v>129</v>
      </c>
      <c r="Q165" t="s">
        <v>2273</v>
      </c>
      <c r="R165" t="s">
        <v>2274</v>
      </c>
      <c r="S165" t="s">
        <v>2275</v>
      </c>
      <c r="T165" t="s">
        <v>1552</v>
      </c>
      <c r="U165" t="s">
        <v>134</v>
      </c>
      <c r="V165" t="s">
        <v>82</v>
      </c>
      <c r="W165" t="s">
        <v>2274</v>
      </c>
      <c r="X165" t="s">
        <v>2275</v>
      </c>
      <c r="Y165" t="s">
        <v>1552</v>
      </c>
      <c r="Z165" t="s">
        <v>134</v>
      </c>
      <c r="AA165" t="s">
        <v>82</v>
      </c>
      <c r="AB165" t="s">
        <v>83</v>
      </c>
      <c r="AC165" t="s">
        <v>185</v>
      </c>
      <c r="AD165" t="s">
        <v>252</v>
      </c>
      <c r="AE165" t="s">
        <v>2276</v>
      </c>
      <c r="AF165" t="s">
        <v>252</v>
      </c>
      <c r="AG165" t="s">
        <v>2277</v>
      </c>
      <c r="AH165">
        <v>10</v>
      </c>
      <c r="AI165">
        <v>1366560</v>
      </c>
      <c r="AJ165">
        <v>125236</v>
      </c>
      <c r="AK165">
        <v>0</v>
      </c>
      <c r="AL165">
        <v>1491796</v>
      </c>
      <c r="AM165" t="s">
        <v>2274</v>
      </c>
      <c r="AN165" t="s">
        <v>2275</v>
      </c>
      <c r="AO165" t="s">
        <v>1552</v>
      </c>
      <c r="AP165" t="s">
        <v>134</v>
      </c>
      <c r="AQ165" t="s">
        <v>82</v>
      </c>
      <c r="AR165" t="s">
        <v>2278</v>
      </c>
      <c r="AS165" s="3">
        <v>46202.465224200983</v>
      </c>
      <c r="AT165" t="s">
        <v>89</v>
      </c>
      <c r="AU165" t="s">
        <v>90</v>
      </c>
      <c r="AV165" t="s">
        <v>2116</v>
      </c>
      <c r="AW165" t="s">
        <v>92</v>
      </c>
      <c r="AX165" t="s">
        <v>2117</v>
      </c>
      <c r="AY165" t="s">
        <v>94</v>
      </c>
      <c r="AZ165" t="s">
        <v>85</v>
      </c>
      <c r="BA165" t="s">
        <v>2279</v>
      </c>
      <c r="BB165" t="s">
        <v>2268</v>
      </c>
      <c r="BC165" t="s">
        <v>2270</v>
      </c>
      <c r="BD165" t="s">
        <v>2274</v>
      </c>
      <c r="BE165" t="s">
        <v>2275</v>
      </c>
      <c r="BF165" t="b">
        <f t="shared" si="2"/>
        <v>0</v>
      </c>
      <c r="BG165" t="b">
        <v>0</v>
      </c>
      <c r="BH165">
        <v>2003</v>
      </c>
      <c r="BI165" t="b">
        <v>0</v>
      </c>
      <c r="BJ165" t="s">
        <v>2119</v>
      </c>
      <c r="BK165" t="s">
        <v>2169</v>
      </c>
      <c r="BL165" t="b">
        <v>1</v>
      </c>
      <c r="BM165" t="b">
        <v>1</v>
      </c>
      <c r="BN165" t="b">
        <v>1</v>
      </c>
      <c r="BO165" t="s">
        <v>2280</v>
      </c>
      <c r="BP165" t="b">
        <f>IF(IFERROR(VLOOKUP(A165,[1]Planilha1!$A:$A,1,0),FALSE)=FALSE,FALSE,TRUE)</f>
        <v>0</v>
      </c>
    </row>
    <row r="166" spans="1:68" x14ac:dyDescent="0.25">
      <c r="A166" t="s">
        <v>2281</v>
      </c>
      <c r="B166" t="s">
        <v>68</v>
      </c>
      <c r="D166" s="1">
        <v>46204</v>
      </c>
      <c r="E166" s="1">
        <v>47664</v>
      </c>
      <c r="F166" t="s">
        <v>2282</v>
      </c>
      <c r="G166" t="s">
        <v>2283</v>
      </c>
      <c r="H166" s="2" t="s">
        <v>2284</v>
      </c>
      <c r="I166" t="s">
        <v>2283</v>
      </c>
      <c r="K166" t="s">
        <v>2285</v>
      </c>
      <c r="L166">
        <v>5116806</v>
      </c>
      <c r="M166" t="s">
        <v>2286</v>
      </c>
      <c r="N166" t="s">
        <v>2287</v>
      </c>
      <c r="O166" t="s">
        <v>1811</v>
      </c>
      <c r="P166" t="s">
        <v>230</v>
      </c>
      <c r="Q166" t="s">
        <v>2288</v>
      </c>
      <c r="R166" t="s">
        <v>2289</v>
      </c>
      <c r="S166" t="s">
        <v>2290</v>
      </c>
      <c r="T166" t="s">
        <v>184</v>
      </c>
      <c r="U166" t="s">
        <v>112</v>
      </c>
      <c r="V166" t="s">
        <v>82</v>
      </c>
      <c r="W166" t="s">
        <v>2289</v>
      </c>
      <c r="X166" t="s">
        <v>2290</v>
      </c>
      <c r="Y166" t="s">
        <v>184</v>
      </c>
      <c r="Z166" t="s">
        <v>112</v>
      </c>
      <c r="AA166" t="s">
        <v>82</v>
      </c>
      <c r="AB166" t="s">
        <v>83</v>
      </c>
      <c r="AC166" t="s">
        <v>235</v>
      </c>
      <c r="AD166" t="s">
        <v>85</v>
      </c>
      <c r="AE166" t="s">
        <v>2291</v>
      </c>
      <c r="AF166" t="s">
        <v>85</v>
      </c>
      <c r="AG166" t="s">
        <v>2292</v>
      </c>
      <c r="AH166">
        <v>5</v>
      </c>
      <c r="AI166">
        <v>811200</v>
      </c>
      <c r="AJ166">
        <v>90042</v>
      </c>
      <c r="AK166">
        <v>0</v>
      </c>
      <c r="AL166">
        <v>901242</v>
      </c>
      <c r="AM166" t="s">
        <v>2289</v>
      </c>
      <c r="AN166" t="s">
        <v>2290</v>
      </c>
      <c r="AO166" t="s">
        <v>184</v>
      </c>
      <c r="AP166" t="s">
        <v>112</v>
      </c>
      <c r="AQ166" t="s">
        <v>82</v>
      </c>
      <c r="AR166" t="s">
        <v>2293</v>
      </c>
      <c r="AS166" s="3">
        <v>46202.46522332255</v>
      </c>
      <c r="AT166" t="s">
        <v>89</v>
      </c>
      <c r="AU166" t="s">
        <v>90</v>
      </c>
      <c r="AV166" t="s">
        <v>2294</v>
      </c>
      <c r="AW166" t="s">
        <v>92</v>
      </c>
      <c r="AX166" t="s">
        <v>2295</v>
      </c>
      <c r="AY166" t="s">
        <v>94</v>
      </c>
      <c r="AZ166" t="s">
        <v>85</v>
      </c>
      <c r="BA166" t="s">
        <v>2296</v>
      </c>
      <c r="BB166" t="s">
        <v>2281</v>
      </c>
      <c r="BC166" t="s">
        <v>2283</v>
      </c>
      <c r="BD166" t="s">
        <v>2289</v>
      </c>
      <c r="BE166" t="s">
        <v>2290</v>
      </c>
      <c r="BF166" t="b">
        <f t="shared" si="2"/>
        <v>1</v>
      </c>
      <c r="BG166" t="b">
        <v>1</v>
      </c>
      <c r="BH166">
        <v>2019</v>
      </c>
      <c r="BI166" t="b">
        <v>1</v>
      </c>
      <c r="BJ166" t="s">
        <v>2297</v>
      </c>
      <c r="BK166" t="s">
        <v>2298</v>
      </c>
      <c r="BL166" t="b">
        <v>1</v>
      </c>
      <c r="BM166" t="b">
        <v>1</v>
      </c>
      <c r="BN166" t="b">
        <v>1</v>
      </c>
      <c r="BO166" t="s">
        <v>2299</v>
      </c>
      <c r="BP166" t="b">
        <f>IF(IFERROR(VLOOKUP(A166,[1]Planilha1!$A:$A,1,0),FALSE)=FALSE,FALSE,TRUE)</f>
        <v>1</v>
      </c>
    </row>
    <row r="167" spans="1:68" x14ac:dyDescent="0.25">
      <c r="A167" t="s">
        <v>2300</v>
      </c>
      <c r="B167" t="s">
        <v>68</v>
      </c>
      <c r="D167" s="1">
        <v>46204</v>
      </c>
      <c r="E167" s="1">
        <v>47664</v>
      </c>
      <c r="F167" t="s">
        <v>2301</v>
      </c>
      <c r="G167" t="s">
        <v>2302</v>
      </c>
      <c r="H167" s="2" t="s">
        <v>2303</v>
      </c>
      <c r="I167" t="s">
        <v>2302</v>
      </c>
      <c r="K167" t="s">
        <v>2304</v>
      </c>
      <c r="L167">
        <v>5112172</v>
      </c>
      <c r="M167" t="s">
        <v>2305</v>
      </c>
      <c r="N167" t="s">
        <v>249</v>
      </c>
      <c r="O167" t="s">
        <v>250</v>
      </c>
      <c r="P167" t="s">
        <v>76</v>
      </c>
      <c r="Q167" t="s">
        <v>2306</v>
      </c>
      <c r="R167" t="s">
        <v>2307</v>
      </c>
      <c r="S167" t="s">
        <v>2308</v>
      </c>
      <c r="T167" t="s">
        <v>234</v>
      </c>
      <c r="U167" t="s">
        <v>112</v>
      </c>
      <c r="V167" t="s">
        <v>82</v>
      </c>
      <c r="W167" t="s">
        <v>2307</v>
      </c>
      <c r="X167" t="s">
        <v>2308</v>
      </c>
      <c r="Y167" t="s">
        <v>234</v>
      </c>
      <c r="Z167" t="s">
        <v>112</v>
      </c>
      <c r="AA167" t="s">
        <v>82</v>
      </c>
      <c r="AB167" t="s">
        <v>83</v>
      </c>
      <c r="AC167" t="s">
        <v>202</v>
      </c>
      <c r="AD167" t="s">
        <v>236</v>
      </c>
      <c r="AE167" t="s">
        <v>2309</v>
      </c>
      <c r="AF167" t="s">
        <v>236</v>
      </c>
      <c r="AG167" t="s">
        <v>2310</v>
      </c>
      <c r="AH167">
        <v>8</v>
      </c>
      <c r="AI167">
        <v>1109280</v>
      </c>
      <c r="AJ167">
        <v>122020.8</v>
      </c>
      <c r="AK167">
        <v>0</v>
      </c>
      <c r="AL167">
        <v>1231300.8</v>
      </c>
      <c r="AM167" t="s">
        <v>2311</v>
      </c>
      <c r="AN167" t="s">
        <v>2312</v>
      </c>
      <c r="AO167" t="s">
        <v>2018</v>
      </c>
      <c r="AP167" t="s">
        <v>81</v>
      </c>
      <c r="AQ167" t="s">
        <v>82</v>
      </c>
      <c r="AR167" t="s">
        <v>2313</v>
      </c>
      <c r="AS167" s="3">
        <v>46202.46522332255</v>
      </c>
      <c r="AT167" t="s">
        <v>89</v>
      </c>
      <c r="AU167" t="s">
        <v>90</v>
      </c>
      <c r="AV167" t="s">
        <v>2294</v>
      </c>
      <c r="AW167" t="s">
        <v>92</v>
      </c>
      <c r="AX167" t="s">
        <v>2295</v>
      </c>
      <c r="AY167" t="s">
        <v>94</v>
      </c>
      <c r="AZ167" t="s">
        <v>85</v>
      </c>
      <c r="BA167" t="s">
        <v>2314</v>
      </c>
      <c r="BB167" t="s">
        <v>2300</v>
      </c>
      <c r="BC167" t="s">
        <v>2302</v>
      </c>
      <c r="BD167" t="s">
        <v>2307</v>
      </c>
      <c r="BE167" t="s">
        <v>2308</v>
      </c>
      <c r="BF167" t="b">
        <f t="shared" si="2"/>
        <v>0</v>
      </c>
      <c r="BG167" t="b">
        <v>0</v>
      </c>
      <c r="BH167">
        <v>2002</v>
      </c>
      <c r="BI167" t="b">
        <v>0</v>
      </c>
      <c r="BJ167" t="s">
        <v>2297</v>
      </c>
      <c r="BK167" t="s">
        <v>2315</v>
      </c>
      <c r="BL167" t="b">
        <v>1</v>
      </c>
      <c r="BM167" t="b">
        <v>1</v>
      </c>
      <c r="BN167" t="b">
        <v>1</v>
      </c>
      <c r="BO167" t="s">
        <v>2316</v>
      </c>
      <c r="BP167" t="b">
        <f>IF(IFERROR(VLOOKUP(A167,[1]Planilha1!$A:$A,1,0),FALSE)=FALSE,FALSE,TRUE)</f>
        <v>0</v>
      </c>
    </row>
    <row r="168" spans="1:68" x14ac:dyDescent="0.25">
      <c r="A168" t="s">
        <v>2317</v>
      </c>
      <c r="B168" t="s">
        <v>68</v>
      </c>
      <c r="D168" s="1">
        <v>46204</v>
      </c>
      <c r="E168" s="1">
        <v>47664</v>
      </c>
      <c r="F168" t="s">
        <v>2318</v>
      </c>
      <c r="G168" t="s">
        <v>2319</v>
      </c>
      <c r="H168" s="2" t="s">
        <v>2320</v>
      </c>
      <c r="I168" t="s">
        <v>2319</v>
      </c>
      <c r="K168" t="s">
        <v>2321</v>
      </c>
      <c r="L168">
        <v>5116460</v>
      </c>
      <c r="M168" t="s">
        <v>2322</v>
      </c>
      <c r="N168" t="s">
        <v>507</v>
      </c>
      <c r="O168" t="s">
        <v>162</v>
      </c>
      <c r="P168" t="s">
        <v>76</v>
      </c>
      <c r="Q168" t="s">
        <v>2323</v>
      </c>
      <c r="R168" t="s">
        <v>2324</v>
      </c>
      <c r="S168" t="s">
        <v>2325</v>
      </c>
      <c r="T168" t="s">
        <v>2326</v>
      </c>
      <c r="U168" t="s">
        <v>769</v>
      </c>
      <c r="V168" t="s">
        <v>82</v>
      </c>
      <c r="W168" t="s">
        <v>2324</v>
      </c>
      <c r="X168" t="s">
        <v>2325</v>
      </c>
      <c r="Y168" t="s">
        <v>2326</v>
      </c>
      <c r="Z168" t="s">
        <v>769</v>
      </c>
      <c r="AA168" t="s">
        <v>82</v>
      </c>
      <c r="AB168" t="s">
        <v>83</v>
      </c>
      <c r="AC168" t="s">
        <v>166</v>
      </c>
      <c r="AD168" t="s">
        <v>252</v>
      </c>
      <c r="AE168" t="s">
        <v>2327</v>
      </c>
      <c r="AF168" t="s">
        <v>252</v>
      </c>
      <c r="AG168" t="s">
        <v>2328</v>
      </c>
      <c r="AH168">
        <v>6</v>
      </c>
      <c r="AI168">
        <v>1347840</v>
      </c>
      <c r="AJ168">
        <v>152160</v>
      </c>
      <c r="AK168">
        <v>0</v>
      </c>
      <c r="AL168">
        <v>1500000</v>
      </c>
      <c r="AM168" t="s">
        <v>2324</v>
      </c>
      <c r="AN168" t="s">
        <v>2325</v>
      </c>
      <c r="AO168" t="s">
        <v>2326</v>
      </c>
      <c r="AP168" t="s">
        <v>769</v>
      </c>
      <c r="AQ168" t="s">
        <v>82</v>
      </c>
      <c r="AR168" t="s">
        <v>2329</v>
      </c>
      <c r="AS168" s="3">
        <v>46202.46522332255</v>
      </c>
      <c r="AT168" t="s">
        <v>89</v>
      </c>
      <c r="AU168" t="s">
        <v>90</v>
      </c>
      <c r="AV168" t="s">
        <v>2294</v>
      </c>
      <c r="AW168" t="s">
        <v>92</v>
      </c>
      <c r="AX168" t="s">
        <v>2295</v>
      </c>
      <c r="AY168" t="s">
        <v>94</v>
      </c>
      <c r="AZ168" t="s">
        <v>85</v>
      </c>
      <c r="BA168" t="s">
        <v>2330</v>
      </c>
      <c r="BB168" t="s">
        <v>2317</v>
      </c>
      <c r="BC168" t="s">
        <v>2319</v>
      </c>
      <c r="BD168" t="s">
        <v>2324</v>
      </c>
      <c r="BE168" t="s">
        <v>2325</v>
      </c>
      <c r="BF168" t="b">
        <f t="shared" si="2"/>
        <v>0</v>
      </c>
      <c r="BG168" t="b">
        <v>0</v>
      </c>
      <c r="BH168">
        <v>2019</v>
      </c>
      <c r="BI168" t="b">
        <v>0</v>
      </c>
      <c r="BJ168" t="s">
        <v>2297</v>
      </c>
      <c r="BK168" t="s">
        <v>2315</v>
      </c>
      <c r="BL168" t="b">
        <v>1</v>
      </c>
      <c r="BM168" t="b">
        <v>1</v>
      </c>
      <c r="BN168" t="b">
        <v>1</v>
      </c>
      <c r="BO168" t="s">
        <v>2331</v>
      </c>
      <c r="BP168" t="b">
        <f>IF(IFERROR(VLOOKUP(A168,[1]Planilha1!$A:$A,1,0),FALSE)=FALSE,FALSE,TRUE)</f>
        <v>0</v>
      </c>
    </row>
    <row r="169" spans="1:68" x14ac:dyDescent="0.25">
      <c r="A169" t="s">
        <v>2332</v>
      </c>
      <c r="B169" t="s">
        <v>68</v>
      </c>
      <c r="D169" s="1">
        <v>46204</v>
      </c>
      <c r="E169" s="1">
        <v>47664</v>
      </c>
      <c r="F169" t="s">
        <v>2333</v>
      </c>
      <c r="G169" t="s">
        <v>2334</v>
      </c>
      <c r="H169" s="2" t="s">
        <v>2335</v>
      </c>
      <c r="I169" t="s">
        <v>2334</v>
      </c>
      <c r="K169" t="s">
        <v>2336</v>
      </c>
      <c r="L169">
        <v>5116769</v>
      </c>
      <c r="M169" t="s">
        <v>2337</v>
      </c>
      <c r="N169" t="s">
        <v>414</v>
      </c>
      <c r="O169" t="s">
        <v>180</v>
      </c>
      <c r="P169" t="s">
        <v>129</v>
      </c>
      <c r="Q169" t="s">
        <v>2338</v>
      </c>
      <c r="R169" t="s">
        <v>2339</v>
      </c>
      <c r="S169" t="s">
        <v>2340</v>
      </c>
      <c r="T169" t="s">
        <v>234</v>
      </c>
      <c r="U169" t="s">
        <v>112</v>
      </c>
      <c r="V169" t="s">
        <v>82</v>
      </c>
      <c r="W169" t="s">
        <v>2339</v>
      </c>
      <c r="X169" t="s">
        <v>2340</v>
      </c>
      <c r="Y169" t="s">
        <v>234</v>
      </c>
      <c r="Z169" t="s">
        <v>112</v>
      </c>
      <c r="AA169" t="s">
        <v>82</v>
      </c>
      <c r="AB169" t="s">
        <v>83</v>
      </c>
      <c r="AC169" t="s">
        <v>185</v>
      </c>
      <c r="AD169" t="s">
        <v>149</v>
      </c>
      <c r="AE169" t="s">
        <v>2341</v>
      </c>
      <c r="AF169" t="s">
        <v>85</v>
      </c>
      <c r="AG169" t="s">
        <v>2342</v>
      </c>
      <c r="AH169">
        <v>5</v>
      </c>
      <c r="AI169">
        <v>1060800</v>
      </c>
      <c r="AJ169">
        <v>104400</v>
      </c>
      <c r="AK169">
        <v>0</v>
      </c>
      <c r="AL169">
        <v>1165200</v>
      </c>
      <c r="AM169" t="s">
        <v>2339</v>
      </c>
      <c r="AN169" t="s">
        <v>2340</v>
      </c>
      <c r="AO169" t="s">
        <v>234</v>
      </c>
      <c r="AP169" t="s">
        <v>112</v>
      </c>
      <c r="AQ169" t="s">
        <v>82</v>
      </c>
      <c r="AR169" t="s">
        <v>2343</v>
      </c>
      <c r="AS169" s="3">
        <v>46202.46522332255</v>
      </c>
      <c r="AT169" t="s">
        <v>89</v>
      </c>
      <c r="AU169" t="s">
        <v>90</v>
      </c>
      <c r="AV169" t="s">
        <v>2294</v>
      </c>
      <c r="AW169" t="s">
        <v>92</v>
      </c>
      <c r="AX169" t="s">
        <v>2295</v>
      </c>
      <c r="AY169" t="s">
        <v>94</v>
      </c>
      <c r="AZ169" t="s">
        <v>85</v>
      </c>
      <c r="BA169" t="s">
        <v>2344</v>
      </c>
      <c r="BB169" t="s">
        <v>2332</v>
      </c>
      <c r="BC169" t="s">
        <v>2334</v>
      </c>
      <c r="BD169" t="s">
        <v>2339</v>
      </c>
      <c r="BE169" t="s">
        <v>2340</v>
      </c>
      <c r="BF169" t="b">
        <f t="shared" si="2"/>
        <v>1</v>
      </c>
      <c r="BG169" t="b">
        <v>1</v>
      </c>
      <c r="BH169">
        <v>1999</v>
      </c>
      <c r="BI169" t="b">
        <v>1</v>
      </c>
      <c r="BJ169" t="s">
        <v>2297</v>
      </c>
      <c r="BK169" t="s">
        <v>2345</v>
      </c>
      <c r="BL169" t="b">
        <v>1</v>
      </c>
      <c r="BM169" t="b">
        <v>1</v>
      </c>
      <c r="BN169" t="b">
        <v>1</v>
      </c>
      <c r="BO169" t="s">
        <v>2346</v>
      </c>
      <c r="BP169" t="b">
        <f>IF(IFERROR(VLOOKUP(A169,[1]Planilha1!$A:$A,1,0),FALSE)=FALSE,FALSE,TRUE)</f>
        <v>1</v>
      </c>
    </row>
    <row r="170" spans="1:68" x14ac:dyDescent="0.25">
      <c r="A170" t="s">
        <v>2347</v>
      </c>
      <c r="B170" t="s">
        <v>68</v>
      </c>
      <c r="D170" s="1">
        <v>46204</v>
      </c>
      <c r="E170" s="1">
        <v>47664</v>
      </c>
      <c r="F170" t="s">
        <v>2348</v>
      </c>
      <c r="G170" t="s">
        <v>2349</v>
      </c>
      <c r="H170" s="2" t="s">
        <v>2350</v>
      </c>
      <c r="I170" t="s">
        <v>2349</v>
      </c>
      <c r="K170" t="s">
        <v>2351</v>
      </c>
      <c r="L170">
        <v>5116377</v>
      </c>
      <c r="M170" t="s">
        <v>2352</v>
      </c>
      <c r="N170" t="s">
        <v>228</v>
      </c>
      <c r="O170" t="s">
        <v>229</v>
      </c>
      <c r="P170" t="s">
        <v>230</v>
      </c>
      <c r="Q170" t="s">
        <v>483</v>
      </c>
      <c r="R170" t="s">
        <v>2353</v>
      </c>
      <c r="S170" t="s">
        <v>2354</v>
      </c>
      <c r="T170" t="s">
        <v>111</v>
      </c>
      <c r="U170" t="s">
        <v>112</v>
      </c>
      <c r="V170" t="s">
        <v>82</v>
      </c>
      <c r="W170" t="s">
        <v>2353</v>
      </c>
      <c r="X170" t="s">
        <v>2354</v>
      </c>
      <c r="Y170" t="s">
        <v>111</v>
      </c>
      <c r="Z170" t="s">
        <v>112</v>
      </c>
      <c r="AA170" t="s">
        <v>82</v>
      </c>
      <c r="AB170" t="s">
        <v>83</v>
      </c>
      <c r="AC170" t="s">
        <v>235</v>
      </c>
      <c r="AD170" t="s">
        <v>252</v>
      </c>
      <c r="AE170" t="s">
        <v>2355</v>
      </c>
      <c r="AF170" t="s">
        <v>252</v>
      </c>
      <c r="AG170" t="s">
        <v>2356</v>
      </c>
      <c r="AH170">
        <v>29</v>
      </c>
      <c r="AI170">
        <v>1454920</v>
      </c>
      <c r="AJ170">
        <v>138320</v>
      </c>
      <c r="AK170">
        <v>0</v>
      </c>
      <c r="AL170">
        <v>1593240</v>
      </c>
      <c r="AR170" t="s">
        <v>2357</v>
      </c>
      <c r="AS170" s="3">
        <v>46202.46522332255</v>
      </c>
      <c r="AT170" t="s">
        <v>89</v>
      </c>
      <c r="AU170" t="s">
        <v>90</v>
      </c>
      <c r="AV170" t="s">
        <v>2294</v>
      </c>
      <c r="AW170" t="s">
        <v>92</v>
      </c>
      <c r="AX170" t="s">
        <v>2295</v>
      </c>
      <c r="AY170" t="s">
        <v>94</v>
      </c>
      <c r="AZ170" t="s">
        <v>85</v>
      </c>
      <c r="BA170" t="s">
        <v>2358</v>
      </c>
      <c r="BB170" t="s">
        <v>2347</v>
      </c>
      <c r="BC170" t="s">
        <v>2349</v>
      </c>
      <c r="BD170" t="s">
        <v>2353</v>
      </c>
      <c r="BE170" t="s">
        <v>2354</v>
      </c>
      <c r="BF170" t="b">
        <f t="shared" si="2"/>
        <v>0</v>
      </c>
      <c r="BG170" t="b">
        <v>0</v>
      </c>
      <c r="BH170">
        <v>2020</v>
      </c>
      <c r="BI170" t="b">
        <v>0</v>
      </c>
      <c r="BJ170" t="s">
        <v>2297</v>
      </c>
      <c r="BK170" t="s">
        <v>2315</v>
      </c>
      <c r="BL170" t="b">
        <v>1</v>
      </c>
      <c r="BM170" t="b">
        <v>1</v>
      </c>
      <c r="BN170" t="b">
        <v>0</v>
      </c>
      <c r="BO170" t="s">
        <v>2359</v>
      </c>
      <c r="BP170" t="b">
        <f>IF(IFERROR(VLOOKUP(A170,[1]Planilha1!$A:$A,1,0),FALSE)=FALSE,FALSE,TRUE)</f>
        <v>0</v>
      </c>
    </row>
    <row r="171" spans="1:68" x14ac:dyDescent="0.25">
      <c r="A171" t="s">
        <v>2360</v>
      </c>
      <c r="B171" t="s">
        <v>68</v>
      </c>
      <c r="D171" s="1">
        <v>46204</v>
      </c>
      <c r="E171" s="1">
        <v>47664</v>
      </c>
      <c r="F171" t="s">
        <v>2361</v>
      </c>
      <c r="G171" t="s">
        <v>2362</v>
      </c>
      <c r="H171" s="2" t="s">
        <v>2363</v>
      </c>
      <c r="I171" t="s">
        <v>2362</v>
      </c>
      <c r="K171" t="s">
        <v>2364</v>
      </c>
      <c r="L171">
        <v>5116608</v>
      </c>
      <c r="M171" t="s">
        <v>2365</v>
      </c>
      <c r="N171" t="s">
        <v>2017</v>
      </c>
      <c r="O171" t="s">
        <v>2018</v>
      </c>
      <c r="P171" t="s">
        <v>230</v>
      </c>
      <c r="Q171" t="s">
        <v>2019</v>
      </c>
      <c r="R171" t="s">
        <v>2289</v>
      </c>
      <c r="S171" t="s">
        <v>2290</v>
      </c>
      <c r="T171" t="s">
        <v>184</v>
      </c>
      <c r="U171" t="s">
        <v>112</v>
      </c>
      <c r="V171" t="s">
        <v>82</v>
      </c>
      <c r="W171" t="s">
        <v>2289</v>
      </c>
      <c r="X171" t="s">
        <v>2290</v>
      </c>
      <c r="Y171" t="s">
        <v>184</v>
      </c>
      <c r="Z171" t="s">
        <v>112</v>
      </c>
      <c r="AA171" t="s">
        <v>82</v>
      </c>
      <c r="AB171" t="s">
        <v>83</v>
      </c>
      <c r="AC171" t="s">
        <v>1013</v>
      </c>
      <c r="AD171" t="s">
        <v>149</v>
      </c>
      <c r="AE171" t="s">
        <v>2366</v>
      </c>
      <c r="AF171" t="s">
        <v>85</v>
      </c>
      <c r="AG171" t="s">
        <v>2367</v>
      </c>
      <c r="AH171">
        <v>5</v>
      </c>
      <c r="AI171">
        <v>667680</v>
      </c>
      <c r="AJ171">
        <v>73000</v>
      </c>
      <c r="AK171">
        <v>0</v>
      </c>
      <c r="AL171">
        <v>740680</v>
      </c>
      <c r="AM171" t="s">
        <v>2289</v>
      </c>
      <c r="AN171" t="s">
        <v>2290</v>
      </c>
      <c r="AO171" t="s">
        <v>184</v>
      </c>
      <c r="AP171" t="s">
        <v>112</v>
      </c>
      <c r="AQ171" t="s">
        <v>82</v>
      </c>
      <c r="AR171" t="s">
        <v>2368</v>
      </c>
      <c r="AS171" s="3">
        <v>46202.46522332255</v>
      </c>
      <c r="AT171" t="s">
        <v>89</v>
      </c>
      <c r="AU171" t="s">
        <v>90</v>
      </c>
      <c r="AV171" t="s">
        <v>2294</v>
      </c>
      <c r="AW171" t="s">
        <v>92</v>
      </c>
      <c r="AX171" t="s">
        <v>2295</v>
      </c>
      <c r="AY171" t="s">
        <v>94</v>
      </c>
      <c r="AZ171" t="s">
        <v>85</v>
      </c>
      <c r="BA171" t="s">
        <v>2369</v>
      </c>
      <c r="BB171" t="s">
        <v>2360</v>
      </c>
      <c r="BC171" t="s">
        <v>2362</v>
      </c>
      <c r="BD171" t="s">
        <v>2289</v>
      </c>
      <c r="BE171" t="s">
        <v>2290</v>
      </c>
      <c r="BF171" t="b">
        <f t="shared" si="2"/>
        <v>1</v>
      </c>
      <c r="BG171" t="b">
        <v>1</v>
      </c>
      <c r="BH171">
        <v>2021</v>
      </c>
      <c r="BI171" t="b">
        <v>1</v>
      </c>
      <c r="BJ171" t="s">
        <v>2297</v>
      </c>
      <c r="BK171" t="s">
        <v>2298</v>
      </c>
      <c r="BL171" t="b">
        <v>1</v>
      </c>
      <c r="BM171" t="b">
        <v>1</v>
      </c>
      <c r="BN171" t="b">
        <v>1</v>
      </c>
      <c r="BO171" t="s">
        <v>2370</v>
      </c>
      <c r="BP171" t="b">
        <f>IF(IFERROR(VLOOKUP(A171,[1]Planilha1!$A:$A,1,0),FALSE)=FALSE,FALSE,TRUE)</f>
        <v>1</v>
      </c>
    </row>
    <row r="172" spans="1:68" x14ac:dyDescent="0.25">
      <c r="A172" t="s">
        <v>2371</v>
      </c>
      <c r="B172" t="s">
        <v>68</v>
      </c>
      <c r="D172" s="1">
        <v>46204</v>
      </c>
      <c r="E172" s="1">
        <v>47664</v>
      </c>
      <c r="F172" t="s">
        <v>2372</v>
      </c>
      <c r="G172" t="s">
        <v>2373</v>
      </c>
      <c r="H172" s="2" t="s">
        <v>2374</v>
      </c>
      <c r="I172" t="s">
        <v>2373</v>
      </c>
      <c r="K172" t="s">
        <v>2375</v>
      </c>
      <c r="L172">
        <v>5116450</v>
      </c>
      <c r="M172" t="s">
        <v>2376</v>
      </c>
      <c r="N172" t="s">
        <v>249</v>
      </c>
      <c r="O172" t="s">
        <v>250</v>
      </c>
      <c r="P172" t="s">
        <v>76</v>
      </c>
      <c r="Q172" t="s">
        <v>2377</v>
      </c>
      <c r="R172" t="s">
        <v>2378</v>
      </c>
      <c r="S172" t="s">
        <v>2379</v>
      </c>
      <c r="T172" t="s">
        <v>1151</v>
      </c>
      <c r="U172" t="s">
        <v>769</v>
      </c>
      <c r="V172" t="s">
        <v>82</v>
      </c>
      <c r="W172" t="s">
        <v>2378</v>
      </c>
      <c r="X172" t="s">
        <v>2379</v>
      </c>
      <c r="Y172" t="s">
        <v>1151</v>
      </c>
      <c r="Z172" t="s">
        <v>769</v>
      </c>
      <c r="AA172" t="s">
        <v>82</v>
      </c>
      <c r="AB172" t="s">
        <v>83</v>
      </c>
      <c r="AC172" t="s">
        <v>202</v>
      </c>
      <c r="AD172" t="s">
        <v>252</v>
      </c>
      <c r="AE172" t="s">
        <v>2380</v>
      </c>
      <c r="AF172" t="s">
        <v>252</v>
      </c>
      <c r="AG172" t="s">
        <v>2381</v>
      </c>
      <c r="AH172">
        <v>5</v>
      </c>
      <c r="AI172">
        <v>778820</v>
      </c>
      <c r="AJ172">
        <v>86528</v>
      </c>
      <c r="AK172">
        <v>0</v>
      </c>
      <c r="AL172">
        <v>865348</v>
      </c>
      <c r="AM172" t="s">
        <v>2378</v>
      </c>
      <c r="AN172" t="s">
        <v>2379</v>
      </c>
      <c r="AO172" t="s">
        <v>1151</v>
      </c>
      <c r="AP172" t="s">
        <v>769</v>
      </c>
      <c r="AQ172" t="s">
        <v>82</v>
      </c>
      <c r="AR172" t="s">
        <v>2382</v>
      </c>
      <c r="AS172" s="3">
        <v>46202.46522332255</v>
      </c>
      <c r="AT172" t="s">
        <v>89</v>
      </c>
      <c r="AU172" t="s">
        <v>90</v>
      </c>
      <c r="AV172" t="s">
        <v>2294</v>
      </c>
      <c r="AW172" t="s">
        <v>92</v>
      </c>
      <c r="AX172" t="s">
        <v>2295</v>
      </c>
      <c r="AY172" t="s">
        <v>94</v>
      </c>
      <c r="AZ172" t="s">
        <v>85</v>
      </c>
      <c r="BA172" t="s">
        <v>2383</v>
      </c>
      <c r="BB172" t="s">
        <v>2371</v>
      </c>
      <c r="BC172" t="s">
        <v>2373</v>
      </c>
      <c r="BD172" t="s">
        <v>2378</v>
      </c>
      <c r="BE172" t="s">
        <v>2379</v>
      </c>
      <c r="BF172" t="b">
        <f t="shared" si="2"/>
        <v>1</v>
      </c>
      <c r="BG172" t="b">
        <v>1</v>
      </c>
      <c r="BH172">
        <v>2021</v>
      </c>
      <c r="BI172" t="b">
        <v>1</v>
      </c>
      <c r="BJ172" t="s">
        <v>2297</v>
      </c>
      <c r="BK172" t="s">
        <v>2384</v>
      </c>
      <c r="BL172" t="b">
        <v>1</v>
      </c>
      <c r="BM172" t="b">
        <v>1</v>
      </c>
      <c r="BN172" t="b">
        <v>1</v>
      </c>
      <c r="BO172" t="s">
        <v>2385</v>
      </c>
      <c r="BP172" t="b">
        <f>IF(IFERROR(VLOOKUP(A172,[1]Planilha1!$A:$A,1,0),FALSE)=FALSE,FALSE,TRUE)</f>
        <v>1</v>
      </c>
    </row>
    <row r="173" spans="1:68" x14ac:dyDescent="0.25">
      <c r="A173" t="s">
        <v>2386</v>
      </c>
      <c r="B173" t="s">
        <v>68</v>
      </c>
      <c r="D173" s="1">
        <v>46204</v>
      </c>
      <c r="E173" s="1">
        <v>47664</v>
      </c>
      <c r="F173" t="s">
        <v>2387</v>
      </c>
      <c r="G173" t="s">
        <v>2388</v>
      </c>
      <c r="H173" s="2" t="s">
        <v>2389</v>
      </c>
      <c r="I173" t="s">
        <v>2388</v>
      </c>
      <c r="K173" t="s">
        <v>2390</v>
      </c>
      <c r="L173">
        <v>5116759</v>
      </c>
      <c r="M173" t="s">
        <v>2391</v>
      </c>
      <c r="N173" t="s">
        <v>1576</v>
      </c>
      <c r="O173" t="s">
        <v>1577</v>
      </c>
      <c r="P173" t="s">
        <v>439</v>
      </c>
      <c r="Q173" t="s">
        <v>1578</v>
      </c>
      <c r="R173" t="s">
        <v>2289</v>
      </c>
      <c r="S173" t="s">
        <v>2290</v>
      </c>
      <c r="T173" t="s">
        <v>184</v>
      </c>
      <c r="U173" t="s">
        <v>112</v>
      </c>
      <c r="V173" t="s">
        <v>82</v>
      </c>
      <c r="W173" t="s">
        <v>2289</v>
      </c>
      <c r="X173" t="s">
        <v>2290</v>
      </c>
      <c r="Y173" t="s">
        <v>184</v>
      </c>
      <c r="Z173" t="s">
        <v>112</v>
      </c>
      <c r="AA173" t="s">
        <v>82</v>
      </c>
      <c r="AB173" t="s">
        <v>83</v>
      </c>
      <c r="AC173" t="s">
        <v>1135</v>
      </c>
      <c r="AD173" t="s">
        <v>149</v>
      </c>
      <c r="AE173" t="s">
        <v>2392</v>
      </c>
      <c r="AF173" t="s">
        <v>85</v>
      </c>
      <c r="AG173" t="s">
        <v>2393</v>
      </c>
      <c r="AH173">
        <v>5</v>
      </c>
      <c r="AI173">
        <v>1048320</v>
      </c>
      <c r="AJ173">
        <v>130000</v>
      </c>
      <c r="AK173">
        <v>0</v>
      </c>
      <c r="AL173">
        <v>1178320</v>
      </c>
      <c r="AM173" t="s">
        <v>2289</v>
      </c>
      <c r="AN173" t="s">
        <v>2290</v>
      </c>
      <c r="AO173" t="s">
        <v>184</v>
      </c>
      <c r="AP173" t="s">
        <v>112</v>
      </c>
      <c r="AQ173" t="s">
        <v>82</v>
      </c>
      <c r="AR173" t="s">
        <v>2394</v>
      </c>
      <c r="AS173" s="3">
        <v>46202.46522332255</v>
      </c>
      <c r="AT173" t="s">
        <v>89</v>
      </c>
      <c r="AU173" t="s">
        <v>90</v>
      </c>
      <c r="AV173" t="s">
        <v>2294</v>
      </c>
      <c r="AW173" t="s">
        <v>92</v>
      </c>
      <c r="AX173" t="s">
        <v>2295</v>
      </c>
      <c r="AY173" t="s">
        <v>94</v>
      </c>
      <c r="AZ173" t="s">
        <v>85</v>
      </c>
      <c r="BA173" t="s">
        <v>2395</v>
      </c>
      <c r="BB173" t="s">
        <v>2386</v>
      </c>
      <c r="BC173" t="s">
        <v>2388</v>
      </c>
      <c r="BD173" t="s">
        <v>2289</v>
      </c>
      <c r="BE173" t="s">
        <v>2290</v>
      </c>
      <c r="BF173" t="b">
        <f t="shared" si="2"/>
        <v>1</v>
      </c>
      <c r="BG173" t="b">
        <v>1</v>
      </c>
      <c r="BH173">
        <v>2006</v>
      </c>
      <c r="BI173" t="b">
        <v>1</v>
      </c>
      <c r="BJ173" t="s">
        <v>2297</v>
      </c>
      <c r="BK173" t="s">
        <v>2298</v>
      </c>
      <c r="BL173" t="b">
        <v>1</v>
      </c>
      <c r="BM173" t="b">
        <v>1</v>
      </c>
      <c r="BN173" t="b">
        <v>1</v>
      </c>
      <c r="BO173" t="s">
        <v>2396</v>
      </c>
      <c r="BP173" t="b">
        <f>IF(IFERROR(VLOOKUP(A173,[1]Planilha1!$A:$A,1,0),FALSE)=FALSE,FALSE,TRUE)</f>
        <v>1</v>
      </c>
    </row>
    <row r="174" spans="1:68" x14ac:dyDescent="0.25">
      <c r="A174" t="s">
        <v>2397</v>
      </c>
      <c r="B174" t="s">
        <v>68</v>
      </c>
      <c r="D174" s="1">
        <v>46204</v>
      </c>
      <c r="E174" s="1">
        <v>47664</v>
      </c>
      <c r="F174" t="s">
        <v>2398</v>
      </c>
      <c r="G174" t="s">
        <v>2399</v>
      </c>
      <c r="H174" s="2" t="s">
        <v>2400</v>
      </c>
      <c r="I174" t="s">
        <v>2399</v>
      </c>
      <c r="K174" t="s">
        <v>2401</v>
      </c>
      <c r="L174">
        <v>5116779</v>
      </c>
      <c r="M174" t="s">
        <v>2402</v>
      </c>
      <c r="N174" t="s">
        <v>414</v>
      </c>
      <c r="O174" t="s">
        <v>180</v>
      </c>
      <c r="P174" t="s">
        <v>129</v>
      </c>
      <c r="Q174" t="s">
        <v>2403</v>
      </c>
      <c r="R174" t="s">
        <v>2339</v>
      </c>
      <c r="S174" t="s">
        <v>2340</v>
      </c>
      <c r="T174" t="s">
        <v>234</v>
      </c>
      <c r="U174" t="s">
        <v>112</v>
      </c>
      <c r="V174" t="s">
        <v>82</v>
      </c>
      <c r="W174" t="s">
        <v>2339</v>
      </c>
      <c r="X174" t="s">
        <v>2340</v>
      </c>
      <c r="Y174" t="s">
        <v>234</v>
      </c>
      <c r="Z174" t="s">
        <v>112</v>
      </c>
      <c r="AA174" t="s">
        <v>82</v>
      </c>
      <c r="AB174" t="s">
        <v>83</v>
      </c>
      <c r="AC174" t="s">
        <v>185</v>
      </c>
      <c r="AD174" t="s">
        <v>149</v>
      </c>
      <c r="AE174" t="s">
        <v>2404</v>
      </c>
      <c r="AF174" t="s">
        <v>85</v>
      </c>
      <c r="AG174" t="s">
        <v>2405</v>
      </c>
      <c r="AH174">
        <v>6</v>
      </c>
      <c r="AI174">
        <v>1347840</v>
      </c>
      <c r="AJ174">
        <v>139680</v>
      </c>
      <c r="AK174">
        <v>0</v>
      </c>
      <c r="AL174">
        <v>1487520</v>
      </c>
      <c r="AM174" t="s">
        <v>2339</v>
      </c>
      <c r="AN174" t="s">
        <v>2340</v>
      </c>
      <c r="AO174" t="s">
        <v>234</v>
      </c>
      <c r="AP174" t="s">
        <v>112</v>
      </c>
      <c r="AQ174" t="s">
        <v>82</v>
      </c>
      <c r="AR174" t="s">
        <v>2406</v>
      </c>
      <c r="AS174" s="3">
        <v>46202.46522332255</v>
      </c>
      <c r="AT174" t="s">
        <v>89</v>
      </c>
      <c r="AU174" t="s">
        <v>90</v>
      </c>
      <c r="AV174" t="s">
        <v>2294</v>
      </c>
      <c r="AW174" t="s">
        <v>92</v>
      </c>
      <c r="AX174" t="s">
        <v>2295</v>
      </c>
      <c r="AY174" t="s">
        <v>94</v>
      </c>
      <c r="AZ174" t="s">
        <v>85</v>
      </c>
      <c r="BA174" t="s">
        <v>2407</v>
      </c>
      <c r="BB174" t="s">
        <v>2397</v>
      </c>
      <c r="BC174" t="s">
        <v>2399</v>
      </c>
      <c r="BD174" t="s">
        <v>2339</v>
      </c>
      <c r="BE174" t="s">
        <v>2340</v>
      </c>
      <c r="BF174" t="b">
        <f t="shared" si="2"/>
        <v>1</v>
      </c>
      <c r="BG174" t="b">
        <v>1</v>
      </c>
      <c r="BH174">
        <v>2010</v>
      </c>
      <c r="BI174" t="b">
        <v>1</v>
      </c>
      <c r="BJ174" t="s">
        <v>2297</v>
      </c>
      <c r="BK174" t="s">
        <v>2345</v>
      </c>
      <c r="BL174" t="b">
        <v>1</v>
      </c>
      <c r="BM174" t="b">
        <v>1</v>
      </c>
      <c r="BN174" t="b">
        <v>1</v>
      </c>
      <c r="BO174" t="s">
        <v>2408</v>
      </c>
      <c r="BP174" t="b">
        <f>IF(IFERROR(VLOOKUP(A174,[1]Planilha1!$A:$A,1,0),FALSE)=FALSE,FALSE,TRUE)</f>
        <v>1</v>
      </c>
    </row>
    <row r="175" spans="1:68" x14ac:dyDescent="0.25">
      <c r="A175" t="s">
        <v>2409</v>
      </c>
      <c r="B175" t="s">
        <v>68</v>
      </c>
      <c r="D175" s="1">
        <v>46204</v>
      </c>
      <c r="E175" s="1">
        <v>47664</v>
      </c>
      <c r="F175" t="s">
        <v>2410</v>
      </c>
      <c r="G175" t="s">
        <v>2411</v>
      </c>
      <c r="H175" s="2" t="s">
        <v>2412</v>
      </c>
      <c r="I175" t="s">
        <v>2411</v>
      </c>
      <c r="K175" t="s">
        <v>2413</v>
      </c>
      <c r="L175">
        <v>5116687</v>
      </c>
      <c r="M175" t="s">
        <v>2414</v>
      </c>
      <c r="N175" t="s">
        <v>1576</v>
      </c>
      <c r="O175" t="s">
        <v>1577</v>
      </c>
      <c r="P175" t="s">
        <v>439</v>
      </c>
      <c r="Q175" t="s">
        <v>1578</v>
      </c>
      <c r="R175" t="s">
        <v>2289</v>
      </c>
      <c r="S175" t="s">
        <v>2290</v>
      </c>
      <c r="T175" t="s">
        <v>184</v>
      </c>
      <c r="U175" t="s">
        <v>112</v>
      </c>
      <c r="V175" t="s">
        <v>82</v>
      </c>
      <c r="W175" t="s">
        <v>2289</v>
      </c>
      <c r="X175" t="s">
        <v>2290</v>
      </c>
      <c r="Y175" t="s">
        <v>184</v>
      </c>
      <c r="Z175" t="s">
        <v>112</v>
      </c>
      <c r="AA175" t="s">
        <v>82</v>
      </c>
      <c r="AB175" t="s">
        <v>83</v>
      </c>
      <c r="AC175" t="s">
        <v>1135</v>
      </c>
      <c r="AD175" t="s">
        <v>149</v>
      </c>
      <c r="AE175" t="s">
        <v>2415</v>
      </c>
      <c r="AF175" t="s">
        <v>85</v>
      </c>
      <c r="AG175" t="s">
        <v>2416</v>
      </c>
      <c r="AH175">
        <v>3</v>
      </c>
      <c r="AI175">
        <v>486720</v>
      </c>
      <c r="AJ175">
        <v>63273.599999999999</v>
      </c>
      <c r="AK175">
        <v>0</v>
      </c>
      <c r="AL175">
        <v>549993.6</v>
      </c>
      <c r="AM175" t="s">
        <v>2289</v>
      </c>
      <c r="AN175" t="s">
        <v>2290</v>
      </c>
      <c r="AO175" t="s">
        <v>184</v>
      </c>
      <c r="AP175" t="s">
        <v>112</v>
      </c>
      <c r="AQ175" t="s">
        <v>82</v>
      </c>
      <c r="AR175" t="s">
        <v>2417</v>
      </c>
      <c r="AS175" s="3">
        <v>46202.46522332255</v>
      </c>
      <c r="AT175" t="s">
        <v>89</v>
      </c>
      <c r="AU175" t="s">
        <v>90</v>
      </c>
      <c r="AV175" t="s">
        <v>2294</v>
      </c>
      <c r="AW175" t="s">
        <v>92</v>
      </c>
      <c r="AX175" t="s">
        <v>2295</v>
      </c>
      <c r="AY175" t="s">
        <v>94</v>
      </c>
      <c r="AZ175" t="s">
        <v>85</v>
      </c>
      <c r="BA175" t="s">
        <v>2418</v>
      </c>
      <c r="BB175" t="s">
        <v>2409</v>
      </c>
      <c r="BC175" t="s">
        <v>2411</v>
      </c>
      <c r="BD175" t="s">
        <v>2289</v>
      </c>
      <c r="BE175" t="s">
        <v>2290</v>
      </c>
      <c r="BF175" t="b">
        <f t="shared" si="2"/>
        <v>1</v>
      </c>
      <c r="BG175" t="b">
        <v>1</v>
      </c>
      <c r="BH175">
        <v>2009</v>
      </c>
      <c r="BI175" t="b">
        <v>1</v>
      </c>
      <c r="BJ175" t="s">
        <v>2297</v>
      </c>
      <c r="BK175" t="s">
        <v>2298</v>
      </c>
      <c r="BL175" t="b">
        <v>1</v>
      </c>
      <c r="BM175" t="b">
        <v>1</v>
      </c>
      <c r="BN175" t="b">
        <v>1</v>
      </c>
      <c r="BO175" t="s">
        <v>2419</v>
      </c>
      <c r="BP175" t="b">
        <f>IF(IFERROR(VLOOKUP(A175,[1]Planilha1!$A:$A,1,0),FALSE)=FALSE,FALSE,TRUE)</f>
        <v>1</v>
      </c>
    </row>
    <row r="176" spans="1:68" x14ac:dyDescent="0.25">
      <c r="A176" t="s">
        <v>2420</v>
      </c>
      <c r="B176" t="s">
        <v>68</v>
      </c>
      <c r="D176" s="1">
        <v>46204</v>
      </c>
      <c r="E176" s="1">
        <v>47664</v>
      </c>
      <c r="F176" t="s">
        <v>2421</v>
      </c>
      <c r="G176" t="s">
        <v>2422</v>
      </c>
      <c r="H176" s="2" t="s">
        <v>2423</v>
      </c>
      <c r="I176" t="s">
        <v>2422</v>
      </c>
      <c r="K176" t="s">
        <v>2424</v>
      </c>
      <c r="L176">
        <v>5116481</v>
      </c>
      <c r="M176" t="s">
        <v>2425</v>
      </c>
      <c r="N176" t="s">
        <v>2109</v>
      </c>
      <c r="O176" t="s">
        <v>2018</v>
      </c>
      <c r="P176" t="s">
        <v>230</v>
      </c>
      <c r="Q176" t="s">
        <v>2426</v>
      </c>
      <c r="R176" t="s">
        <v>2289</v>
      </c>
      <c r="S176" t="s">
        <v>2290</v>
      </c>
      <c r="T176" t="s">
        <v>184</v>
      </c>
      <c r="U176" t="s">
        <v>112</v>
      </c>
      <c r="V176" t="s">
        <v>82</v>
      </c>
      <c r="W176" t="s">
        <v>2289</v>
      </c>
      <c r="X176" t="s">
        <v>2290</v>
      </c>
      <c r="Y176" t="s">
        <v>184</v>
      </c>
      <c r="Z176" t="s">
        <v>112</v>
      </c>
      <c r="AA176" t="s">
        <v>82</v>
      </c>
      <c r="AB176" t="s">
        <v>83</v>
      </c>
      <c r="AC176" t="s">
        <v>1013</v>
      </c>
      <c r="AD176" t="s">
        <v>252</v>
      </c>
      <c r="AE176" t="s">
        <v>2427</v>
      </c>
      <c r="AF176" t="s">
        <v>252</v>
      </c>
      <c r="AG176" t="s">
        <v>2428</v>
      </c>
      <c r="AH176">
        <v>3</v>
      </c>
      <c r="AI176">
        <v>411840</v>
      </c>
      <c r="AJ176">
        <v>63000</v>
      </c>
      <c r="AK176">
        <v>0</v>
      </c>
      <c r="AL176">
        <v>474840</v>
      </c>
      <c r="AM176" t="s">
        <v>2289</v>
      </c>
      <c r="AN176" t="s">
        <v>2290</v>
      </c>
      <c r="AO176" t="s">
        <v>184</v>
      </c>
      <c r="AP176" t="s">
        <v>112</v>
      </c>
      <c r="AQ176" t="s">
        <v>82</v>
      </c>
      <c r="AR176" t="s">
        <v>2429</v>
      </c>
      <c r="AS176" s="3">
        <v>46202.46522332255</v>
      </c>
      <c r="AT176" t="s">
        <v>89</v>
      </c>
      <c r="AU176" t="s">
        <v>90</v>
      </c>
      <c r="AV176" t="s">
        <v>2294</v>
      </c>
      <c r="AW176" t="s">
        <v>92</v>
      </c>
      <c r="AX176" t="s">
        <v>2295</v>
      </c>
      <c r="AY176" t="s">
        <v>94</v>
      </c>
      <c r="AZ176" t="s">
        <v>85</v>
      </c>
      <c r="BA176" t="s">
        <v>2430</v>
      </c>
      <c r="BB176" t="s">
        <v>2420</v>
      </c>
      <c r="BC176" t="s">
        <v>2422</v>
      </c>
      <c r="BD176" t="s">
        <v>2289</v>
      </c>
      <c r="BE176" t="s">
        <v>2290</v>
      </c>
      <c r="BF176" t="b">
        <f t="shared" si="2"/>
        <v>1</v>
      </c>
      <c r="BG176" t="b">
        <v>1</v>
      </c>
      <c r="BH176">
        <v>2023</v>
      </c>
      <c r="BI176" t="b">
        <v>1</v>
      </c>
      <c r="BJ176" t="s">
        <v>2297</v>
      </c>
      <c r="BK176" t="s">
        <v>2298</v>
      </c>
      <c r="BL176" t="b">
        <v>1</v>
      </c>
      <c r="BM176" t="b">
        <v>1</v>
      </c>
      <c r="BN176" t="b">
        <v>1</v>
      </c>
      <c r="BO176" t="s">
        <v>2431</v>
      </c>
      <c r="BP176" t="b">
        <f>IF(IFERROR(VLOOKUP(A176,[1]Planilha1!$A:$A,1,0),FALSE)=FALSE,FALSE,TRUE)</f>
        <v>1</v>
      </c>
    </row>
    <row r="177" spans="1:68" x14ac:dyDescent="0.25">
      <c r="A177" t="s">
        <v>2432</v>
      </c>
      <c r="B177" t="s">
        <v>68</v>
      </c>
      <c r="D177" s="1">
        <v>46204</v>
      </c>
      <c r="E177" s="1">
        <v>47664</v>
      </c>
      <c r="F177" t="s">
        <v>2433</v>
      </c>
      <c r="G177" t="s">
        <v>2434</v>
      </c>
      <c r="H177" s="2" t="s">
        <v>2435</v>
      </c>
      <c r="I177" t="s">
        <v>2434</v>
      </c>
      <c r="K177" t="s">
        <v>2436</v>
      </c>
      <c r="L177">
        <v>5116788</v>
      </c>
      <c r="M177" t="s">
        <v>2437</v>
      </c>
      <c r="N177" t="s">
        <v>1576</v>
      </c>
      <c r="O177" t="s">
        <v>1577</v>
      </c>
      <c r="P177" t="s">
        <v>439</v>
      </c>
      <c r="Q177" t="s">
        <v>1578</v>
      </c>
      <c r="R177" t="s">
        <v>2289</v>
      </c>
      <c r="S177" t="s">
        <v>2290</v>
      </c>
      <c r="T177" t="s">
        <v>184</v>
      </c>
      <c r="U177" t="s">
        <v>112</v>
      </c>
      <c r="V177" t="s">
        <v>82</v>
      </c>
      <c r="W177" t="s">
        <v>2289</v>
      </c>
      <c r="X177" t="s">
        <v>2290</v>
      </c>
      <c r="Y177" t="s">
        <v>184</v>
      </c>
      <c r="Z177" t="s">
        <v>112</v>
      </c>
      <c r="AA177" t="s">
        <v>82</v>
      </c>
      <c r="AB177" t="s">
        <v>83</v>
      </c>
      <c r="AC177" t="s">
        <v>1135</v>
      </c>
      <c r="AD177" t="s">
        <v>149</v>
      </c>
      <c r="AE177" t="s">
        <v>2438</v>
      </c>
      <c r="AF177" t="s">
        <v>85</v>
      </c>
      <c r="AG177" t="s">
        <v>2439</v>
      </c>
      <c r="AH177">
        <v>5</v>
      </c>
      <c r="AI177">
        <v>730080</v>
      </c>
      <c r="AJ177">
        <v>94910</v>
      </c>
      <c r="AK177">
        <v>0</v>
      </c>
      <c r="AL177">
        <v>824990</v>
      </c>
      <c r="AM177" t="s">
        <v>2289</v>
      </c>
      <c r="AN177" t="s">
        <v>2290</v>
      </c>
      <c r="AO177" t="s">
        <v>184</v>
      </c>
      <c r="AP177" t="s">
        <v>112</v>
      </c>
      <c r="AQ177" t="s">
        <v>82</v>
      </c>
      <c r="AR177" t="s">
        <v>2440</v>
      </c>
      <c r="AS177" s="3">
        <v>46202.46522332255</v>
      </c>
      <c r="AT177" t="s">
        <v>89</v>
      </c>
      <c r="AU177" t="s">
        <v>90</v>
      </c>
      <c r="AV177" t="s">
        <v>2294</v>
      </c>
      <c r="AW177" t="s">
        <v>92</v>
      </c>
      <c r="AX177" t="s">
        <v>2295</v>
      </c>
      <c r="AY177" t="s">
        <v>94</v>
      </c>
      <c r="AZ177" t="s">
        <v>85</v>
      </c>
      <c r="BA177" t="s">
        <v>2441</v>
      </c>
      <c r="BB177" t="s">
        <v>2432</v>
      </c>
      <c r="BC177" t="s">
        <v>2434</v>
      </c>
      <c r="BD177" t="s">
        <v>2289</v>
      </c>
      <c r="BE177" t="s">
        <v>2290</v>
      </c>
      <c r="BF177" t="b">
        <f t="shared" si="2"/>
        <v>1</v>
      </c>
      <c r="BG177" t="b">
        <v>1</v>
      </c>
      <c r="BH177">
        <v>2017</v>
      </c>
      <c r="BI177" t="b">
        <v>1</v>
      </c>
      <c r="BJ177" t="s">
        <v>2297</v>
      </c>
      <c r="BK177" t="s">
        <v>2298</v>
      </c>
      <c r="BL177" t="b">
        <v>1</v>
      </c>
      <c r="BM177" t="b">
        <v>1</v>
      </c>
      <c r="BN177" t="b">
        <v>1</v>
      </c>
      <c r="BO177" t="s">
        <v>2442</v>
      </c>
      <c r="BP177" t="b">
        <f>IF(IFERROR(VLOOKUP(A177,[1]Planilha1!$A:$A,1,0),FALSE)=FALSE,FALSE,TRUE)</f>
        <v>1</v>
      </c>
    </row>
    <row r="178" spans="1:68" x14ac:dyDescent="0.25">
      <c r="A178" t="s">
        <v>2443</v>
      </c>
      <c r="B178" t="s">
        <v>68</v>
      </c>
      <c r="D178" s="1">
        <v>46204</v>
      </c>
      <c r="E178" s="1">
        <v>47664</v>
      </c>
      <c r="F178" t="s">
        <v>2433</v>
      </c>
      <c r="G178" t="s">
        <v>2434</v>
      </c>
      <c r="H178" s="2" t="s">
        <v>2435</v>
      </c>
      <c r="I178" t="s">
        <v>2434</v>
      </c>
      <c r="K178" t="s">
        <v>2436</v>
      </c>
      <c r="L178">
        <v>5116515</v>
      </c>
      <c r="M178" t="s">
        <v>2437</v>
      </c>
      <c r="N178" t="s">
        <v>1576</v>
      </c>
      <c r="O178" t="s">
        <v>1577</v>
      </c>
      <c r="P178" t="s">
        <v>439</v>
      </c>
      <c r="Q178" t="s">
        <v>1578</v>
      </c>
      <c r="R178" t="s">
        <v>2289</v>
      </c>
      <c r="S178" t="s">
        <v>2290</v>
      </c>
      <c r="T178" t="s">
        <v>184</v>
      </c>
      <c r="U178" t="s">
        <v>112</v>
      </c>
      <c r="V178" t="s">
        <v>82</v>
      </c>
      <c r="W178" t="s">
        <v>2289</v>
      </c>
      <c r="X178" t="s">
        <v>2290</v>
      </c>
      <c r="Y178" t="s">
        <v>184</v>
      </c>
      <c r="Z178" t="s">
        <v>112</v>
      </c>
      <c r="AA178" t="s">
        <v>82</v>
      </c>
      <c r="AB178" t="s">
        <v>83</v>
      </c>
      <c r="AC178" t="s">
        <v>1135</v>
      </c>
      <c r="AD178" t="s">
        <v>149</v>
      </c>
      <c r="AE178" t="s">
        <v>2444</v>
      </c>
      <c r="AF178" t="s">
        <v>149</v>
      </c>
      <c r="AG178" t="s">
        <v>2445</v>
      </c>
      <c r="AH178">
        <v>5</v>
      </c>
      <c r="AI178">
        <v>730080</v>
      </c>
      <c r="AJ178">
        <v>94910</v>
      </c>
      <c r="AK178">
        <v>0</v>
      </c>
      <c r="AL178">
        <v>824990</v>
      </c>
      <c r="AM178" t="s">
        <v>2289</v>
      </c>
      <c r="AN178" t="s">
        <v>2290</v>
      </c>
      <c r="AO178" t="s">
        <v>184</v>
      </c>
      <c r="AP178" t="s">
        <v>112</v>
      </c>
      <c r="AQ178" t="s">
        <v>82</v>
      </c>
      <c r="AR178" t="s">
        <v>2440</v>
      </c>
      <c r="AS178" s="3">
        <v>46202.46522332255</v>
      </c>
      <c r="AT178" t="s">
        <v>89</v>
      </c>
      <c r="AU178" t="s">
        <v>90</v>
      </c>
      <c r="AV178" t="s">
        <v>2294</v>
      </c>
      <c r="AW178" t="s">
        <v>92</v>
      </c>
      <c r="AX178" t="s">
        <v>2295</v>
      </c>
      <c r="AY178" t="s">
        <v>94</v>
      </c>
      <c r="AZ178" t="s">
        <v>85</v>
      </c>
      <c r="BA178" t="s">
        <v>2441</v>
      </c>
      <c r="BB178" t="s">
        <v>2443</v>
      </c>
      <c r="BC178" t="s">
        <v>2434</v>
      </c>
      <c r="BD178" t="s">
        <v>2289</v>
      </c>
      <c r="BE178" t="s">
        <v>2290</v>
      </c>
      <c r="BF178" t="b">
        <f t="shared" si="2"/>
        <v>1</v>
      </c>
      <c r="BG178" t="b">
        <v>1</v>
      </c>
      <c r="BH178">
        <v>2017</v>
      </c>
      <c r="BI178" t="b">
        <v>1</v>
      </c>
      <c r="BJ178" t="s">
        <v>2297</v>
      </c>
      <c r="BK178" t="s">
        <v>2298</v>
      </c>
      <c r="BL178" t="b">
        <v>1</v>
      </c>
      <c r="BM178" t="b">
        <v>1</v>
      </c>
      <c r="BN178" t="b">
        <v>1</v>
      </c>
      <c r="BO178" t="s">
        <v>2442</v>
      </c>
      <c r="BP178" t="b">
        <f>IF(IFERROR(VLOOKUP(A178,[1]Planilha1!$A:$A,1,0),FALSE)=FALSE,FALSE,TRUE)</f>
        <v>1</v>
      </c>
    </row>
    <row r="179" spans="1:68" x14ac:dyDescent="0.25">
      <c r="A179" t="s">
        <v>2446</v>
      </c>
      <c r="B179" t="s">
        <v>68</v>
      </c>
      <c r="D179" s="1">
        <v>46204</v>
      </c>
      <c r="E179" s="1">
        <v>47664</v>
      </c>
      <c r="F179" t="s">
        <v>2447</v>
      </c>
      <c r="G179" t="s">
        <v>2448</v>
      </c>
      <c r="H179" s="2" t="s">
        <v>2449</v>
      </c>
      <c r="I179" t="s">
        <v>2448</v>
      </c>
      <c r="K179" t="s">
        <v>2450</v>
      </c>
      <c r="L179">
        <v>5116911</v>
      </c>
      <c r="M179" t="s">
        <v>2451</v>
      </c>
      <c r="N179" t="s">
        <v>886</v>
      </c>
      <c r="O179" t="s">
        <v>887</v>
      </c>
      <c r="P179" t="s">
        <v>107</v>
      </c>
      <c r="Q179" t="s">
        <v>2452</v>
      </c>
      <c r="R179" t="s">
        <v>2453</v>
      </c>
      <c r="S179" t="s">
        <v>2454</v>
      </c>
      <c r="T179" t="s">
        <v>768</v>
      </c>
      <c r="U179" t="s">
        <v>769</v>
      </c>
      <c r="V179" t="s">
        <v>82</v>
      </c>
      <c r="W179" t="s">
        <v>2453</v>
      </c>
      <c r="X179" t="s">
        <v>2454</v>
      </c>
      <c r="Y179" t="s">
        <v>768</v>
      </c>
      <c r="Z179" t="s">
        <v>769</v>
      </c>
      <c r="AA179" t="s">
        <v>82</v>
      </c>
      <c r="AB179" t="s">
        <v>83</v>
      </c>
      <c r="AC179" t="s">
        <v>202</v>
      </c>
      <c r="AD179" t="s">
        <v>85</v>
      </c>
      <c r="AE179" t="s">
        <v>2455</v>
      </c>
      <c r="AF179" t="s">
        <v>85</v>
      </c>
      <c r="AG179" t="s">
        <v>2456</v>
      </c>
      <c r="AH179">
        <v>7</v>
      </c>
      <c r="AI179">
        <v>1348880</v>
      </c>
      <c r="AJ179">
        <v>145000</v>
      </c>
      <c r="AK179">
        <v>0</v>
      </c>
      <c r="AL179">
        <v>1493880</v>
      </c>
      <c r="AR179" t="s">
        <v>2457</v>
      </c>
      <c r="AS179" s="3">
        <v>46202.46522332255</v>
      </c>
      <c r="AT179" t="s">
        <v>89</v>
      </c>
      <c r="AU179" t="s">
        <v>90</v>
      </c>
      <c r="AV179" t="s">
        <v>2294</v>
      </c>
      <c r="AW179" t="s">
        <v>92</v>
      </c>
      <c r="AX179" t="s">
        <v>2295</v>
      </c>
      <c r="AY179" t="s">
        <v>94</v>
      </c>
      <c r="AZ179" t="s">
        <v>85</v>
      </c>
      <c r="BA179" t="s">
        <v>2458</v>
      </c>
      <c r="BB179" t="s">
        <v>2446</v>
      </c>
      <c r="BC179" t="s">
        <v>2448</v>
      </c>
      <c r="BD179" t="s">
        <v>2453</v>
      </c>
      <c r="BE179" t="s">
        <v>2454</v>
      </c>
      <c r="BF179" t="b">
        <f t="shared" si="2"/>
        <v>1</v>
      </c>
      <c r="BG179" t="b">
        <v>1</v>
      </c>
      <c r="BH179">
        <v>2017</v>
      </c>
      <c r="BI179" t="b">
        <v>1</v>
      </c>
      <c r="BJ179" t="s">
        <v>2297</v>
      </c>
      <c r="BK179" t="s">
        <v>2459</v>
      </c>
      <c r="BL179" t="b">
        <v>1</v>
      </c>
      <c r="BM179" t="b">
        <v>1</v>
      </c>
      <c r="BN179" t="b">
        <v>1</v>
      </c>
      <c r="BO179" t="s">
        <v>2460</v>
      </c>
      <c r="BP179" t="b">
        <f>IF(IFERROR(VLOOKUP(A179,[1]Planilha1!$A:$A,1,0),FALSE)=FALSE,FALSE,TRUE)</f>
        <v>1</v>
      </c>
    </row>
    <row r="180" spans="1:68" x14ac:dyDescent="0.25">
      <c r="A180" t="s">
        <v>2461</v>
      </c>
      <c r="B180" t="s">
        <v>68</v>
      </c>
      <c r="D180" s="1">
        <v>46204</v>
      </c>
      <c r="E180" s="1">
        <v>47664</v>
      </c>
      <c r="F180" t="s">
        <v>2462</v>
      </c>
      <c r="G180" t="s">
        <v>2463</v>
      </c>
      <c r="H180" s="2" t="s">
        <v>2464</v>
      </c>
      <c r="I180" t="s">
        <v>2463</v>
      </c>
      <c r="K180" t="s">
        <v>2465</v>
      </c>
      <c r="L180">
        <v>5116561</v>
      </c>
      <c r="M180" t="s">
        <v>2466</v>
      </c>
      <c r="N180" t="s">
        <v>389</v>
      </c>
      <c r="O180" t="s">
        <v>390</v>
      </c>
      <c r="P180" t="s">
        <v>439</v>
      </c>
      <c r="Q180" t="s">
        <v>2467</v>
      </c>
      <c r="R180" t="s">
        <v>2453</v>
      </c>
      <c r="S180" t="s">
        <v>2454</v>
      </c>
      <c r="T180" t="s">
        <v>768</v>
      </c>
      <c r="U180" t="s">
        <v>769</v>
      </c>
      <c r="V180" t="s">
        <v>82</v>
      </c>
      <c r="W180" t="s">
        <v>2453</v>
      </c>
      <c r="X180" t="s">
        <v>2454</v>
      </c>
      <c r="Y180" t="s">
        <v>768</v>
      </c>
      <c r="Z180" t="s">
        <v>769</v>
      </c>
      <c r="AA180" t="s">
        <v>82</v>
      </c>
      <c r="AB180" t="s">
        <v>83</v>
      </c>
      <c r="AC180" t="s">
        <v>202</v>
      </c>
      <c r="AD180" t="s">
        <v>149</v>
      </c>
      <c r="AE180" t="s">
        <v>2468</v>
      </c>
      <c r="AF180" t="s">
        <v>85</v>
      </c>
      <c r="AG180" t="s">
        <v>2469</v>
      </c>
      <c r="AH180">
        <v>3</v>
      </c>
      <c r="AI180">
        <v>301080</v>
      </c>
      <c r="AJ180">
        <v>33349.33</v>
      </c>
      <c r="AK180">
        <v>0</v>
      </c>
      <c r="AL180">
        <v>334429.33</v>
      </c>
      <c r="AM180" t="s">
        <v>2453</v>
      </c>
      <c r="AN180" t="s">
        <v>2454</v>
      </c>
      <c r="AO180" t="s">
        <v>768</v>
      </c>
      <c r="AP180" t="s">
        <v>769</v>
      </c>
      <c r="AQ180" t="s">
        <v>82</v>
      </c>
      <c r="AR180" t="s">
        <v>2470</v>
      </c>
      <c r="AS180" s="3">
        <v>46202.46522332255</v>
      </c>
      <c r="AT180" t="s">
        <v>89</v>
      </c>
      <c r="AU180" t="s">
        <v>90</v>
      </c>
      <c r="AV180" t="s">
        <v>2294</v>
      </c>
      <c r="AW180" t="s">
        <v>92</v>
      </c>
      <c r="AX180" t="s">
        <v>2295</v>
      </c>
      <c r="AY180" t="s">
        <v>94</v>
      </c>
      <c r="AZ180" t="s">
        <v>85</v>
      </c>
      <c r="BA180" t="s">
        <v>2471</v>
      </c>
      <c r="BB180" t="s">
        <v>2461</v>
      </c>
      <c r="BC180" t="s">
        <v>2463</v>
      </c>
      <c r="BD180" t="s">
        <v>2453</v>
      </c>
      <c r="BE180" t="s">
        <v>2454</v>
      </c>
      <c r="BF180" t="b">
        <f t="shared" si="2"/>
        <v>1</v>
      </c>
      <c r="BG180" t="b">
        <v>1</v>
      </c>
      <c r="BH180">
        <v>2024</v>
      </c>
      <c r="BI180" t="b">
        <v>1</v>
      </c>
      <c r="BJ180" t="s">
        <v>2297</v>
      </c>
      <c r="BK180" t="s">
        <v>2459</v>
      </c>
      <c r="BL180" t="b">
        <v>1</v>
      </c>
      <c r="BM180" t="b">
        <v>1</v>
      </c>
      <c r="BN180" t="b">
        <v>1</v>
      </c>
      <c r="BO180" t="s">
        <v>2472</v>
      </c>
      <c r="BP180" t="b">
        <f>IF(IFERROR(VLOOKUP(A180,[1]Planilha1!$A:$A,1,0),FALSE)=FALSE,FALSE,TRUE)</f>
        <v>1</v>
      </c>
    </row>
    <row r="181" spans="1:68" x14ac:dyDescent="0.25">
      <c r="A181" t="s">
        <v>2473</v>
      </c>
      <c r="B181" t="s">
        <v>68</v>
      </c>
      <c r="D181" s="1">
        <v>46204</v>
      </c>
      <c r="E181" s="1">
        <v>47664</v>
      </c>
      <c r="F181" t="s">
        <v>2474</v>
      </c>
      <c r="G181" t="s">
        <v>2475</v>
      </c>
      <c r="H181" s="2" t="s">
        <v>2476</v>
      </c>
      <c r="I181" t="s">
        <v>2475</v>
      </c>
      <c r="K181" t="s">
        <v>2477</v>
      </c>
      <c r="L181">
        <v>5116758</v>
      </c>
      <c r="M181" t="s">
        <v>2478</v>
      </c>
      <c r="N181" t="s">
        <v>542</v>
      </c>
      <c r="O181" t="s">
        <v>543</v>
      </c>
      <c r="P181" t="s">
        <v>454</v>
      </c>
      <c r="Q181" t="s">
        <v>2479</v>
      </c>
      <c r="R181" t="s">
        <v>2453</v>
      </c>
      <c r="S181" t="s">
        <v>2454</v>
      </c>
      <c r="T181" t="s">
        <v>768</v>
      </c>
      <c r="U181" t="s">
        <v>769</v>
      </c>
      <c r="V181" t="s">
        <v>82</v>
      </c>
      <c r="W181" t="s">
        <v>2453</v>
      </c>
      <c r="X181" t="s">
        <v>2454</v>
      </c>
      <c r="Y181" t="s">
        <v>768</v>
      </c>
      <c r="Z181" t="s">
        <v>769</v>
      </c>
      <c r="AA181" t="s">
        <v>82</v>
      </c>
      <c r="AB181" t="s">
        <v>83</v>
      </c>
      <c r="AC181" t="s">
        <v>459</v>
      </c>
      <c r="AD181" t="s">
        <v>85</v>
      </c>
      <c r="AE181" t="s">
        <v>2480</v>
      </c>
      <c r="AF181" t="s">
        <v>85</v>
      </c>
      <c r="AG181" t="s">
        <v>2481</v>
      </c>
      <c r="AH181">
        <v>8</v>
      </c>
      <c r="AI181">
        <v>1289800</v>
      </c>
      <c r="AJ181">
        <v>143000</v>
      </c>
      <c r="AK181">
        <v>0</v>
      </c>
      <c r="AL181">
        <v>1432800</v>
      </c>
      <c r="AM181" t="s">
        <v>2453</v>
      </c>
      <c r="AN181" t="s">
        <v>2454</v>
      </c>
      <c r="AO181" t="s">
        <v>768</v>
      </c>
      <c r="AP181" t="s">
        <v>769</v>
      </c>
      <c r="AQ181" t="s">
        <v>82</v>
      </c>
      <c r="AR181" t="s">
        <v>2482</v>
      </c>
      <c r="AS181" s="3">
        <v>46202.46522332255</v>
      </c>
      <c r="AT181" t="s">
        <v>89</v>
      </c>
      <c r="AU181" t="s">
        <v>90</v>
      </c>
      <c r="AV181" t="s">
        <v>2294</v>
      </c>
      <c r="AW181" t="s">
        <v>92</v>
      </c>
      <c r="AX181" t="s">
        <v>2295</v>
      </c>
      <c r="AY181" t="s">
        <v>94</v>
      </c>
      <c r="AZ181" t="s">
        <v>85</v>
      </c>
      <c r="BA181" t="s">
        <v>2483</v>
      </c>
      <c r="BB181" t="s">
        <v>2473</v>
      </c>
      <c r="BC181" t="s">
        <v>2475</v>
      </c>
      <c r="BD181" t="s">
        <v>2453</v>
      </c>
      <c r="BE181" t="s">
        <v>2454</v>
      </c>
      <c r="BF181" t="b">
        <f t="shared" si="2"/>
        <v>1</v>
      </c>
      <c r="BG181" t="b">
        <v>1</v>
      </c>
      <c r="BH181">
        <v>2020</v>
      </c>
      <c r="BI181" t="b">
        <v>1</v>
      </c>
      <c r="BJ181" t="s">
        <v>2297</v>
      </c>
      <c r="BK181" t="s">
        <v>2459</v>
      </c>
      <c r="BL181" t="b">
        <v>1</v>
      </c>
      <c r="BM181" t="b">
        <v>1</v>
      </c>
      <c r="BN181" t="b">
        <v>1</v>
      </c>
      <c r="BO181" t="s">
        <v>2484</v>
      </c>
      <c r="BP181" t="b">
        <f>IF(IFERROR(VLOOKUP(A181,[1]Planilha1!$A:$A,1,0),FALSE)=FALSE,FALSE,TRUE)</f>
        <v>1</v>
      </c>
    </row>
    <row r="182" spans="1:68" x14ac:dyDescent="0.25">
      <c r="A182" t="s">
        <v>2485</v>
      </c>
      <c r="B182" t="s">
        <v>68</v>
      </c>
      <c r="D182" s="1">
        <v>46204</v>
      </c>
      <c r="E182" s="1">
        <v>47664</v>
      </c>
      <c r="F182" t="s">
        <v>2486</v>
      </c>
      <c r="G182" t="s">
        <v>2487</v>
      </c>
      <c r="H182" s="2" t="s">
        <v>2488</v>
      </c>
      <c r="I182" t="s">
        <v>2487</v>
      </c>
      <c r="K182" t="s">
        <v>2489</v>
      </c>
      <c r="L182">
        <v>5116776</v>
      </c>
      <c r="M182" t="s">
        <v>2490</v>
      </c>
      <c r="N182" t="s">
        <v>328</v>
      </c>
      <c r="O182" t="s">
        <v>329</v>
      </c>
      <c r="P182" t="s">
        <v>129</v>
      </c>
      <c r="Q182" t="s">
        <v>330</v>
      </c>
      <c r="R182" t="s">
        <v>2378</v>
      </c>
      <c r="S182" t="s">
        <v>2379</v>
      </c>
      <c r="T182" t="s">
        <v>1151</v>
      </c>
      <c r="U182" t="s">
        <v>769</v>
      </c>
      <c r="V182" t="s">
        <v>82</v>
      </c>
      <c r="W182" t="s">
        <v>2378</v>
      </c>
      <c r="X182" t="s">
        <v>2379</v>
      </c>
      <c r="Y182" t="s">
        <v>1151</v>
      </c>
      <c r="Z182" t="s">
        <v>769</v>
      </c>
      <c r="AA182" t="s">
        <v>82</v>
      </c>
      <c r="AB182" t="s">
        <v>83</v>
      </c>
      <c r="AC182" t="s">
        <v>333</v>
      </c>
      <c r="AD182" t="s">
        <v>149</v>
      </c>
      <c r="AE182" t="s">
        <v>2491</v>
      </c>
      <c r="AF182" t="s">
        <v>85</v>
      </c>
      <c r="AG182" t="s">
        <v>2492</v>
      </c>
      <c r="AH182">
        <v>5</v>
      </c>
      <c r="AI182">
        <v>960960</v>
      </c>
      <c r="AJ182">
        <v>96096</v>
      </c>
      <c r="AK182">
        <v>0</v>
      </c>
      <c r="AL182">
        <v>1057056</v>
      </c>
      <c r="AR182" t="s">
        <v>2493</v>
      </c>
      <c r="AS182" s="3">
        <v>46202.46522332255</v>
      </c>
      <c r="AT182" t="s">
        <v>89</v>
      </c>
      <c r="AU182" t="s">
        <v>90</v>
      </c>
      <c r="AV182" t="s">
        <v>2294</v>
      </c>
      <c r="AW182" t="s">
        <v>92</v>
      </c>
      <c r="AX182" t="s">
        <v>2295</v>
      </c>
      <c r="AY182" t="s">
        <v>94</v>
      </c>
      <c r="AZ182" t="s">
        <v>85</v>
      </c>
      <c r="BA182" t="s">
        <v>2494</v>
      </c>
      <c r="BB182" t="s">
        <v>2485</v>
      </c>
      <c r="BC182" t="s">
        <v>2487</v>
      </c>
      <c r="BD182" t="s">
        <v>2378</v>
      </c>
      <c r="BE182" t="s">
        <v>2379</v>
      </c>
      <c r="BF182" t="b">
        <f t="shared" si="2"/>
        <v>1</v>
      </c>
      <c r="BG182" t="b">
        <v>1</v>
      </c>
      <c r="BH182">
        <v>2017</v>
      </c>
      <c r="BI182" t="b">
        <v>1</v>
      </c>
      <c r="BJ182" t="s">
        <v>2297</v>
      </c>
      <c r="BK182" t="s">
        <v>2384</v>
      </c>
      <c r="BL182" t="b">
        <v>1</v>
      </c>
      <c r="BM182" t="b">
        <v>1</v>
      </c>
      <c r="BN182" t="b">
        <v>1</v>
      </c>
      <c r="BO182" t="s">
        <v>2495</v>
      </c>
      <c r="BP182" t="b">
        <f>IF(IFERROR(VLOOKUP(A182,[1]Planilha1!$A:$A,1,0),FALSE)=FALSE,FALSE,TRUE)</f>
        <v>1</v>
      </c>
    </row>
    <row r="183" spans="1:68" x14ac:dyDescent="0.25">
      <c r="A183" t="s">
        <v>2496</v>
      </c>
      <c r="B183" t="s">
        <v>68</v>
      </c>
      <c r="D183" s="1">
        <v>46204</v>
      </c>
      <c r="E183" s="1">
        <v>47664</v>
      </c>
      <c r="F183" t="s">
        <v>2497</v>
      </c>
      <c r="G183" t="s">
        <v>2498</v>
      </c>
      <c r="H183" s="2" t="s">
        <v>2499</v>
      </c>
      <c r="I183" t="s">
        <v>2498</v>
      </c>
      <c r="K183" t="s">
        <v>2500</v>
      </c>
      <c r="L183">
        <v>5116745</v>
      </c>
      <c r="M183" t="s">
        <v>2501</v>
      </c>
      <c r="N183" t="s">
        <v>793</v>
      </c>
      <c r="O183" t="s">
        <v>794</v>
      </c>
      <c r="P183" t="s">
        <v>647</v>
      </c>
      <c r="Q183" t="s">
        <v>795</v>
      </c>
      <c r="R183" t="s">
        <v>2378</v>
      </c>
      <c r="S183" t="s">
        <v>2379</v>
      </c>
      <c r="T183" t="s">
        <v>1151</v>
      </c>
      <c r="U183" t="s">
        <v>769</v>
      </c>
      <c r="V183" t="s">
        <v>82</v>
      </c>
      <c r="W183" t="s">
        <v>2378</v>
      </c>
      <c r="X183" t="s">
        <v>2379</v>
      </c>
      <c r="Y183" t="s">
        <v>1151</v>
      </c>
      <c r="Z183" t="s">
        <v>769</v>
      </c>
      <c r="AA183" t="s">
        <v>82</v>
      </c>
      <c r="AB183" t="s">
        <v>83</v>
      </c>
      <c r="AC183" t="s">
        <v>649</v>
      </c>
      <c r="AD183" t="s">
        <v>149</v>
      </c>
      <c r="AE183" t="s">
        <v>2502</v>
      </c>
      <c r="AF183" t="s">
        <v>85</v>
      </c>
      <c r="AG183" t="s">
        <v>2503</v>
      </c>
      <c r="AH183">
        <v>5</v>
      </c>
      <c r="AI183">
        <v>936000</v>
      </c>
      <c r="AJ183">
        <v>103878.67</v>
      </c>
      <c r="AK183">
        <v>0</v>
      </c>
      <c r="AL183">
        <v>1039878.67</v>
      </c>
      <c r="AR183" t="s">
        <v>2504</v>
      </c>
      <c r="AS183" s="3">
        <v>46202.46522332255</v>
      </c>
      <c r="AT183" t="s">
        <v>89</v>
      </c>
      <c r="AU183" t="s">
        <v>90</v>
      </c>
      <c r="AV183" t="s">
        <v>2294</v>
      </c>
      <c r="AW183" t="s">
        <v>92</v>
      </c>
      <c r="AX183" t="s">
        <v>2295</v>
      </c>
      <c r="AY183" t="s">
        <v>94</v>
      </c>
      <c r="AZ183" t="s">
        <v>85</v>
      </c>
      <c r="BA183" t="s">
        <v>2505</v>
      </c>
      <c r="BB183" t="s">
        <v>2496</v>
      </c>
      <c r="BC183" t="s">
        <v>2498</v>
      </c>
      <c r="BD183" t="s">
        <v>2378</v>
      </c>
      <c r="BE183" t="s">
        <v>2379</v>
      </c>
      <c r="BF183" t="b">
        <f t="shared" si="2"/>
        <v>1</v>
      </c>
      <c r="BG183" t="b">
        <v>1</v>
      </c>
      <c r="BH183">
        <v>2005</v>
      </c>
      <c r="BI183" t="b">
        <v>1</v>
      </c>
      <c r="BJ183" t="s">
        <v>2297</v>
      </c>
      <c r="BK183" t="s">
        <v>2384</v>
      </c>
      <c r="BL183" t="b">
        <v>1</v>
      </c>
      <c r="BM183" t="b">
        <v>1</v>
      </c>
      <c r="BN183" t="b">
        <v>1</v>
      </c>
      <c r="BO183" t="s">
        <v>2506</v>
      </c>
      <c r="BP183" t="b">
        <f>IF(IFERROR(VLOOKUP(A183,[1]Planilha1!$A:$A,1,0),FALSE)=FALSE,FALSE,TRUE)</f>
        <v>1</v>
      </c>
    </row>
    <row r="184" spans="1:68" x14ac:dyDescent="0.25">
      <c r="A184" t="s">
        <v>2507</v>
      </c>
      <c r="B184" t="s">
        <v>68</v>
      </c>
      <c r="D184" s="1">
        <v>46204</v>
      </c>
      <c r="E184" s="1">
        <v>47664</v>
      </c>
      <c r="F184" t="s">
        <v>2508</v>
      </c>
      <c r="G184" t="s">
        <v>2509</v>
      </c>
      <c r="H184" s="2" t="s">
        <v>2510</v>
      </c>
      <c r="I184" t="s">
        <v>2509</v>
      </c>
      <c r="K184" t="s">
        <v>2511</v>
      </c>
      <c r="L184">
        <v>5116575</v>
      </c>
      <c r="M184" t="s">
        <v>2512</v>
      </c>
      <c r="N184" t="s">
        <v>249</v>
      </c>
      <c r="O184" t="s">
        <v>250</v>
      </c>
      <c r="P184" t="s">
        <v>76</v>
      </c>
      <c r="Q184" t="s">
        <v>251</v>
      </c>
      <c r="R184" t="s">
        <v>2453</v>
      </c>
      <c r="S184" t="s">
        <v>2454</v>
      </c>
      <c r="T184" t="s">
        <v>768</v>
      </c>
      <c r="U184" t="s">
        <v>769</v>
      </c>
      <c r="V184" t="s">
        <v>82</v>
      </c>
      <c r="W184" t="s">
        <v>2453</v>
      </c>
      <c r="X184" t="s">
        <v>2454</v>
      </c>
      <c r="Y184" t="s">
        <v>768</v>
      </c>
      <c r="Z184" t="s">
        <v>769</v>
      </c>
      <c r="AA184" t="s">
        <v>82</v>
      </c>
      <c r="AB184" t="s">
        <v>83</v>
      </c>
      <c r="AC184" t="s">
        <v>202</v>
      </c>
      <c r="AD184" t="s">
        <v>149</v>
      </c>
      <c r="AE184" t="s">
        <v>2513</v>
      </c>
      <c r="AF184" t="s">
        <v>85</v>
      </c>
      <c r="AG184" t="s">
        <v>2514</v>
      </c>
      <c r="AH184">
        <v>8</v>
      </c>
      <c r="AI184">
        <v>1162200</v>
      </c>
      <c r="AJ184">
        <v>115000</v>
      </c>
      <c r="AK184">
        <v>0</v>
      </c>
      <c r="AL184">
        <v>1277200</v>
      </c>
      <c r="AM184" t="s">
        <v>2453</v>
      </c>
      <c r="AN184" t="s">
        <v>2454</v>
      </c>
      <c r="AO184" t="s">
        <v>768</v>
      </c>
      <c r="AP184" t="s">
        <v>769</v>
      </c>
      <c r="AQ184" t="s">
        <v>82</v>
      </c>
      <c r="AR184" t="s">
        <v>2515</v>
      </c>
      <c r="AS184" s="3">
        <v>46202.46522332255</v>
      </c>
      <c r="AT184" t="s">
        <v>89</v>
      </c>
      <c r="AU184" t="s">
        <v>90</v>
      </c>
      <c r="AV184" t="s">
        <v>2294</v>
      </c>
      <c r="AW184" t="s">
        <v>92</v>
      </c>
      <c r="AX184" t="s">
        <v>2295</v>
      </c>
      <c r="AY184" t="s">
        <v>94</v>
      </c>
      <c r="AZ184" t="s">
        <v>85</v>
      </c>
      <c r="BA184" t="s">
        <v>2516</v>
      </c>
      <c r="BB184" t="s">
        <v>2507</v>
      </c>
      <c r="BC184" t="s">
        <v>2509</v>
      </c>
      <c r="BD184" t="s">
        <v>2453</v>
      </c>
      <c r="BE184" t="s">
        <v>2454</v>
      </c>
      <c r="BF184" t="b">
        <f t="shared" si="2"/>
        <v>1</v>
      </c>
      <c r="BG184" t="b">
        <v>1</v>
      </c>
      <c r="BH184">
        <v>2003</v>
      </c>
      <c r="BI184" t="b">
        <v>1</v>
      </c>
      <c r="BJ184" t="s">
        <v>2297</v>
      </c>
      <c r="BK184" t="s">
        <v>2459</v>
      </c>
      <c r="BL184" t="b">
        <v>1</v>
      </c>
      <c r="BM184" t="b">
        <v>1</v>
      </c>
      <c r="BN184" t="b">
        <v>1</v>
      </c>
      <c r="BO184" t="s">
        <v>2517</v>
      </c>
      <c r="BP184" t="b">
        <f>IF(IFERROR(VLOOKUP(A184,[1]Planilha1!$A:$A,1,0),FALSE)=FALSE,FALSE,TRUE)</f>
        <v>1</v>
      </c>
    </row>
    <row r="185" spans="1:68" x14ac:dyDescent="0.25">
      <c r="A185" t="s">
        <v>2518</v>
      </c>
      <c r="B185" t="s">
        <v>68</v>
      </c>
      <c r="D185" s="1">
        <v>46204</v>
      </c>
      <c r="E185" s="1">
        <v>47664</v>
      </c>
      <c r="F185" t="s">
        <v>2519</v>
      </c>
      <c r="G185" t="s">
        <v>2520</v>
      </c>
      <c r="H185" s="2" t="s">
        <v>2521</v>
      </c>
      <c r="I185" t="s">
        <v>2520</v>
      </c>
      <c r="K185" t="s">
        <v>2522</v>
      </c>
      <c r="L185">
        <v>5116743</v>
      </c>
      <c r="M185" t="s">
        <v>2523</v>
      </c>
      <c r="N185" t="s">
        <v>2109</v>
      </c>
      <c r="O185" t="s">
        <v>2018</v>
      </c>
      <c r="P185" t="s">
        <v>230</v>
      </c>
      <c r="Q185" t="s">
        <v>2426</v>
      </c>
      <c r="R185" t="s">
        <v>2289</v>
      </c>
      <c r="S185" t="s">
        <v>2290</v>
      </c>
      <c r="T185" t="s">
        <v>184</v>
      </c>
      <c r="U185" t="s">
        <v>112</v>
      </c>
      <c r="V185" t="s">
        <v>82</v>
      </c>
      <c r="W185" t="s">
        <v>2289</v>
      </c>
      <c r="X185" t="s">
        <v>2290</v>
      </c>
      <c r="Y185" t="s">
        <v>184</v>
      </c>
      <c r="Z185" t="s">
        <v>112</v>
      </c>
      <c r="AA185" t="s">
        <v>82</v>
      </c>
      <c r="AB185" t="s">
        <v>83</v>
      </c>
      <c r="AC185" t="s">
        <v>1013</v>
      </c>
      <c r="AD185" t="s">
        <v>85</v>
      </c>
      <c r="AE185" t="s">
        <v>2524</v>
      </c>
      <c r="AF185" t="s">
        <v>85</v>
      </c>
      <c r="AG185" t="s">
        <v>2525</v>
      </c>
      <c r="AH185">
        <v>5</v>
      </c>
      <c r="AI185">
        <v>405600</v>
      </c>
      <c r="AJ185">
        <v>45066.67</v>
      </c>
      <c r="AK185">
        <v>0</v>
      </c>
      <c r="AL185">
        <v>450666.67</v>
      </c>
      <c r="AR185" t="s">
        <v>2526</v>
      </c>
      <c r="AS185" s="3">
        <v>46202.46522332255</v>
      </c>
      <c r="AT185" t="s">
        <v>89</v>
      </c>
      <c r="AU185" t="s">
        <v>90</v>
      </c>
      <c r="AV185" t="s">
        <v>2294</v>
      </c>
      <c r="AW185" t="s">
        <v>92</v>
      </c>
      <c r="AX185" t="s">
        <v>2295</v>
      </c>
      <c r="AY185" t="s">
        <v>94</v>
      </c>
      <c r="AZ185" t="s">
        <v>85</v>
      </c>
      <c r="BA185" t="s">
        <v>2527</v>
      </c>
      <c r="BB185" t="s">
        <v>2518</v>
      </c>
      <c r="BC185" t="s">
        <v>2520</v>
      </c>
      <c r="BD185" t="s">
        <v>2289</v>
      </c>
      <c r="BE185" t="s">
        <v>2290</v>
      </c>
      <c r="BF185" t="b">
        <f t="shared" si="2"/>
        <v>1</v>
      </c>
      <c r="BG185" t="b">
        <v>1</v>
      </c>
      <c r="BH185">
        <v>2017</v>
      </c>
      <c r="BI185" t="b">
        <v>1</v>
      </c>
      <c r="BJ185" t="s">
        <v>2297</v>
      </c>
      <c r="BK185" t="s">
        <v>2298</v>
      </c>
      <c r="BL185" t="b">
        <v>1</v>
      </c>
      <c r="BM185" t="b">
        <v>1</v>
      </c>
      <c r="BN185" t="b">
        <v>1</v>
      </c>
      <c r="BO185" t="s">
        <v>2528</v>
      </c>
      <c r="BP185" t="b">
        <f>IF(IFERROR(VLOOKUP(A185,[1]Planilha1!$A:$A,1,0),FALSE)=FALSE,FALSE,TRUE)</f>
        <v>1</v>
      </c>
    </row>
    <row r="186" spans="1:68" x14ac:dyDescent="0.25">
      <c r="A186" t="s">
        <v>2529</v>
      </c>
      <c r="B186" t="s">
        <v>68</v>
      </c>
      <c r="D186" s="1">
        <v>46204</v>
      </c>
      <c r="E186" s="1">
        <v>47664</v>
      </c>
      <c r="F186" t="s">
        <v>2530</v>
      </c>
      <c r="G186" t="s">
        <v>2531</v>
      </c>
      <c r="H186" s="2" t="s">
        <v>2532</v>
      </c>
      <c r="I186" t="s">
        <v>2531</v>
      </c>
      <c r="K186" t="s">
        <v>2533</v>
      </c>
      <c r="L186">
        <v>5116339</v>
      </c>
      <c r="M186" t="s">
        <v>2534</v>
      </c>
      <c r="N186" t="s">
        <v>809</v>
      </c>
      <c r="O186" t="s">
        <v>810</v>
      </c>
      <c r="P186" t="s">
        <v>76</v>
      </c>
      <c r="Q186" t="s">
        <v>1312</v>
      </c>
      <c r="R186" t="s">
        <v>2535</v>
      </c>
      <c r="S186" t="s">
        <v>2536</v>
      </c>
      <c r="T186" t="s">
        <v>2537</v>
      </c>
      <c r="U186" t="s">
        <v>301</v>
      </c>
      <c r="V186" t="s">
        <v>82</v>
      </c>
      <c r="W186" t="s">
        <v>2535</v>
      </c>
      <c r="X186" t="s">
        <v>2536</v>
      </c>
      <c r="Y186" t="s">
        <v>2537</v>
      </c>
      <c r="Z186" t="s">
        <v>301</v>
      </c>
      <c r="AA186" t="s">
        <v>82</v>
      </c>
      <c r="AB186" t="s">
        <v>83</v>
      </c>
      <c r="AC186" t="s">
        <v>84</v>
      </c>
      <c r="AD186" t="s">
        <v>1396</v>
      </c>
      <c r="AE186" t="s">
        <v>2538</v>
      </c>
      <c r="AF186" t="s">
        <v>1396</v>
      </c>
      <c r="AG186" t="s">
        <v>2539</v>
      </c>
      <c r="AH186">
        <v>9</v>
      </c>
      <c r="AI186">
        <v>1348100</v>
      </c>
      <c r="AJ186">
        <v>134815</v>
      </c>
      <c r="AK186">
        <v>0</v>
      </c>
      <c r="AL186">
        <v>1482915</v>
      </c>
      <c r="AM186" t="s">
        <v>2535</v>
      </c>
      <c r="AN186" t="s">
        <v>2536</v>
      </c>
      <c r="AO186" t="s">
        <v>2537</v>
      </c>
      <c r="AP186" t="s">
        <v>301</v>
      </c>
      <c r="AQ186" t="s">
        <v>82</v>
      </c>
      <c r="AR186" t="s">
        <v>2540</v>
      </c>
      <c r="AS186" s="3">
        <v>46202.46522332255</v>
      </c>
      <c r="AT186" t="s">
        <v>89</v>
      </c>
      <c r="AU186" t="s">
        <v>90</v>
      </c>
      <c r="AV186" t="s">
        <v>2294</v>
      </c>
      <c r="AW186" t="s">
        <v>92</v>
      </c>
      <c r="AX186" t="s">
        <v>2295</v>
      </c>
      <c r="AY186" t="s">
        <v>94</v>
      </c>
      <c r="AZ186" t="s">
        <v>85</v>
      </c>
      <c r="BA186" t="s">
        <v>2541</v>
      </c>
      <c r="BB186" t="s">
        <v>2529</v>
      </c>
      <c r="BC186" t="s">
        <v>2531</v>
      </c>
      <c r="BD186" t="s">
        <v>2535</v>
      </c>
      <c r="BE186" t="s">
        <v>2536</v>
      </c>
      <c r="BF186" t="b">
        <f t="shared" si="2"/>
        <v>1</v>
      </c>
      <c r="BG186" t="b">
        <v>1</v>
      </c>
      <c r="BH186">
        <v>2013</v>
      </c>
      <c r="BI186" t="b">
        <v>1</v>
      </c>
      <c r="BJ186" t="s">
        <v>2297</v>
      </c>
      <c r="BK186" t="s">
        <v>2542</v>
      </c>
      <c r="BL186" t="b">
        <v>1</v>
      </c>
      <c r="BM186" t="b">
        <v>1</v>
      </c>
      <c r="BN186" t="b">
        <v>1</v>
      </c>
      <c r="BO186" t="s">
        <v>2543</v>
      </c>
      <c r="BP186" t="b">
        <f>IF(IFERROR(VLOOKUP(A186,[1]Planilha1!$A:$A,1,0),FALSE)=FALSE,FALSE,TRUE)</f>
        <v>1</v>
      </c>
    </row>
    <row r="187" spans="1:68" x14ac:dyDescent="0.25">
      <c r="A187" t="s">
        <v>2544</v>
      </c>
      <c r="B187" t="s">
        <v>68</v>
      </c>
      <c r="D187" s="1">
        <v>46204</v>
      </c>
      <c r="E187" s="1">
        <v>47664</v>
      </c>
      <c r="F187" t="s">
        <v>2545</v>
      </c>
      <c r="G187" t="s">
        <v>2546</v>
      </c>
      <c r="H187" s="2" t="s">
        <v>2547</v>
      </c>
      <c r="I187" t="s">
        <v>2546</v>
      </c>
      <c r="K187" t="s">
        <v>2548</v>
      </c>
      <c r="L187">
        <v>5116712</v>
      </c>
      <c r="M187" t="s">
        <v>2549</v>
      </c>
      <c r="N187" t="s">
        <v>1576</v>
      </c>
      <c r="O187" t="s">
        <v>1577</v>
      </c>
      <c r="P187" t="s">
        <v>439</v>
      </c>
      <c r="Q187" t="s">
        <v>1578</v>
      </c>
      <c r="R187" t="s">
        <v>2378</v>
      </c>
      <c r="S187" t="s">
        <v>2379</v>
      </c>
      <c r="T187" t="s">
        <v>1151</v>
      </c>
      <c r="U187" t="s">
        <v>769</v>
      </c>
      <c r="V187" t="s">
        <v>82</v>
      </c>
      <c r="W187" t="s">
        <v>2378</v>
      </c>
      <c r="X187" t="s">
        <v>2379</v>
      </c>
      <c r="Y187" t="s">
        <v>1151</v>
      </c>
      <c r="Z187" t="s">
        <v>769</v>
      </c>
      <c r="AA187" t="s">
        <v>82</v>
      </c>
      <c r="AB187" t="s">
        <v>83</v>
      </c>
      <c r="AC187" t="s">
        <v>1135</v>
      </c>
      <c r="AD187" t="s">
        <v>149</v>
      </c>
      <c r="AE187" t="s">
        <v>2550</v>
      </c>
      <c r="AF187" t="s">
        <v>85</v>
      </c>
      <c r="AG187" t="s">
        <v>2551</v>
      </c>
      <c r="AH187">
        <v>8</v>
      </c>
      <c r="AI187">
        <v>746880</v>
      </c>
      <c r="AJ187">
        <v>82922.67</v>
      </c>
      <c r="AK187">
        <v>0</v>
      </c>
      <c r="AL187">
        <v>829802.67</v>
      </c>
      <c r="AR187" t="s">
        <v>2552</v>
      </c>
      <c r="AS187" s="3">
        <v>46202.46522332255</v>
      </c>
      <c r="AT187" t="s">
        <v>89</v>
      </c>
      <c r="AU187" t="s">
        <v>90</v>
      </c>
      <c r="AV187" t="s">
        <v>2294</v>
      </c>
      <c r="AW187" t="s">
        <v>92</v>
      </c>
      <c r="AX187" t="s">
        <v>2295</v>
      </c>
      <c r="AY187" t="s">
        <v>94</v>
      </c>
      <c r="AZ187" t="s">
        <v>85</v>
      </c>
      <c r="BA187" t="s">
        <v>2553</v>
      </c>
      <c r="BB187" t="s">
        <v>2544</v>
      </c>
      <c r="BC187" t="s">
        <v>2546</v>
      </c>
      <c r="BD187" t="s">
        <v>2378</v>
      </c>
      <c r="BE187" t="s">
        <v>2379</v>
      </c>
      <c r="BF187" t="b">
        <f t="shared" si="2"/>
        <v>1</v>
      </c>
      <c r="BG187" t="b">
        <v>1</v>
      </c>
      <c r="BH187">
        <v>2021</v>
      </c>
      <c r="BI187" t="b">
        <v>1</v>
      </c>
      <c r="BJ187" t="s">
        <v>2297</v>
      </c>
      <c r="BK187" t="s">
        <v>2384</v>
      </c>
      <c r="BL187" t="b">
        <v>1</v>
      </c>
      <c r="BM187" t="b">
        <v>1</v>
      </c>
      <c r="BN187" t="b">
        <v>1</v>
      </c>
      <c r="BO187" t="s">
        <v>2554</v>
      </c>
      <c r="BP187" t="b">
        <f>IF(IFERROR(VLOOKUP(A187,[1]Planilha1!$A:$A,1,0),FALSE)=FALSE,FALSE,TRUE)</f>
        <v>1</v>
      </c>
    </row>
    <row r="188" spans="1:68" x14ac:dyDescent="0.25">
      <c r="A188" t="s">
        <v>2555</v>
      </c>
      <c r="B188" t="s">
        <v>68</v>
      </c>
      <c r="D188" s="1">
        <v>46204</v>
      </c>
      <c r="E188" s="1">
        <v>47664</v>
      </c>
      <c r="F188" t="s">
        <v>2556</v>
      </c>
      <c r="G188" t="s">
        <v>2557</v>
      </c>
      <c r="H188" s="2" t="s">
        <v>2558</v>
      </c>
      <c r="I188" t="s">
        <v>2557</v>
      </c>
      <c r="K188" t="s">
        <v>2559</v>
      </c>
      <c r="L188">
        <v>5116752</v>
      </c>
      <c r="M188" t="s">
        <v>2560</v>
      </c>
      <c r="N188" t="s">
        <v>2561</v>
      </c>
      <c r="O188" t="s">
        <v>229</v>
      </c>
      <c r="P188" t="s">
        <v>230</v>
      </c>
      <c r="Q188" t="s">
        <v>2562</v>
      </c>
      <c r="R188" t="s">
        <v>2453</v>
      </c>
      <c r="S188" t="s">
        <v>2454</v>
      </c>
      <c r="T188" t="s">
        <v>768</v>
      </c>
      <c r="U188" t="s">
        <v>769</v>
      </c>
      <c r="V188" t="s">
        <v>82</v>
      </c>
      <c r="W188" t="s">
        <v>2453</v>
      </c>
      <c r="X188" t="s">
        <v>2454</v>
      </c>
      <c r="Y188" t="s">
        <v>768</v>
      </c>
      <c r="Z188" t="s">
        <v>769</v>
      </c>
      <c r="AA188" t="s">
        <v>82</v>
      </c>
      <c r="AB188" t="s">
        <v>83</v>
      </c>
      <c r="AC188" t="s">
        <v>235</v>
      </c>
      <c r="AD188" t="s">
        <v>149</v>
      </c>
      <c r="AE188" t="s">
        <v>2563</v>
      </c>
      <c r="AF188" t="s">
        <v>85</v>
      </c>
      <c r="AG188" t="s">
        <v>2564</v>
      </c>
      <c r="AH188">
        <v>5</v>
      </c>
      <c r="AI188">
        <v>1060800</v>
      </c>
      <c r="AJ188">
        <v>120960</v>
      </c>
      <c r="AK188">
        <v>0</v>
      </c>
      <c r="AL188">
        <v>1181760</v>
      </c>
      <c r="AM188" t="s">
        <v>2453</v>
      </c>
      <c r="AN188" t="s">
        <v>2454</v>
      </c>
      <c r="AO188" t="s">
        <v>768</v>
      </c>
      <c r="AP188" t="s">
        <v>769</v>
      </c>
      <c r="AQ188" t="s">
        <v>82</v>
      </c>
      <c r="AR188" t="s">
        <v>2565</v>
      </c>
      <c r="AS188" s="3">
        <v>46202.46522332255</v>
      </c>
      <c r="AT188" t="s">
        <v>89</v>
      </c>
      <c r="AU188" t="s">
        <v>90</v>
      </c>
      <c r="AV188" t="s">
        <v>2294</v>
      </c>
      <c r="AW188" t="s">
        <v>92</v>
      </c>
      <c r="AX188" t="s">
        <v>2295</v>
      </c>
      <c r="AY188" t="s">
        <v>94</v>
      </c>
      <c r="AZ188" t="s">
        <v>85</v>
      </c>
      <c r="BA188" t="s">
        <v>2566</v>
      </c>
      <c r="BB188" t="s">
        <v>2555</v>
      </c>
      <c r="BC188" t="s">
        <v>2557</v>
      </c>
      <c r="BD188" t="s">
        <v>2453</v>
      </c>
      <c r="BE188" t="s">
        <v>2454</v>
      </c>
      <c r="BF188" t="b">
        <f t="shared" si="2"/>
        <v>1</v>
      </c>
      <c r="BG188" t="b">
        <v>1</v>
      </c>
      <c r="BH188">
        <v>2010</v>
      </c>
      <c r="BI188" t="b">
        <v>1</v>
      </c>
      <c r="BJ188" t="s">
        <v>2297</v>
      </c>
      <c r="BK188" t="s">
        <v>2459</v>
      </c>
      <c r="BL188" t="b">
        <v>1</v>
      </c>
      <c r="BM188" t="b">
        <v>1</v>
      </c>
      <c r="BN188" t="b">
        <v>1</v>
      </c>
      <c r="BO188" t="s">
        <v>2567</v>
      </c>
      <c r="BP188" t="b">
        <f>IF(IFERROR(VLOOKUP(A188,[1]Planilha1!$A:$A,1,0),FALSE)=FALSE,FALSE,TRUE)</f>
        <v>1</v>
      </c>
    </row>
    <row r="189" spans="1:68" x14ac:dyDescent="0.25">
      <c r="A189" t="s">
        <v>2568</v>
      </c>
      <c r="B189" t="s">
        <v>68</v>
      </c>
      <c r="D189" s="1">
        <v>46204</v>
      </c>
      <c r="E189" s="1">
        <v>47664</v>
      </c>
      <c r="F189" t="s">
        <v>2569</v>
      </c>
      <c r="G189" t="s">
        <v>2570</v>
      </c>
      <c r="H189" s="2" t="s">
        <v>2571</v>
      </c>
      <c r="I189" t="s">
        <v>2570</v>
      </c>
      <c r="K189" t="s">
        <v>2572</v>
      </c>
      <c r="L189">
        <v>5116574</v>
      </c>
      <c r="M189" t="s">
        <v>2573</v>
      </c>
      <c r="N189" t="s">
        <v>1378</v>
      </c>
      <c r="O189" t="s">
        <v>1379</v>
      </c>
      <c r="P189" t="s">
        <v>529</v>
      </c>
      <c r="Q189" t="s">
        <v>2574</v>
      </c>
      <c r="R189" t="s">
        <v>2289</v>
      </c>
      <c r="S189" t="s">
        <v>2290</v>
      </c>
      <c r="T189" t="s">
        <v>184</v>
      </c>
      <c r="U189" t="s">
        <v>112</v>
      </c>
      <c r="V189" t="s">
        <v>82</v>
      </c>
      <c r="W189" t="s">
        <v>2289</v>
      </c>
      <c r="X189" t="s">
        <v>2290</v>
      </c>
      <c r="Y189" t="s">
        <v>184</v>
      </c>
      <c r="Z189" t="s">
        <v>112</v>
      </c>
      <c r="AA189" t="s">
        <v>82</v>
      </c>
      <c r="AB189" t="s">
        <v>83</v>
      </c>
      <c r="AC189" t="s">
        <v>1013</v>
      </c>
      <c r="AD189" t="s">
        <v>149</v>
      </c>
      <c r="AE189" t="s">
        <v>2575</v>
      </c>
      <c r="AF189" t="s">
        <v>85</v>
      </c>
      <c r="AG189" t="s">
        <v>2576</v>
      </c>
      <c r="AH189">
        <v>4</v>
      </c>
      <c r="AI189">
        <v>587730</v>
      </c>
      <c r="AJ189">
        <v>64000</v>
      </c>
      <c r="AK189">
        <v>0</v>
      </c>
      <c r="AL189">
        <v>651730</v>
      </c>
      <c r="AM189" t="s">
        <v>2289</v>
      </c>
      <c r="AN189" t="s">
        <v>2290</v>
      </c>
      <c r="AO189" t="s">
        <v>184</v>
      </c>
      <c r="AP189" t="s">
        <v>112</v>
      </c>
      <c r="AQ189" t="s">
        <v>82</v>
      </c>
      <c r="AR189" t="s">
        <v>2577</v>
      </c>
      <c r="AS189" s="3">
        <v>46202.46522332255</v>
      </c>
      <c r="AT189" t="s">
        <v>89</v>
      </c>
      <c r="AU189" t="s">
        <v>90</v>
      </c>
      <c r="AV189" t="s">
        <v>2294</v>
      </c>
      <c r="AW189" t="s">
        <v>92</v>
      </c>
      <c r="AX189" t="s">
        <v>2295</v>
      </c>
      <c r="AY189" t="s">
        <v>94</v>
      </c>
      <c r="AZ189" t="s">
        <v>85</v>
      </c>
      <c r="BA189" t="s">
        <v>2578</v>
      </c>
      <c r="BB189" t="s">
        <v>2568</v>
      </c>
      <c r="BC189" t="s">
        <v>2570</v>
      </c>
      <c r="BD189" t="s">
        <v>2289</v>
      </c>
      <c r="BE189" t="s">
        <v>2290</v>
      </c>
      <c r="BF189" t="b">
        <f t="shared" si="2"/>
        <v>1</v>
      </c>
      <c r="BG189" t="b">
        <v>1</v>
      </c>
      <c r="BH189">
        <v>2020</v>
      </c>
      <c r="BI189" t="b">
        <v>1</v>
      </c>
      <c r="BJ189" t="s">
        <v>2297</v>
      </c>
      <c r="BK189" t="s">
        <v>2298</v>
      </c>
      <c r="BL189" t="b">
        <v>1</v>
      </c>
      <c r="BM189" t="b">
        <v>1</v>
      </c>
      <c r="BN189" t="b">
        <v>1</v>
      </c>
      <c r="BO189" t="s">
        <v>2579</v>
      </c>
      <c r="BP189" t="b">
        <f>IF(IFERROR(VLOOKUP(A189,[1]Planilha1!$A:$A,1,0),FALSE)=FALSE,FALSE,TRUE)</f>
        <v>1</v>
      </c>
    </row>
    <row r="190" spans="1:68" x14ac:dyDescent="0.25">
      <c r="A190" t="s">
        <v>2580</v>
      </c>
      <c r="B190" t="s">
        <v>68</v>
      </c>
      <c r="D190" s="1">
        <v>46204</v>
      </c>
      <c r="E190" s="1">
        <v>47664</v>
      </c>
      <c r="F190" t="s">
        <v>2581</v>
      </c>
      <c r="G190" t="s">
        <v>2582</v>
      </c>
      <c r="H190" s="2" t="s">
        <v>2583</v>
      </c>
      <c r="I190" t="s">
        <v>2582</v>
      </c>
      <c r="K190" t="s">
        <v>2584</v>
      </c>
      <c r="L190">
        <v>5116765</v>
      </c>
      <c r="M190" t="s">
        <v>2585</v>
      </c>
      <c r="N190" t="s">
        <v>872</v>
      </c>
      <c r="O190" t="s">
        <v>873</v>
      </c>
      <c r="P190" t="s">
        <v>647</v>
      </c>
      <c r="Q190" t="s">
        <v>2586</v>
      </c>
      <c r="R190" t="s">
        <v>2378</v>
      </c>
      <c r="S190" t="s">
        <v>2379</v>
      </c>
      <c r="T190" t="s">
        <v>1151</v>
      </c>
      <c r="U190" t="s">
        <v>769</v>
      </c>
      <c r="V190" t="s">
        <v>82</v>
      </c>
      <c r="W190" t="s">
        <v>2378</v>
      </c>
      <c r="X190" t="s">
        <v>2379</v>
      </c>
      <c r="Y190" t="s">
        <v>1151</v>
      </c>
      <c r="Z190" t="s">
        <v>769</v>
      </c>
      <c r="AA190" t="s">
        <v>82</v>
      </c>
      <c r="AB190" t="s">
        <v>83</v>
      </c>
      <c r="AC190" t="s">
        <v>649</v>
      </c>
      <c r="AD190" t="s">
        <v>149</v>
      </c>
      <c r="AE190" t="s">
        <v>2587</v>
      </c>
      <c r="AF190" t="s">
        <v>85</v>
      </c>
      <c r="AG190" t="s">
        <v>2588</v>
      </c>
      <c r="AH190">
        <v>5</v>
      </c>
      <c r="AI190">
        <v>973440</v>
      </c>
      <c r="AJ190">
        <v>108160</v>
      </c>
      <c r="AK190">
        <v>0</v>
      </c>
      <c r="AL190">
        <v>1081600</v>
      </c>
      <c r="AM190" t="s">
        <v>2378</v>
      </c>
      <c r="AN190" t="s">
        <v>2379</v>
      </c>
      <c r="AO190" t="s">
        <v>1151</v>
      </c>
      <c r="AP190" t="s">
        <v>769</v>
      </c>
      <c r="AQ190" t="s">
        <v>82</v>
      </c>
      <c r="AR190" t="s">
        <v>2589</v>
      </c>
      <c r="AS190" s="3">
        <v>46202.46522332255</v>
      </c>
      <c r="AT190" t="s">
        <v>89</v>
      </c>
      <c r="AU190" t="s">
        <v>90</v>
      </c>
      <c r="AV190" t="s">
        <v>2294</v>
      </c>
      <c r="AW190" t="s">
        <v>92</v>
      </c>
      <c r="AX190" t="s">
        <v>2295</v>
      </c>
      <c r="AY190" t="s">
        <v>94</v>
      </c>
      <c r="AZ190" t="s">
        <v>85</v>
      </c>
      <c r="BA190" t="s">
        <v>2590</v>
      </c>
      <c r="BB190" t="s">
        <v>2580</v>
      </c>
      <c r="BC190" t="s">
        <v>2582</v>
      </c>
      <c r="BD190" t="s">
        <v>2378</v>
      </c>
      <c r="BE190" t="s">
        <v>2379</v>
      </c>
      <c r="BF190" t="b">
        <f t="shared" si="2"/>
        <v>1</v>
      </c>
      <c r="BG190" t="b">
        <v>1</v>
      </c>
      <c r="BH190">
        <v>2021</v>
      </c>
      <c r="BI190" t="b">
        <v>1</v>
      </c>
      <c r="BJ190" t="s">
        <v>2297</v>
      </c>
      <c r="BK190" t="s">
        <v>2384</v>
      </c>
      <c r="BL190" t="b">
        <v>1</v>
      </c>
      <c r="BM190" t="b">
        <v>1</v>
      </c>
      <c r="BN190" t="b">
        <v>1</v>
      </c>
      <c r="BO190" t="s">
        <v>2591</v>
      </c>
      <c r="BP190" t="b">
        <f>IF(IFERROR(VLOOKUP(A190,[1]Planilha1!$A:$A,1,0),FALSE)=FALSE,FALSE,TRUE)</f>
        <v>1</v>
      </c>
    </row>
    <row r="191" spans="1:68" x14ac:dyDescent="0.25">
      <c r="A191" t="s">
        <v>2592</v>
      </c>
      <c r="B191" t="s">
        <v>68</v>
      </c>
      <c r="D191" s="1">
        <v>46204</v>
      </c>
      <c r="E191" s="1">
        <v>47664</v>
      </c>
      <c r="F191" t="s">
        <v>2593</v>
      </c>
      <c r="G191" t="s">
        <v>2594</v>
      </c>
      <c r="H191" s="2" t="s">
        <v>2595</v>
      </c>
      <c r="I191" t="s">
        <v>2594</v>
      </c>
      <c r="K191" t="s">
        <v>2596</v>
      </c>
      <c r="L191">
        <v>5116581</v>
      </c>
      <c r="M191" t="s">
        <v>2597</v>
      </c>
      <c r="N191" t="s">
        <v>886</v>
      </c>
      <c r="O191" t="s">
        <v>887</v>
      </c>
      <c r="P191" t="s">
        <v>107</v>
      </c>
      <c r="Q191" t="s">
        <v>2031</v>
      </c>
      <c r="R191" t="s">
        <v>2453</v>
      </c>
      <c r="S191" t="s">
        <v>2454</v>
      </c>
      <c r="T191" t="s">
        <v>768</v>
      </c>
      <c r="U191" t="s">
        <v>769</v>
      </c>
      <c r="V191" t="s">
        <v>82</v>
      </c>
      <c r="W191" t="s">
        <v>2453</v>
      </c>
      <c r="X191" t="s">
        <v>2454</v>
      </c>
      <c r="Y191" t="s">
        <v>768</v>
      </c>
      <c r="Z191" t="s">
        <v>769</v>
      </c>
      <c r="AA191" t="s">
        <v>82</v>
      </c>
      <c r="AB191" t="s">
        <v>83</v>
      </c>
      <c r="AC191" t="s">
        <v>202</v>
      </c>
      <c r="AD191" t="s">
        <v>149</v>
      </c>
      <c r="AE191" t="s">
        <v>2598</v>
      </c>
      <c r="AF191" t="s">
        <v>85</v>
      </c>
      <c r="AG191" t="s">
        <v>2599</v>
      </c>
      <c r="AH191">
        <v>7</v>
      </c>
      <c r="AI191">
        <v>1176900</v>
      </c>
      <c r="AJ191">
        <v>117000</v>
      </c>
      <c r="AK191">
        <v>0</v>
      </c>
      <c r="AL191">
        <v>1293900</v>
      </c>
      <c r="AM191" t="s">
        <v>2453</v>
      </c>
      <c r="AN191" t="s">
        <v>2454</v>
      </c>
      <c r="AO191" t="s">
        <v>768</v>
      </c>
      <c r="AP191" t="s">
        <v>769</v>
      </c>
      <c r="AQ191" t="s">
        <v>82</v>
      </c>
      <c r="AR191" t="s">
        <v>2600</v>
      </c>
      <c r="AS191" s="3">
        <v>46202.46522332255</v>
      </c>
      <c r="AT191" t="s">
        <v>89</v>
      </c>
      <c r="AU191" t="s">
        <v>90</v>
      </c>
      <c r="AV191" t="s">
        <v>2294</v>
      </c>
      <c r="AW191" t="s">
        <v>92</v>
      </c>
      <c r="AX191" t="s">
        <v>2295</v>
      </c>
      <c r="AY191" t="s">
        <v>94</v>
      </c>
      <c r="AZ191" t="s">
        <v>85</v>
      </c>
      <c r="BA191" t="s">
        <v>2601</v>
      </c>
      <c r="BB191" t="s">
        <v>2592</v>
      </c>
      <c r="BC191" t="s">
        <v>2594</v>
      </c>
      <c r="BD191" t="s">
        <v>2453</v>
      </c>
      <c r="BE191" t="s">
        <v>2454</v>
      </c>
      <c r="BF191" t="b">
        <f t="shared" si="2"/>
        <v>1</v>
      </c>
      <c r="BG191" t="b">
        <v>1</v>
      </c>
      <c r="BH191">
        <v>2023</v>
      </c>
      <c r="BI191" t="b">
        <v>1</v>
      </c>
      <c r="BJ191" t="s">
        <v>2297</v>
      </c>
      <c r="BK191" t="s">
        <v>2459</v>
      </c>
      <c r="BL191" t="b">
        <v>1</v>
      </c>
      <c r="BM191" t="b">
        <v>1</v>
      </c>
      <c r="BN191" t="b">
        <v>1</v>
      </c>
      <c r="BO191" t="s">
        <v>2602</v>
      </c>
      <c r="BP191" t="b">
        <f>IF(IFERROR(VLOOKUP(A191,[1]Planilha1!$A:$A,1,0),FALSE)=FALSE,FALSE,TRUE)</f>
        <v>1</v>
      </c>
    </row>
    <row r="192" spans="1:68" x14ac:dyDescent="0.25">
      <c r="A192" t="s">
        <v>2603</v>
      </c>
      <c r="B192" t="s">
        <v>68</v>
      </c>
      <c r="D192" s="1">
        <v>46204</v>
      </c>
      <c r="E192" s="1">
        <v>47664</v>
      </c>
      <c r="F192" t="s">
        <v>2604</v>
      </c>
      <c r="G192" t="s">
        <v>2605</v>
      </c>
      <c r="H192" s="2" t="s">
        <v>2606</v>
      </c>
      <c r="I192" t="s">
        <v>2605</v>
      </c>
      <c r="K192" t="s">
        <v>2607</v>
      </c>
      <c r="L192">
        <v>5115508</v>
      </c>
      <c r="M192" t="s">
        <v>2608</v>
      </c>
      <c r="N192" t="s">
        <v>793</v>
      </c>
      <c r="O192" t="s">
        <v>794</v>
      </c>
      <c r="P192" t="s">
        <v>647</v>
      </c>
      <c r="Q192" t="s">
        <v>2609</v>
      </c>
      <c r="R192" t="s">
        <v>2378</v>
      </c>
      <c r="S192" t="s">
        <v>2379</v>
      </c>
      <c r="T192" t="s">
        <v>1151</v>
      </c>
      <c r="U192" t="s">
        <v>769</v>
      </c>
      <c r="V192" t="s">
        <v>82</v>
      </c>
      <c r="W192" t="s">
        <v>2378</v>
      </c>
      <c r="X192" t="s">
        <v>2379</v>
      </c>
      <c r="Y192" t="s">
        <v>1151</v>
      </c>
      <c r="Z192" t="s">
        <v>769</v>
      </c>
      <c r="AA192" t="s">
        <v>82</v>
      </c>
      <c r="AB192" t="s">
        <v>83</v>
      </c>
      <c r="AC192" t="s">
        <v>649</v>
      </c>
      <c r="AD192" t="s">
        <v>2610</v>
      </c>
      <c r="AE192" t="s">
        <v>2611</v>
      </c>
      <c r="AF192" t="s">
        <v>633</v>
      </c>
      <c r="AG192" t="s">
        <v>2612</v>
      </c>
      <c r="AH192">
        <v>4</v>
      </c>
      <c r="AI192">
        <v>811200</v>
      </c>
      <c r="AJ192">
        <v>117173.33</v>
      </c>
      <c r="AK192">
        <v>0</v>
      </c>
      <c r="AL192">
        <v>928373.33</v>
      </c>
      <c r="AM192" t="s">
        <v>2378</v>
      </c>
      <c r="AN192" t="s">
        <v>2379</v>
      </c>
      <c r="AO192" t="s">
        <v>1151</v>
      </c>
      <c r="AP192" t="s">
        <v>769</v>
      </c>
      <c r="AQ192" t="s">
        <v>82</v>
      </c>
      <c r="AR192" t="s">
        <v>2613</v>
      </c>
      <c r="AS192" s="3">
        <v>46202.46522332255</v>
      </c>
      <c r="AT192" t="s">
        <v>89</v>
      </c>
      <c r="AU192" t="s">
        <v>90</v>
      </c>
      <c r="AV192" t="s">
        <v>2294</v>
      </c>
      <c r="AW192" t="s">
        <v>92</v>
      </c>
      <c r="AX192" t="s">
        <v>2295</v>
      </c>
      <c r="AY192" t="s">
        <v>94</v>
      </c>
      <c r="AZ192" t="s">
        <v>85</v>
      </c>
      <c r="BA192" t="s">
        <v>2614</v>
      </c>
      <c r="BB192" t="s">
        <v>2603</v>
      </c>
      <c r="BC192" t="s">
        <v>2605</v>
      </c>
      <c r="BD192" t="s">
        <v>2378</v>
      </c>
      <c r="BE192" t="s">
        <v>2379</v>
      </c>
      <c r="BF192" t="b">
        <f t="shared" si="2"/>
        <v>1</v>
      </c>
      <c r="BG192" t="b">
        <v>1</v>
      </c>
      <c r="BH192">
        <v>2016</v>
      </c>
      <c r="BI192" t="b">
        <v>1</v>
      </c>
      <c r="BJ192" t="s">
        <v>2297</v>
      </c>
      <c r="BK192" t="s">
        <v>2384</v>
      </c>
      <c r="BL192" t="b">
        <v>1</v>
      </c>
      <c r="BM192" t="b">
        <v>1</v>
      </c>
      <c r="BN192" t="b">
        <v>1</v>
      </c>
      <c r="BO192" t="s">
        <v>2615</v>
      </c>
      <c r="BP192" t="b">
        <f>IF(IFERROR(VLOOKUP(A192,[1]Planilha1!$A:$A,1,0),FALSE)=FALSE,FALSE,TRUE)</f>
        <v>1</v>
      </c>
    </row>
    <row r="193" spans="1:68" x14ac:dyDescent="0.25">
      <c r="A193" t="s">
        <v>2616</v>
      </c>
      <c r="B193" t="s">
        <v>68</v>
      </c>
      <c r="D193" s="1">
        <v>46204</v>
      </c>
      <c r="E193" s="1">
        <v>47664</v>
      </c>
      <c r="F193" t="s">
        <v>2617</v>
      </c>
      <c r="G193" t="s">
        <v>2618</v>
      </c>
      <c r="H193" s="2" t="s">
        <v>2619</v>
      </c>
      <c r="I193" t="s">
        <v>2618</v>
      </c>
      <c r="K193" t="s">
        <v>2620</v>
      </c>
      <c r="L193">
        <v>5116694</v>
      </c>
      <c r="M193" t="s">
        <v>2621</v>
      </c>
      <c r="N193" t="s">
        <v>619</v>
      </c>
      <c r="O193" t="s">
        <v>200</v>
      </c>
      <c r="P193" t="s">
        <v>107</v>
      </c>
      <c r="Q193" t="s">
        <v>2622</v>
      </c>
      <c r="R193" t="s">
        <v>2453</v>
      </c>
      <c r="S193" t="s">
        <v>2454</v>
      </c>
      <c r="T193" t="s">
        <v>768</v>
      </c>
      <c r="U193" t="s">
        <v>769</v>
      </c>
      <c r="V193" t="s">
        <v>82</v>
      </c>
      <c r="W193" t="s">
        <v>2453</v>
      </c>
      <c r="X193" t="s">
        <v>2454</v>
      </c>
      <c r="Y193" t="s">
        <v>768</v>
      </c>
      <c r="Z193" t="s">
        <v>769</v>
      </c>
      <c r="AA193" t="s">
        <v>82</v>
      </c>
      <c r="AB193" t="s">
        <v>83</v>
      </c>
      <c r="AC193" t="s">
        <v>202</v>
      </c>
      <c r="AD193" t="s">
        <v>149</v>
      </c>
      <c r="AE193" t="s">
        <v>2623</v>
      </c>
      <c r="AF193" t="s">
        <v>85</v>
      </c>
      <c r="AG193" t="s">
        <v>2624</v>
      </c>
      <c r="AH193">
        <v>8</v>
      </c>
      <c r="AI193">
        <v>1150500</v>
      </c>
      <c r="AJ193">
        <v>127920</v>
      </c>
      <c r="AK193">
        <v>0</v>
      </c>
      <c r="AL193">
        <v>1278420</v>
      </c>
      <c r="AM193" t="s">
        <v>2453</v>
      </c>
      <c r="AN193" t="s">
        <v>2454</v>
      </c>
      <c r="AO193" t="s">
        <v>768</v>
      </c>
      <c r="AP193" t="s">
        <v>769</v>
      </c>
      <c r="AQ193" t="s">
        <v>82</v>
      </c>
      <c r="AR193" t="s">
        <v>2625</v>
      </c>
      <c r="AS193" s="3">
        <v>46202.46522332255</v>
      </c>
      <c r="AT193" t="s">
        <v>89</v>
      </c>
      <c r="AU193" t="s">
        <v>90</v>
      </c>
      <c r="AV193" t="s">
        <v>2294</v>
      </c>
      <c r="AW193" t="s">
        <v>92</v>
      </c>
      <c r="AX193" t="s">
        <v>2295</v>
      </c>
      <c r="AY193" t="s">
        <v>94</v>
      </c>
      <c r="AZ193" t="s">
        <v>85</v>
      </c>
      <c r="BA193" t="s">
        <v>2626</v>
      </c>
      <c r="BB193" t="s">
        <v>2616</v>
      </c>
      <c r="BC193" t="s">
        <v>2618</v>
      </c>
      <c r="BD193" t="s">
        <v>2453</v>
      </c>
      <c r="BE193" t="s">
        <v>2454</v>
      </c>
      <c r="BF193" t="b">
        <f t="shared" si="2"/>
        <v>1</v>
      </c>
      <c r="BG193" t="b">
        <v>1</v>
      </c>
      <c r="BH193">
        <v>2023</v>
      </c>
      <c r="BI193" t="b">
        <v>1</v>
      </c>
      <c r="BJ193" t="s">
        <v>2297</v>
      </c>
      <c r="BK193" t="s">
        <v>2459</v>
      </c>
      <c r="BL193" t="b">
        <v>1</v>
      </c>
      <c r="BM193" t="b">
        <v>1</v>
      </c>
      <c r="BN193" t="b">
        <v>1</v>
      </c>
      <c r="BO193" t="s">
        <v>2627</v>
      </c>
      <c r="BP193" t="b">
        <f>IF(IFERROR(VLOOKUP(A193,[1]Planilha1!$A:$A,1,0),FALSE)=FALSE,FALSE,TRUE)</f>
        <v>1</v>
      </c>
    </row>
    <row r="194" spans="1:68" x14ac:dyDescent="0.25">
      <c r="A194" t="s">
        <v>2628</v>
      </c>
      <c r="B194" t="s">
        <v>68</v>
      </c>
      <c r="D194" s="1">
        <v>46204</v>
      </c>
      <c r="E194" s="1">
        <v>47664</v>
      </c>
      <c r="F194" t="s">
        <v>2629</v>
      </c>
      <c r="G194" t="s">
        <v>2630</v>
      </c>
      <c r="H194" s="2" t="s">
        <v>2631</v>
      </c>
      <c r="I194" t="s">
        <v>2630</v>
      </c>
      <c r="K194" t="s">
        <v>2632</v>
      </c>
      <c r="L194">
        <v>5116760</v>
      </c>
      <c r="M194" t="s">
        <v>2633</v>
      </c>
      <c r="N194" t="s">
        <v>1576</v>
      </c>
      <c r="O194" t="s">
        <v>1577</v>
      </c>
      <c r="P194" t="s">
        <v>439</v>
      </c>
      <c r="Q194" t="s">
        <v>1578</v>
      </c>
      <c r="R194" t="s">
        <v>2289</v>
      </c>
      <c r="S194" t="s">
        <v>2290</v>
      </c>
      <c r="T194" t="s">
        <v>184</v>
      </c>
      <c r="U194" t="s">
        <v>112</v>
      </c>
      <c r="V194" t="s">
        <v>82</v>
      </c>
      <c r="W194" t="s">
        <v>2289</v>
      </c>
      <c r="X194" t="s">
        <v>2290</v>
      </c>
      <c r="Y194" t="s">
        <v>184</v>
      </c>
      <c r="Z194" t="s">
        <v>112</v>
      </c>
      <c r="AA194" t="s">
        <v>82</v>
      </c>
      <c r="AB194" t="s">
        <v>83</v>
      </c>
      <c r="AC194" t="s">
        <v>1135</v>
      </c>
      <c r="AD194" t="s">
        <v>149</v>
      </c>
      <c r="AE194" t="s">
        <v>2634</v>
      </c>
      <c r="AF194" t="s">
        <v>85</v>
      </c>
      <c r="AG194" t="s">
        <v>2635</v>
      </c>
      <c r="AH194">
        <v>4</v>
      </c>
      <c r="AI194">
        <v>471120</v>
      </c>
      <c r="AJ194">
        <v>61128</v>
      </c>
      <c r="AK194">
        <v>0</v>
      </c>
      <c r="AL194">
        <v>532248</v>
      </c>
      <c r="AR194" t="s">
        <v>2636</v>
      </c>
      <c r="AS194" s="3">
        <v>46202.46522332255</v>
      </c>
      <c r="AT194" t="s">
        <v>89</v>
      </c>
      <c r="AU194" t="s">
        <v>90</v>
      </c>
      <c r="AV194" t="s">
        <v>2294</v>
      </c>
      <c r="AW194" t="s">
        <v>92</v>
      </c>
      <c r="AX194" t="s">
        <v>2295</v>
      </c>
      <c r="AY194" t="s">
        <v>94</v>
      </c>
      <c r="AZ194" t="s">
        <v>85</v>
      </c>
      <c r="BA194" t="s">
        <v>2637</v>
      </c>
      <c r="BB194" t="s">
        <v>2628</v>
      </c>
      <c r="BC194" t="s">
        <v>2630</v>
      </c>
      <c r="BD194" t="s">
        <v>2289</v>
      </c>
      <c r="BE194" t="s">
        <v>2290</v>
      </c>
      <c r="BF194" t="b">
        <f t="shared" si="2"/>
        <v>1</v>
      </c>
      <c r="BG194" t="b">
        <v>1</v>
      </c>
      <c r="BH194">
        <v>2011</v>
      </c>
      <c r="BI194" t="b">
        <v>1</v>
      </c>
      <c r="BJ194" t="s">
        <v>2297</v>
      </c>
      <c r="BK194" t="s">
        <v>2298</v>
      </c>
      <c r="BL194" t="b">
        <v>1</v>
      </c>
      <c r="BM194" t="b">
        <v>1</v>
      </c>
      <c r="BN194" t="b">
        <v>0</v>
      </c>
      <c r="BO194" t="s">
        <v>2638</v>
      </c>
      <c r="BP194" t="b">
        <f>IF(IFERROR(VLOOKUP(A194,[1]Planilha1!$A:$A,1,0),FALSE)=FALSE,FALSE,TRUE)</f>
        <v>1</v>
      </c>
    </row>
    <row r="195" spans="1:68" x14ac:dyDescent="0.25">
      <c r="A195" t="s">
        <v>2639</v>
      </c>
      <c r="B195" t="s">
        <v>68</v>
      </c>
      <c r="D195" s="1">
        <v>46204</v>
      </c>
      <c r="E195" s="1">
        <v>47664</v>
      </c>
      <c r="F195" t="s">
        <v>2640</v>
      </c>
      <c r="G195" t="s">
        <v>2641</v>
      </c>
      <c r="H195" s="2" t="s">
        <v>2642</v>
      </c>
      <c r="I195" t="s">
        <v>2641</v>
      </c>
      <c r="K195" t="s">
        <v>2643</v>
      </c>
      <c r="L195">
        <v>5116716</v>
      </c>
      <c r="M195" t="s">
        <v>2644</v>
      </c>
      <c r="N195" t="s">
        <v>1576</v>
      </c>
      <c r="O195" t="s">
        <v>1577</v>
      </c>
      <c r="P195" t="s">
        <v>439</v>
      </c>
      <c r="Q195" t="s">
        <v>1578</v>
      </c>
      <c r="R195" t="s">
        <v>2378</v>
      </c>
      <c r="S195" t="s">
        <v>2379</v>
      </c>
      <c r="T195" t="s">
        <v>1151</v>
      </c>
      <c r="U195" t="s">
        <v>769</v>
      </c>
      <c r="V195" t="s">
        <v>82</v>
      </c>
      <c r="W195" t="s">
        <v>2378</v>
      </c>
      <c r="X195" t="s">
        <v>2379</v>
      </c>
      <c r="Y195" t="s">
        <v>1151</v>
      </c>
      <c r="Z195" t="s">
        <v>769</v>
      </c>
      <c r="AA195" t="s">
        <v>82</v>
      </c>
      <c r="AB195" t="s">
        <v>83</v>
      </c>
      <c r="AC195" t="s">
        <v>1135</v>
      </c>
      <c r="AD195" t="s">
        <v>252</v>
      </c>
      <c r="AE195" t="s">
        <v>2645</v>
      </c>
      <c r="AF195" t="s">
        <v>85</v>
      </c>
      <c r="AG195" t="s">
        <v>2646</v>
      </c>
      <c r="AH195">
        <v>4</v>
      </c>
      <c r="AI195">
        <v>683020</v>
      </c>
      <c r="AJ195">
        <v>74980</v>
      </c>
      <c r="AK195">
        <v>0</v>
      </c>
      <c r="AL195">
        <v>758000</v>
      </c>
      <c r="AR195" t="s">
        <v>2647</v>
      </c>
      <c r="AS195" s="3">
        <v>46202.46522332255</v>
      </c>
      <c r="AT195" t="s">
        <v>89</v>
      </c>
      <c r="AU195" t="s">
        <v>90</v>
      </c>
      <c r="AV195" t="s">
        <v>2294</v>
      </c>
      <c r="AW195" t="s">
        <v>92</v>
      </c>
      <c r="AX195" t="s">
        <v>2295</v>
      </c>
      <c r="AY195" t="s">
        <v>94</v>
      </c>
      <c r="AZ195" t="s">
        <v>85</v>
      </c>
      <c r="BA195" t="s">
        <v>2648</v>
      </c>
      <c r="BB195" t="s">
        <v>2639</v>
      </c>
      <c r="BC195" t="s">
        <v>2641</v>
      </c>
      <c r="BD195" t="s">
        <v>2378</v>
      </c>
      <c r="BE195" t="s">
        <v>2379</v>
      </c>
      <c r="BF195" t="b">
        <f t="shared" ref="BF195:BF258" si="3">IF(AND(BG195,BI195,BL195,BM195),TRUE,FALSE)</f>
        <v>0</v>
      </c>
      <c r="BG195" t="b">
        <v>1</v>
      </c>
      <c r="BH195">
        <v>2017</v>
      </c>
      <c r="BI195" t="b">
        <v>0</v>
      </c>
      <c r="BJ195" t="s">
        <v>2297</v>
      </c>
      <c r="BK195" t="s">
        <v>2384</v>
      </c>
      <c r="BL195" t="b">
        <v>1</v>
      </c>
      <c r="BM195" t="b">
        <v>1</v>
      </c>
      <c r="BN195" t="b">
        <v>1</v>
      </c>
      <c r="BO195" t="s">
        <v>2649</v>
      </c>
      <c r="BP195" t="b">
        <f>IF(IFERROR(VLOOKUP(A195,[1]Planilha1!$A:$A,1,0),FALSE)=FALSE,FALSE,TRUE)</f>
        <v>0</v>
      </c>
    </row>
    <row r="196" spans="1:68" x14ac:dyDescent="0.25">
      <c r="A196" t="s">
        <v>2650</v>
      </c>
      <c r="B196" t="s">
        <v>68</v>
      </c>
      <c r="D196" s="1">
        <v>46204</v>
      </c>
      <c r="E196" s="1">
        <v>47664</v>
      </c>
      <c r="F196" t="s">
        <v>2651</v>
      </c>
      <c r="G196" t="s">
        <v>2652</v>
      </c>
      <c r="H196" s="2" t="s">
        <v>2653</v>
      </c>
      <c r="I196" t="s">
        <v>2652</v>
      </c>
      <c r="K196" t="s">
        <v>2654</v>
      </c>
      <c r="L196">
        <v>5116711</v>
      </c>
      <c r="M196" t="s">
        <v>2655</v>
      </c>
      <c r="N196" t="s">
        <v>249</v>
      </c>
      <c r="O196" t="s">
        <v>250</v>
      </c>
      <c r="P196" t="s">
        <v>76</v>
      </c>
      <c r="Q196" t="s">
        <v>947</v>
      </c>
      <c r="R196" t="s">
        <v>2378</v>
      </c>
      <c r="S196" t="s">
        <v>2379</v>
      </c>
      <c r="T196" t="s">
        <v>1151</v>
      </c>
      <c r="U196" t="s">
        <v>769</v>
      </c>
      <c r="V196" t="s">
        <v>82</v>
      </c>
      <c r="W196" t="s">
        <v>2378</v>
      </c>
      <c r="X196" t="s">
        <v>2379</v>
      </c>
      <c r="Y196" t="s">
        <v>1151</v>
      </c>
      <c r="Z196" t="s">
        <v>769</v>
      </c>
      <c r="AA196" t="s">
        <v>82</v>
      </c>
      <c r="AB196" t="s">
        <v>83</v>
      </c>
      <c r="AC196" t="s">
        <v>202</v>
      </c>
      <c r="AD196" t="s">
        <v>85</v>
      </c>
      <c r="AE196" t="s">
        <v>2656</v>
      </c>
      <c r="AF196" t="s">
        <v>85</v>
      </c>
      <c r="AG196" t="s">
        <v>2657</v>
      </c>
      <c r="AH196">
        <v>4</v>
      </c>
      <c r="AI196">
        <v>748800</v>
      </c>
      <c r="AJ196">
        <v>108160</v>
      </c>
      <c r="AK196">
        <v>0</v>
      </c>
      <c r="AL196">
        <v>856960</v>
      </c>
      <c r="AM196" t="s">
        <v>2378</v>
      </c>
      <c r="AN196" t="s">
        <v>2379</v>
      </c>
      <c r="AO196" t="s">
        <v>1151</v>
      </c>
      <c r="AP196" t="s">
        <v>769</v>
      </c>
      <c r="AQ196" t="s">
        <v>82</v>
      </c>
      <c r="AR196" t="s">
        <v>2658</v>
      </c>
      <c r="AS196" s="3">
        <v>46202.46522332255</v>
      </c>
      <c r="AT196" t="s">
        <v>89</v>
      </c>
      <c r="AU196" t="s">
        <v>90</v>
      </c>
      <c r="AV196" t="s">
        <v>2294</v>
      </c>
      <c r="AW196" t="s">
        <v>92</v>
      </c>
      <c r="AX196" t="s">
        <v>2295</v>
      </c>
      <c r="AY196" t="s">
        <v>94</v>
      </c>
      <c r="AZ196" t="s">
        <v>85</v>
      </c>
      <c r="BA196" t="s">
        <v>2659</v>
      </c>
      <c r="BB196" t="s">
        <v>2650</v>
      </c>
      <c r="BC196" t="s">
        <v>2652</v>
      </c>
      <c r="BD196" t="s">
        <v>2378</v>
      </c>
      <c r="BE196" t="s">
        <v>2379</v>
      </c>
      <c r="BF196" t="b">
        <f t="shared" si="3"/>
        <v>1</v>
      </c>
      <c r="BG196" t="b">
        <v>1</v>
      </c>
      <c r="BH196">
        <v>2020</v>
      </c>
      <c r="BI196" t="b">
        <v>1</v>
      </c>
      <c r="BJ196" t="s">
        <v>2297</v>
      </c>
      <c r="BK196" t="s">
        <v>2384</v>
      </c>
      <c r="BL196" t="b">
        <v>1</v>
      </c>
      <c r="BM196" t="b">
        <v>1</v>
      </c>
      <c r="BN196" t="b">
        <v>1</v>
      </c>
      <c r="BO196" t="s">
        <v>2660</v>
      </c>
      <c r="BP196" t="b">
        <f>IF(IFERROR(VLOOKUP(A196,[1]Planilha1!$A:$A,1,0),FALSE)=FALSE,FALSE,TRUE)</f>
        <v>1</v>
      </c>
    </row>
    <row r="197" spans="1:68" x14ac:dyDescent="0.25">
      <c r="A197" t="s">
        <v>2661</v>
      </c>
      <c r="B197" t="s">
        <v>68</v>
      </c>
      <c r="D197" s="1">
        <v>46204</v>
      </c>
      <c r="E197" s="1">
        <v>47664</v>
      </c>
      <c r="F197" t="s">
        <v>2662</v>
      </c>
      <c r="G197" t="s">
        <v>2663</v>
      </c>
      <c r="H197" s="2" t="s">
        <v>2664</v>
      </c>
      <c r="I197" t="s">
        <v>2663</v>
      </c>
      <c r="K197" t="s">
        <v>2665</v>
      </c>
      <c r="L197">
        <v>5116799</v>
      </c>
      <c r="M197" t="s">
        <v>2666</v>
      </c>
      <c r="N197" t="s">
        <v>295</v>
      </c>
      <c r="O197" t="s">
        <v>296</v>
      </c>
      <c r="P197" t="s">
        <v>129</v>
      </c>
      <c r="Q197" t="s">
        <v>2667</v>
      </c>
      <c r="R197" t="s">
        <v>2668</v>
      </c>
      <c r="S197" t="s">
        <v>2669</v>
      </c>
      <c r="T197" t="s">
        <v>2670</v>
      </c>
      <c r="U197" t="s">
        <v>112</v>
      </c>
      <c r="V197" t="s">
        <v>82</v>
      </c>
      <c r="W197" t="s">
        <v>2668</v>
      </c>
      <c r="X197" t="s">
        <v>2669</v>
      </c>
      <c r="Y197" t="s">
        <v>2670</v>
      </c>
      <c r="Z197" t="s">
        <v>112</v>
      </c>
      <c r="AA197" t="s">
        <v>82</v>
      </c>
      <c r="AB197" t="s">
        <v>83</v>
      </c>
      <c r="AC197" t="s">
        <v>135</v>
      </c>
      <c r="AD197" t="s">
        <v>85</v>
      </c>
      <c r="AE197" t="s">
        <v>2671</v>
      </c>
      <c r="AF197" t="s">
        <v>85</v>
      </c>
      <c r="AG197" t="s">
        <v>2672</v>
      </c>
      <c r="AH197">
        <v>8</v>
      </c>
      <c r="AI197">
        <v>876300</v>
      </c>
      <c r="AJ197">
        <v>128000</v>
      </c>
      <c r="AK197">
        <v>0</v>
      </c>
      <c r="AL197">
        <v>1004300</v>
      </c>
      <c r="AM197" t="s">
        <v>2668</v>
      </c>
      <c r="AN197" t="s">
        <v>2669</v>
      </c>
      <c r="AO197" t="s">
        <v>2670</v>
      </c>
      <c r="AP197" t="s">
        <v>112</v>
      </c>
      <c r="AQ197" t="s">
        <v>82</v>
      </c>
      <c r="AR197" t="s">
        <v>2673</v>
      </c>
      <c r="AS197" s="3">
        <v>46202.46522332255</v>
      </c>
      <c r="AT197" t="s">
        <v>89</v>
      </c>
      <c r="AU197" t="s">
        <v>90</v>
      </c>
      <c r="AV197" t="s">
        <v>2294</v>
      </c>
      <c r="AW197" t="s">
        <v>92</v>
      </c>
      <c r="AX197" t="s">
        <v>2295</v>
      </c>
      <c r="AY197" t="s">
        <v>94</v>
      </c>
      <c r="AZ197" t="s">
        <v>85</v>
      </c>
      <c r="BA197" t="s">
        <v>2674</v>
      </c>
      <c r="BB197" t="s">
        <v>2661</v>
      </c>
      <c r="BC197" t="s">
        <v>2663</v>
      </c>
      <c r="BD197" t="s">
        <v>2668</v>
      </c>
      <c r="BE197" t="s">
        <v>2669</v>
      </c>
      <c r="BF197" t="b">
        <f t="shared" si="3"/>
        <v>1</v>
      </c>
      <c r="BG197" t="b">
        <v>1</v>
      </c>
      <c r="BH197">
        <v>2023</v>
      </c>
      <c r="BI197" t="b">
        <v>1</v>
      </c>
      <c r="BJ197" t="s">
        <v>2297</v>
      </c>
      <c r="BK197" t="s">
        <v>2675</v>
      </c>
      <c r="BL197" t="b">
        <v>1</v>
      </c>
      <c r="BM197" t="b">
        <v>1</v>
      </c>
      <c r="BN197" t="b">
        <v>1</v>
      </c>
      <c r="BO197" t="s">
        <v>2676</v>
      </c>
      <c r="BP197" t="b">
        <f>IF(IFERROR(VLOOKUP(A197,[1]Planilha1!$A:$A,1,0),FALSE)=FALSE,FALSE,TRUE)</f>
        <v>1</v>
      </c>
    </row>
    <row r="198" spans="1:68" x14ac:dyDescent="0.25">
      <c r="A198" t="s">
        <v>2677</v>
      </c>
      <c r="B198" t="s">
        <v>68</v>
      </c>
      <c r="D198" s="1">
        <v>46204</v>
      </c>
      <c r="E198" s="1">
        <v>47664</v>
      </c>
      <c r="F198" t="s">
        <v>2678</v>
      </c>
      <c r="G198" t="s">
        <v>2679</v>
      </c>
      <c r="H198" s="2" t="s">
        <v>2680</v>
      </c>
      <c r="I198" t="s">
        <v>2679</v>
      </c>
      <c r="K198" t="s">
        <v>2681</v>
      </c>
      <c r="L198">
        <v>5116667</v>
      </c>
      <c r="M198" t="s">
        <v>2682</v>
      </c>
      <c r="N198" t="s">
        <v>2017</v>
      </c>
      <c r="O198" t="s">
        <v>2018</v>
      </c>
      <c r="P198" t="s">
        <v>230</v>
      </c>
      <c r="Q198" t="s">
        <v>2019</v>
      </c>
      <c r="R198" t="s">
        <v>2289</v>
      </c>
      <c r="S198" t="s">
        <v>2290</v>
      </c>
      <c r="T198" t="s">
        <v>184</v>
      </c>
      <c r="U198" t="s">
        <v>112</v>
      </c>
      <c r="V198" t="s">
        <v>82</v>
      </c>
      <c r="W198" t="s">
        <v>2289</v>
      </c>
      <c r="X198" t="s">
        <v>2290</v>
      </c>
      <c r="Y198" t="s">
        <v>184</v>
      </c>
      <c r="Z198" t="s">
        <v>112</v>
      </c>
      <c r="AA198" t="s">
        <v>82</v>
      </c>
      <c r="AB198" t="s">
        <v>83</v>
      </c>
      <c r="AC198" t="s">
        <v>1013</v>
      </c>
      <c r="AD198" t="s">
        <v>149</v>
      </c>
      <c r="AE198" t="s">
        <v>2683</v>
      </c>
      <c r="AF198" t="s">
        <v>85</v>
      </c>
      <c r="AG198" t="s">
        <v>2684</v>
      </c>
      <c r="AH198">
        <v>5</v>
      </c>
      <c r="AI198">
        <v>746200</v>
      </c>
      <c r="AJ198">
        <v>79382.8</v>
      </c>
      <c r="AK198">
        <v>0</v>
      </c>
      <c r="AL198">
        <v>825582.8</v>
      </c>
      <c r="AM198" t="s">
        <v>2289</v>
      </c>
      <c r="AN198" t="s">
        <v>2290</v>
      </c>
      <c r="AO198" t="s">
        <v>184</v>
      </c>
      <c r="AP198" t="s">
        <v>112</v>
      </c>
      <c r="AQ198" t="s">
        <v>82</v>
      </c>
      <c r="AR198" t="s">
        <v>2685</v>
      </c>
      <c r="AS198" s="3">
        <v>46202.46522332255</v>
      </c>
      <c r="AT198" t="s">
        <v>89</v>
      </c>
      <c r="AU198" t="s">
        <v>90</v>
      </c>
      <c r="AV198" t="s">
        <v>2294</v>
      </c>
      <c r="AW198" t="s">
        <v>92</v>
      </c>
      <c r="AX198" t="s">
        <v>2295</v>
      </c>
      <c r="AY198" t="s">
        <v>94</v>
      </c>
      <c r="AZ198" t="s">
        <v>85</v>
      </c>
      <c r="BA198" t="s">
        <v>2686</v>
      </c>
      <c r="BB198" t="s">
        <v>2677</v>
      </c>
      <c r="BC198" t="s">
        <v>2679</v>
      </c>
      <c r="BD198" t="s">
        <v>2289</v>
      </c>
      <c r="BE198" t="s">
        <v>2290</v>
      </c>
      <c r="BF198" t="b">
        <f t="shared" si="3"/>
        <v>1</v>
      </c>
      <c r="BG198" t="b">
        <v>1</v>
      </c>
      <c r="BH198">
        <v>2019</v>
      </c>
      <c r="BI198" t="b">
        <v>1</v>
      </c>
      <c r="BJ198" t="s">
        <v>2297</v>
      </c>
      <c r="BK198" t="s">
        <v>2298</v>
      </c>
      <c r="BL198" t="b">
        <v>1</v>
      </c>
      <c r="BM198" t="b">
        <v>1</v>
      </c>
      <c r="BN198" t="b">
        <v>1</v>
      </c>
      <c r="BO198" t="s">
        <v>2687</v>
      </c>
      <c r="BP198" t="b">
        <f>IF(IFERROR(VLOOKUP(A198,[1]Planilha1!$A:$A,1,0),FALSE)=FALSE,FALSE,TRUE)</f>
        <v>1</v>
      </c>
    </row>
    <row r="199" spans="1:68" x14ac:dyDescent="0.25">
      <c r="A199" t="s">
        <v>2688</v>
      </c>
      <c r="B199" t="s">
        <v>68</v>
      </c>
      <c r="D199" s="1">
        <v>46204</v>
      </c>
      <c r="E199" s="1">
        <v>47664</v>
      </c>
      <c r="F199" t="s">
        <v>2689</v>
      </c>
      <c r="G199" t="s">
        <v>2690</v>
      </c>
      <c r="H199" s="2" t="s">
        <v>2691</v>
      </c>
      <c r="I199" t="s">
        <v>2690</v>
      </c>
      <c r="K199" t="s">
        <v>2692</v>
      </c>
      <c r="L199">
        <v>5116557</v>
      </c>
      <c r="M199" t="s">
        <v>2693</v>
      </c>
      <c r="N199" t="s">
        <v>749</v>
      </c>
      <c r="O199" t="s">
        <v>750</v>
      </c>
      <c r="P199" t="s">
        <v>647</v>
      </c>
      <c r="Q199" t="s">
        <v>2694</v>
      </c>
      <c r="R199" t="s">
        <v>2378</v>
      </c>
      <c r="S199" t="s">
        <v>2379</v>
      </c>
      <c r="T199" t="s">
        <v>1151</v>
      </c>
      <c r="U199" t="s">
        <v>769</v>
      </c>
      <c r="V199" t="s">
        <v>82</v>
      </c>
      <c r="W199" t="s">
        <v>2378</v>
      </c>
      <c r="X199" t="s">
        <v>2379</v>
      </c>
      <c r="Y199" t="s">
        <v>1151</v>
      </c>
      <c r="Z199" t="s">
        <v>769</v>
      </c>
      <c r="AA199" t="s">
        <v>82</v>
      </c>
      <c r="AB199" t="s">
        <v>83</v>
      </c>
      <c r="AC199" t="s">
        <v>649</v>
      </c>
      <c r="AD199" t="s">
        <v>149</v>
      </c>
      <c r="AE199" t="s">
        <v>2695</v>
      </c>
      <c r="AF199" t="s">
        <v>85</v>
      </c>
      <c r="AG199" t="s">
        <v>2696</v>
      </c>
      <c r="AH199">
        <v>6</v>
      </c>
      <c r="AI199">
        <v>1103250</v>
      </c>
      <c r="AJ199">
        <v>122581.33</v>
      </c>
      <c r="AK199">
        <v>0</v>
      </c>
      <c r="AL199">
        <v>1225831.33</v>
      </c>
      <c r="AM199" t="s">
        <v>2378</v>
      </c>
      <c r="AN199" t="s">
        <v>2379</v>
      </c>
      <c r="AO199" t="s">
        <v>1151</v>
      </c>
      <c r="AP199" t="s">
        <v>769</v>
      </c>
      <c r="AQ199" t="s">
        <v>82</v>
      </c>
      <c r="AR199" t="s">
        <v>2697</v>
      </c>
      <c r="AS199" s="3">
        <v>46202.46522332255</v>
      </c>
      <c r="AT199" t="s">
        <v>89</v>
      </c>
      <c r="AU199" t="s">
        <v>90</v>
      </c>
      <c r="AV199" t="s">
        <v>2294</v>
      </c>
      <c r="AW199" t="s">
        <v>92</v>
      </c>
      <c r="AX199" t="s">
        <v>2295</v>
      </c>
      <c r="AY199" t="s">
        <v>94</v>
      </c>
      <c r="AZ199" t="s">
        <v>85</v>
      </c>
      <c r="BA199" t="s">
        <v>2698</v>
      </c>
      <c r="BB199" t="s">
        <v>2688</v>
      </c>
      <c r="BC199" t="s">
        <v>2690</v>
      </c>
      <c r="BD199" t="s">
        <v>2378</v>
      </c>
      <c r="BE199" t="s">
        <v>2379</v>
      </c>
      <c r="BF199" t="b">
        <f t="shared" si="3"/>
        <v>1</v>
      </c>
      <c r="BG199" t="b">
        <v>1</v>
      </c>
      <c r="BH199">
        <v>2020</v>
      </c>
      <c r="BI199" t="b">
        <v>1</v>
      </c>
      <c r="BJ199" t="s">
        <v>2297</v>
      </c>
      <c r="BK199" t="s">
        <v>2384</v>
      </c>
      <c r="BL199" t="b">
        <v>1</v>
      </c>
      <c r="BM199" t="b">
        <v>1</v>
      </c>
      <c r="BN199" t="b">
        <v>1</v>
      </c>
      <c r="BO199" t="s">
        <v>2699</v>
      </c>
      <c r="BP199" t="b">
        <f>IF(IFERROR(VLOOKUP(A199,[1]Planilha1!$A:$A,1,0),FALSE)=FALSE,FALSE,TRUE)</f>
        <v>1</v>
      </c>
    </row>
    <row r="200" spans="1:68" x14ac:dyDescent="0.25">
      <c r="A200" t="s">
        <v>2700</v>
      </c>
      <c r="B200" t="s">
        <v>68</v>
      </c>
      <c r="D200" s="1">
        <v>46204</v>
      </c>
      <c r="E200" s="1">
        <v>47664</v>
      </c>
      <c r="F200" t="s">
        <v>2701</v>
      </c>
      <c r="G200" t="s">
        <v>2702</v>
      </c>
      <c r="H200" s="2" t="s">
        <v>2703</v>
      </c>
      <c r="I200" t="s">
        <v>2702</v>
      </c>
      <c r="K200" t="s">
        <v>2704</v>
      </c>
      <c r="L200">
        <v>5116795</v>
      </c>
      <c r="M200" t="s">
        <v>2705</v>
      </c>
      <c r="N200" t="s">
        <v>983</v>
      </c>
      <c r="O200" t="s">
        <v>768</v>
      </c>
      <c r="P200" t="s">
        <v>107</v>
      </c>
      <c r="Q200" t="s">
        <v>2706</v>
      </c>
      <c r="R200" t="s">
        <v>2707</v>
      </c>
      <c r="S200" t="s">
        <v>2708</v>
      </c>
      <c r="T200" t="s">
        <v>184</v>
      </c>
      <c r="U200" t="s">
        <v>112</v>
      </c>
      <c r="V200" t="s">
        <v>82</v>
      </c>
      <c r="W200" t="s">
        <v>2707</v>
      </c>
      <c r="X200" t="s">
        <v>2708</v>
      </c>
      <c r="Y200" t="s">
        <v>184</v>
      </c>
      <c r="Z200" t="s">
        <v>112</v>
      </c>
      <c r="AA200" t="s">
        <v>82</v>
      </c>
      <c r="AB200" t="s">
        <v>83</v>
      </c>
      <c r="AC200" t="s">
        <v>113</v>
      </c>
      <c r="AD200" t="s">
        <v>85</v>
      </c>
      <c r="AE200" t="s">
        <v>2709</v>
      </c>
      <c r="AF200" t="s">
        <v>85</v>
      </c>
      <c r="AG200" t="s">
        <v>2710</v>
      </c>
      <c r="AH200">
        <v>4</v>
      </c>
      <c r="AI200">
        <v>446160</v>
      </c>
      <c r="AJ200">
        <v>64445.33</v>
      </c>
      <c r="AK200">
        <v>0</v>
      </c>
      <c r="AL200">
        <v>510605.33</v>
      </c>
      <c r="AM200" t="s">
        <v>2707</v>
      </c>
      <c r="AN200" t="s">
        <v>2708</v>
      </c>
      <c r="AO200" t="s">
        <v>184</v>
      </c>
      <c r="AP200" t="s">
        <v>112</v>
      </c>
      <c r="AQ200" t="s">
        <v>82</v>
      </c>
      <c r="AR200" t="s">
        <v>2711</v>
      </c>
      <c r="AS200" s="3">
        <v>46202.465223658182</v>
      </c>
      <c r="AT200" t="s">
        <v>89</v>
      </c>
      <c r="AU200" t="s">
        <v>90</v>
      </c>
      <c r="AV200" t="s">
        <v>2712</v>
      </c>
      <c r="AW200" t="s">
        <v>92</v>
      </c>
      <c r="AX200" t="s">
        <v>2713</v>
      </c>
      <c r="AY200" t="s">
        <v>94</v>
      </c>
      <c r="AZ200" t="s">
        <v>85</v>
      </c>
      <c r="BA200" t="s">
        <v>2714</v>
      </c>
      <c r="BB200" t="s">
        <v>2700</v>
      </c>
      <c r="BC200" t="s">
        <v>2702</v>
      </c>
      <c r="BD200" t="s">
        <v>2707</v>
      </c>
      <c r="BE200" t="s">
        <v>2708</v>
      </c>
      <c r="BF200" t="b">
        <f t="shared" si="3"/>
        <v>0</v>
      </c>
      <c r="BG200" t="b">
        <v>1</v>
      </c>
      <c r="BH200">
        <v>2001</v>
      </c>
      <c r="BI200" t="b">
        <v>0</v>
      </c>
      <c r="BJ200" t="s">
        <v>2715</v>
      </c>
      <c r="BK200" t="s">
        <v>2716</v>
      </c>
      <c r="BL200" t="b">
        <v>1</v>
      </c>
      <c r="BM200" t="b">
        <v>1</v>
      </c>
      <c r="BN200" t="b">
        <v>1</v>
      </c>
      <c r="BO200" t="s">
        <v>2717</v>
      </c>
      <c r="BP200" t="b">
        <f>IF(IFERROR(VLOOKUP(A200,[1]Planilha1!$A:$A,1,0),FALSE)=FALSE,FALSE,TRUE)</f>
        <v>0</v>
      </c>
    </row>
    <row r="201" spans="1:68" x14ac:dyDescent="0.25">
      <c r="A201" t="s">
        <v>2718</v>
      </c>
      <c r="B201" t="s">
        <v>68</v>
      </c>
      <c r="D201" s="1">
        <v>46204</v>
      </c>
      <c r="E201" s="1">
        <v>47664</v>
      </c>
      <c r="F201" t="s">
        <v>2719</v>
      </c>
      <c r="G201" t="s">
        <v>2720</v>
      </c>
      <c r="H201" s="2" t="s">
        <v>2721</v>
      </c>
      <c r="I201" t="s">
        <v>2720</v>
      </c>
      <c r="K201" t="s">
        <v>2722</v>
      </c>
      <c r="L201">
        <v>5116678</v>
      </c>
      <c r="M201" t="s">
        <v>2723</v>
      </c>
      <c r="N201" t="s">
        <v>414</v>
      </c>
      <c r="O201" t="s">
        <v>180</v>
      </c>
      <c r="P201" t="s">
        <v>129</v>
      </c>
      <c r="Q201" t="s">
        <v>2724</v>
      </c>
      <c r="R201" t="s">
        <v>2725</v>
      </c>
      <c r="S201" t="s">
        <v>2726</v>
      </c>
      <c r="T201" t="s">
        <v>184</v>
      </c>
      <c r="U201" t="s">
        <v>112</v>
      </c>
      <c r="V201" t="s">
        <v>82</v>
      </c>
      <c r="W201" t="s">
        <v>2725</v>
      </c>
      <c r="X201" t="s">
        <v>2726</v>
      </c>
      <c r="Y201" t="s">
        <v>184</v>
      </c>
      <c r="Z201" t="s">
        <v>112</v>
      </c>
      <c r="AA201" t="s">
        <v>82</v>
      </c>
      <c r="AB201" t="s">
        <v>83</v>
      </c>
      <c r="AC201" t="s">
        <v>185</v>
      </c>
      <c r="AD201" t="s">
        <v>149</v>
      </c>
      <c r="AE201" t="s">
        <v>2727</v>
      </c>
      <c r="AF201" t="s">
        <v>85</v>
      </c>
      <c r="AG201" t="s">
        <v>2728</v>
      </c>
      <c r="AH201">
        <v>7</v>
      </c>
      <c r="AI201">
        <v>1372800</v>
      </c>
      <c r="AJ201">
        <v>127200</v>
      </c>
      <c r="AK201">
        <v>0</v>
      </c>
      <c r="AL201">
        <v>1500000</v>
      </c>
      <c r="AM201" t="s">
        <v>2725</v>
      </c>
      <c r="AN201" t="s">
        <v>2726</v>
      </c>
      <c r="AO201" t="s">
        <v>184</v>
      </c>
      <c r="AP201" t="s">
        <v>112</v>
      </c>
      <c r="AQ201" t="s">
        <v>82</v>
      </c>
      <c r="AR201" t="s">
        <v>2729</v>
      </c>
      <c r="AS201" s="3">
        <v>46202.465223658182</v>
      </c>
      <c r="AT201" t="s">
        <v>89</v>
      </c>
      <c r="AU201" t="s">
        <v>90</v>
      </c>
      <c r="AV201" t="s">
        <v>2712</v>
      </c>
      <c r="AW201" t="s">
        <v>92</v>
      </c>
      <c r="AX201" t="s">
        <v>2713</v>
      </c>
      <c r="AY201" t="s">
        <v>94</v>
      </c>
      <c r="AZ201" t="s">
        <v>85</v>
      </c>
      <c r="BA201" t="s">
        <v>2730</v>
      </c>
      <c r="BB201" t="s">
        <v>2718</v>
      </c>
      <c r="BC201" t="s">
        <v>2720</v>
      </c>
      <c r="BD201" t="s">
        <v>2725</v>
      </c>
      <c r="BE201" t="s">
        <v>2726</v>
      </c>
      <c r="BF201" t="b">
        <f t="shared" si="3"/>
        <v>1</v>
      </c>
      <c r="BG201" t="b">
        <v>1</v>
      </c>
      <c r="BH201">
        <v>1999</v>
      </c>
      <c r="BI201" t="b">
        <v>1</v>
      </c>
      <c r="BJ201" t="s">
        <v>2715</v>
      </c>
      <c r="BK201" t="s">
        <v>2731</v>
      </c>
      <c r="BL201" t="b">
        <v>1</v>
      </c>
      <c r="BM201" t="b">
        <v>1</v>
      </c>
      <c r="BN201" t="b">
        <v>1</v>
      </c>
      <c r="BO201" t="s">
        <v>2732</v>
      </c>
      <c r="BP201" t="b">
        <f>IF(IFERROR(VLOOKUP(A201,[1]Planilha1!$A:$A,1,0),FALSE)=FALSE,FALSE,TRUE)</f>
        <v>1</v>
      </c>
    </row>
    <row r="202" spans="1:68" x14ac:dyDescent="0.25">
      <c r="A202" t="s">
        <v>2733</v>
      </c>
      <c r="B202" t="s">
        <v>68</v>
      </c>
      <c r="D202" s="1">
        <v>46204</v>
      </c>
      <c r="E202" s="1">
        <v>47664</v>
      </c>
      <c r="F202" t="s">
        <v>2734</v>
      </c>
      <c r="G202" t="s">
        <v>2735</v>
      </c>
      <c r="H202" s="2" t="s">
        <v>2736</v>
      </c>
      <c r="I202" t="s">
        <v>2735</v>
      </c>
      <c r="K202" t="s">
        <v>2737</v>
      </c>
      <c r="L202">
        <v>5116445</v>
      </c>
      <c r="M202" t="s">
        <v>2738</v>
      </c>
      <c r="N202" t="s">
        <v>389</v>
      </c>
      <c r="O202" t="s">
        <v>390</v>
      </c>
      <c r="P202" t="s">
        <v>107</v>
      </c>
      <c r="Q202" t="s">
        <v>391</v>
      </c>
      <c r="R202" t="s">
        <v>2707</v>
      </c>
      <c r="S202" t="s">
        <v>2708</v>
      </c>
      <c r="T202" t="s">
        <v>184</v>
      </c>
      <c r="U202" t="s">
        <v>112</v>
      </c>
      <c r="V202" t="s">
        <v>82</v>
      </c>
      <c r="W202" t="s">
        <v>2707</v>
      </c>
      <c r="X202" t="s">
        <v>2708</v>
      </c>
      <c r="Y202" t="s">
        <v>184</v>
      </c>
      <c r="Z202" t="s">
        <v>112</v>
      </c>
      <c r="AA202" t="s">
        <v>82</v>
      </c>
      <c r="AB202" t="s">
        <v>83</v>
      </c>
      <c r="AC202" t="s">
        <v>202</v>
      </c>
      <c r="AD202" t="s">
        <v>252</v>
      </c>
      <c r="AE202" t="s">
        <v>2739</v>
      </c>
      <c r="AF202" t="s">
        <v>252</v>
      </c>
      <c r="AG202" t="s">
        <v>2740</v>
      </c>
      <c r="AH202">
        <v>4</v>
      </c>
      <c r="AI202">
        <v>998400</v>
      </c>
      <c r="AJ202">
        <v>108160</v>
      </c>
      <c r="AK202">
        <v>0</v>
      </c>
      <c r="AL202">
        <v>1106560</v>
      </c>
      <c r="AM202" t="s">
        <v>2707</v>
      </c>
      <c r="AN202" t="s">
        <v>2708</v>
      </c>
      <c r="AO202" t="s">
        <v>184</v>
      </c>
      <c r="AP202" t="s">
        <v>112</v>
      </c>
      <c r="AQ202" t="s">
        <v>82</v>
      </c>
      <c r="AR202" t="s">
        <v>2741</v>
      </c>
      <c r="AS202" s="3">
        <v>46202.465223658182</v>
      </c>
      <c r="AT202" t="s">
        <v>89</v>
      </c>
      <c r="AU202" t="s">
        <v>90</v>
      </c>
      <c r="AV202" t="s">
        <v>2712</v>
      </c>
      <c r="AW202" t="s">
        <v>92</v>
      </c>
      <c r="AX202" t="s">
        <v>2713</v>
      </c>
      <c r="AY202" t="s">
        <v>94</v>
      </c>
      <c r="AZ202" t="s">
        <v>85</v>
      </c>
      <c r="BA202" t="s">
        <v>2742</v>
      </c>
      <c r="BB202" t="s">
        <v>2733</v>
      </c>
      <c r="BC202" t="s">
        <v>2735</v>
      </c>
      <c r="BD202" t="s">
        <v>2707</v>
      </c>
      <c r="BE202" t="s">
        <v>2708</v>
      </c>
      <c r="BF202" t="b">
        <f t="shared" si="3"/>
        <v>1</v>
      </c>
      <c r="BG202" t="b">
        <v>1</v>
      </c>
      <c r="BH202">
        <v>2007</v>
      </c>
      <c r="BI202" t="b">
        <v>1</v>
      </c>
      <c r="BJ202" t="s">
        <v>2715</v>
      </c>
      <c r="BK202" t="s">
        <v>2716</v>
      </c>
      <c r="BL202" t="b">
        <v>1</v>
      </c>
      <c r="BM202" t="b">
        <v>1</v>
      </c>
      <c r="BN202" t="b">
        <v>1</v>
      </c>
      <c r="BO202" t="s">
        <v>2743</v>
      </c>
      <c r="BP202" t="b">
        <f>IF(IFERROR(VLOOKUP(A202,[1]Planilha1!$A:$A,1,0),FALSE)=FALSE,FALSE,TRUE)</f>
        <v>1</v>
      </c>
    </row>
    <row r="203" spans="1:68" x14ac:dyDescent="0.25">
      <c r="A203" t="s">
        <v>2744</v>
      </c>
      <c r="B203" t="s">
        <v>68</v>
      </c>
      <c r="D203" s="1">
        <v>46204</v>
      </c>
      <c r="E203" s="1">
        <v>47664</v>
      </c>
      <c r="F203" t="s">
        <v>2745</v>
      </c>
      <c r="G203" t="s">
        <v>2746</v>
      </c>
      <c r="H203" s="2" t="s">
        <v>2747</v>
      </c>
      <c r="I203" t="s">
        <v>2746</v>
      </c>
      <c r="K203" t="s">
        <v>2748</v>
      </c>
      <c r="L203">
        <v>5116360</v>
      </c>
      <c r="M203" t="s">
        <v>2749</v>
      </c>
      <c r="N203" t="s">
        <v>886</v>
      </c>
      <c r="O203" t="s">
        <v>887</v>
      </c>
      <c r="P203" t="s">
        <v>107</v>
      </c>
      <c r="Q203" t="s">
        <v>2452</v>
      </c>
      <c r="R203" t="s">
        <v>2707</v>
      </c>
      <c r="S203" t="s">
        <v>2708</v>
      </c>
      <c r="T203" t="s">
        <v>184</v>
      </c>
      <c r="U203" t="s">
        <v>112</v>
      </c>
      <c r="V203" t="s">
        <v>82</v>
      </c>
      <c r="W203" t="s">
        <v>2707</v>
      </c>
      <c r="X203" t="s">
        <v>2708</v>
      </c>
      <c r="Y203" t="s">
        <v>184</v>
      </c>
      <c r="Z203" t="s">
        <v>112</v>
      </c>
      <c r="AA203" t="s">
        <v>82</v>
      </c>
      <c r="AB203" t="s">
        <v>83</v>
      </c>
      <c r="AC203" t="s">
        <v>202</v>
      </c>
      <c r="AD203" t="s">
        <v>1396</v>
      </c>
      <c r="AE203" t="s">
        <v>2750</v>
      </c>
      <c r="AF203" t="s">
        <v>1396</v>
      </c>
      <c r="AG203" t="s">
        <v>2751</v>
      </c>
      <c r="AH203">
        <v>7</v>
      </c>
      <c r="AI203">
        <v>1337440</v>
      </c>
      <c r="AJ203">
        <v>133848</v>
      </c>
      <c r="AK203">
        <v>0</v>
      </c>
      <c r="AL203">
        <v>1471288</v>
      </c>
      <c r="AM203" t="s">
        <v>2707</v>
      </c>
      <c r="AN203" t="s">
        <v>2708</v>
      </c>
      <c r="AO203" t="s">
        <v>184</v>
      </c>
      <c r="AP203" t="s">
        <v>112</v>
      </c>
      <c r="AQ203" t="s">
        <v>82</v>
      </c>
      <c r="AR203" t="s">
        <v>2752</v>
      </c>
      <c r="AS203" s="3">
        <v>46202.465223658182</v>
      </c>
      <c r="AT203" t="s">
        <v>89</v>
      </c>
      <c r="AU203" t="s">
        <v>90</v>
      </c>
      <c r="AV203" t="s">
        <v>2712</v>
      </c>
      <c r="AW203" t="s">
        <v>92</v>
      </c>
      <c r="AX203" t="s">
        <v>2713</v>
      </c>
      <c r="AY203" t="s">
        <v>94</v>
      </c>
      <c r="AZ203" t="s">
        <v>85</v>
      </c>
      <c r="BA203" t="s">
        <v>2753</v>
      </c>
      <c r="BB203" t="s">
        <v>2744</v>
      </c>
      <c r="BC203" t="s">
        <v>2746</v>
      </c>
      <c r="BD203" t="s">
        <v>2707</v>
      </c>
      <c r="BE203" t="s">
        <v>2708</v>
      </c>
      <c r="BF203" t="b">
        <f t="shared" si="3"/>
        <v>1</v>
      </c>
      <c r="BG203" t="b">
        <v>1</v>
      </c>
      <c r="BH203">
        <v>2002</v>
      </c>
      <c r="BI203" t="b">
        <v>1</v>
      </c>
      <c r="BJ203" t="s">
        <v>2715</v>
      </c>
      <c r="BK203" t="s">
        <v>2716</v>
      </c>
      <c r="BL203" t="b">
        <v>1</v>
      </c>
      <c r="BM203" t="b">
        <v>1</v>
      </c>
      <c r="BN203" t="b">
        <v>1</v>
      </c>
      <c r="BO203" t="s">
        <v>2754</v>
      </c>
      <c r="BP203" t="b">
        <f>IF(IFERROR(VLOOKUP(A203,[1]Planilha1!$A:$A,1,0),FALSE)=FALSE,FALSE,TRUE)</f>
        <v>1</v>
      </c>
    </row>
    <row r="204" spans="1:68" x14ac:dyDescent="0.25">
      <c r="A204" t="s">
        <v>2755</v>
      </c>
      <c r="B204" t="s">
        <v>68</v>
      </c>
      <c r="D204" s="1">
        <v>46204</v>
      </c>
      <c r="E204" s="1">
        <v>47664</v>
      </c>
      <c r="F204" t="s">
        <v>2756</v>
      </c>
      <c r="G204" t="s">
        <v>2757</v>
      </c>
      <c r="H204" s="2" t="s">
        <v>2758</v>
      </c>
      <c r="I204" t="s">
        <v>2757</v>
      </c>
      <c r="K204" t="s">
        <v>2759</v>
      </c>
      <c r="L204">
        <v>5116350</v>
      </c>
      <c r="M204" t="s">
        <v>2760</v>
      </c>
      <c r="N204" t="s">
        <v>179</v>
      </c>
      <c r="O204" t="s">
        <v>180</v>
      </c>
      <c r="P204" t="s">
        <v>129</v>
      </c>
      <c r="Q204" t="s">
        <v>2761</v>
      </c>
      <c r="R204" t="s">
        <v>1133</v>
      </c>
      <c r="S204" t="s">
        <v>1134</v>
      </c>
      <c r="T204" t="s">
        <v>184</v>
      </c>
      <c r="U204" t="s">
        <v>112</v>
      </c>
      <c r="V204" t="s">
        <v>82</v>
      </c>
      <c r="W204" t="s">
        <v>1133</v>
      </c>
      <c r="X204" t="s">
        <v>1134</v>
      </c>
      <c r="Y204" t="s">
        <v>184</v>
      </c>
      <c r="Z204" t="s">
        <v>112</v>
      </c>
      <c r="AA204" t="s">
        <v>82</v>
      </c>
      <c r="AB204" t="s">
        <v>83</v>
      </c>
      <c r="AC204" t="s">
        <v>185</v>
      </c>
      <c r="AD204" t="s">
        <v>1396</v>
      </c>
      <c r="AE204" t="s">
        <v>2762</v>
      </c>
      <c r="AF204" t="s">
        <v>1396</v>
      </c>
      <c r="AG204" t="s">
        <v>2763</v>
      </c>
      <c r="AH204">
        <v>14</v>
      </c>
      <c r="AI204">
        <v>1347710</v>
      </c>
      <c r="AJ204">
        <v>147772</v>
      </c>
      <c r="AK204">
        <v>0</v>
      </c>
      <c r="AL204">
        <v>1495482</v>
      </c>
      <c r="AM204" t="s">
        <v>1133</v>
      </c>
      <c r="AN204" t="s">
        <v>1134</v>
      </c>
      <c r="AO204" t="s">
        <v>184</v>
      </c>
      <c r="AP204" t="s">
        <v>112</v>
      </c>
      <c r="AQ204" t="s">
        <v>82</v>
      </c>
      <c r="AR204" t="s">
        <v>2764</v>
      </c>
      <c r="AS204" s="3">
        <v>46202.465223658182</v>
      </c>
      <c r="AT204" t="s">
        <v>89</v>
      </c>
      <c r="AU204" t="s">
        <v>90</v>
      </c>
      <c r="AV204" t="s">
        <v>2712</v>
      </c>
      <c r="AW204" t="s">
        <v>92</v>
      </c>
      <c r="AX204" t="s">
        <v>2713</v>
      </c>
      <c r="AY204" t="s">
        <v>94</v>
      </c>
      <c r="AZ204" t="s">
        <v>85</v>
      </c>
      <c r="BA204" t="s">
        <v>2765</v>
      </c>
      <c r="BB204" t="s">
        <v>2755</v>
      </c>
      <c r="BC204" t="s">
        <v>2757</v>
      </c>
      <c r="BD204" t="s">
        <v>1133</v>
      </c>
      <c r="BE204" t="s">
        <v>1134</v>
      </c>
      <c r="BF204" t="b">
        <f t="shared" si="3"/>
        <v>1</v>
      </c>
      <c r="BG204" t="b">
        <v>1</v>
      </c>
      <c r="BH204">
        <v>2007</v>
      </c>
      <c r="BI204" t="b">
        <v>1</v>
      </c>
      <c r="BJ204" t="s">
        <v>2715</v>
      </c>
      <c r="BK204" t="s">
        <v>1140</v>
      </c>
      <c r="BL204" t="b">
        <v>1</v>
      </c>
      <c r="BM204" t="b">
        <v>1</v>
      </c>
      <c r="BN204" t="b">
        <v>1</v>
      </c>
      <c r="BO204" t="s">
        <v>2766</v>
      </c>
      <c r="BP204" t="b">
        <f>IF(IFERROR(VLOOKUP(A204,[1]Planilha1!$A:$A,1,0),FALSE)=FALSE,FALSE,TRUE)</f>
        <v>1</v>
      </c>
    </row>
    <row r="205" spans="1:68" x14ac:dyDescent="0.25">
      <c r="A205" t="s">
        <v>2767</v>
      </c>
      <c r="B205" t="s">
        <v>68</v>
      </c>
      <c r="D205" s="1">
        <v>46204</v>
      </c>
      <c r="E205" s="1">
        <v>47664</v>
      </c>
      <c r="F205" t="s">
        <v>2768</v>
      </c>
      <c r="G205" t="s">
        <v>2769</v>
      </c>
      <c r="H205" s="2" t="s">
        <v>2770</v>
      </c>
      <c r="I205" t="s">
        <v>2769</v>
      </c>
      <c r="K205" t="s">
        <v>2771</v>
      </c>
      <c r="L205">
        <v>5116808</v>
      </c>
      <c r="M205" t="s">
        <v>2772</v>
      </c>
      <c r="N205" t="s">
        <v>389</v>
      </c>
      <c r="O205" t="s">
        <v>390</v>
      </c>
      <c r="P205" t="s">
        <v>107</v>
      </c>
      <c r="Q205" t="s">
        <v>2097</v>
      </c>
      <c r="R205" t="s">
        <v>2773</v>
      </c>
      <c r="S205" t="s">
        <v>2774</v>
      </c>
      <c r="T205" t="s">
        <v>184</v>
      </c>
      <c r="U205" t="s">
        <v>112</v>
      </c>
      <c r="V205" t="s">
        <v>82</v>
      </c>
      <c r="W205" t="s">
        <v>2773</v>
      </c>
      <c r="X205" t="s">
        <v>2774</v>
      </c>
      <c r="Y205" t="s">
        <v>184</v>
      </c>
      <c r="Z205" t="s">
        <v>112</v>
      </c>
      <c r="AA205" t="s">
        <v>82</v>
      </c>
      <c r="AB205" t="s">
        <v>83</v>
      </c>
      <c r="AC205" t="s">
        <v>202</v>
      </c>
      <c r="AD205" t="s">
        <v>85</v>
      </c>
      <c r="AE205" t="s">
        <v>2775</v>
      </c>
      <c r="AF205" t="s">
        <v>85</v>
      </c>
      <c r="AG205" t="s">
        <v>2776</v>
      </c>
      <c r="AH205">
        <v>3</v>
      </c>
      <c r="AI205">
        <v>393120</v>
      </c>
      <c r="AJ205">
        <v>56784</v>
      </c>
      <c r="AK205">
        <v>0</v>
      </c>
      <c r="AL205">
        <v>449904</v>
      </c>
      <c r="AM205" t="s">
        <v>2773</v>
      </c>
      <c r="AN205" t="s">
        <v>2774</v>
      </c>
      <c r="AO205" t="s">
        <v>184</v>
      </c>
      <c r="AP205" t="s">
        <v>112</v>
      </c>
      <c r="AQ205" t="s">
        <v>82</v>
      </c>
      <c r="AR205" t="s">
        <v>2777</v>
      </c>
      <c r="AS205" s="3">
        <v>46202.465223658182</v>
      </c>
      <c r="AT205" t="s">
        <v>89</v>
      </c>
      <c r="AU205" t="s">
        <v>90</v>
      </c>
      <c r="AV205" t="s">
        <v>2712</v>
      </c>
      <c r="AW205" t="s">
        <v>92</v>
      </c>
      <c r="AX205" t="s">
        <v>2713</v>
      </c>
      <c r="AY205" t="s">
        <v>94</v>
      </c>
      <c r="AZ205" t="s">
        <v>85</v>
      </c>
      <c r="BA205" t="s">
        <v>2778</v>
      </c>
      <c r="BB205" t="s">
        <v>2767</v>
      </c>
      <c r="BC205" t="s">
        <v>2769</v>
      </c>
      <c r="BD205" t="s">
        <v>2773</v>
      </c>
      <c r="BE205" t="s">
        <v>2774</v>
      </c>
      <c r="BF205" t="b">
        <f t="shared" si="3"/>
        <v>1</v>
      </c>
      <c r="BG205" t="b">
        <v>1</v>
      </c>
      <c r="BH205">
        <v>2018</v>
      </c>
      <c r="BI205" t="b">
        <v>1</v>
      </c>
      <c r="BJ205" t="s">
        <v>2715</v>
      </c>
      <c r="BK205" t="s">
        <v>2779</v>
      </c>
      <c r="BL205" t="b">
        <v>1</v>
      </c>
      <c r="BM205" t="b">
        <v>1</v>
      </c>
      <c r="BN205" t="b">
        <v>1</v>
      </c>
      <c r="BO205" t="s">
        <v>2780</v>
      </c>
      <c r="BP205" t="b">
        <f>IF(IFERROR(VLOOKUP(A205,[1]Planilha1!$A:$A,1,0),FALSE)=FALSE,FALSE,TRUE)</f>
        <v>1</v>
      </c>
    </row>
    <row r="206" spans="1:68" x14ac:dyDescent="0.25">
      <c r="A206" t="s">
        <v>2781</v>
      </c>
      <c r="B206" t="s">
        <v>68</v>
      </c>
      <c r="D206" s="1">
        <v>46204</v>
      </c>
      <c r="E206" s="1">
        <v>47664</v>
      </c>
      <c r="F206" t="s">
        <v>2782</v>
      </c>
      <c r="G206" t="s">
        <v>2783</v>
      </c>
      <c r="H206" s="2" t="s">
        <v>2784</v>
      </c>
      <c r="I206" t="s">
        <v>2783</v>
      </c>
      <c r="K206" t="s">
        <v>2785</v>
      </c>
      <c r="L206">
        <v>5116552</v>
      </c>
      <c r="M206" t="s">
        <v>2786</v>
      </c>
      <c r="N206" t="s">
        <v>228</v>
      </c>
      <c r="O206" t="s">
        <v>229</v>
      </c>
      <c r="P206" t="s">
        <v>230</v>
      </c>
      <c r="Q206" t="s">
        <v>483</v>
      </c>
      <c r="R206" t="s">
        <v>2787</v>
      </c>
      <c r="S206" t="s">
        <v>2788</v>
      </c>
      <c r="T206" t="s">
        <v>111</v>
      </c>
      <c r="U206" t="s">
        <v>112</v>
      </c>
      <c r="V206" t="s">
        <v>82</v>
      </c>
      <c r="W206" t="s">
        <v>2787</v>
      </c>
      <c r="X206" t="s">
        <v>2788</v>
      </c>
      <c r="Y206" t="s">
        <v>111</v>
      </c>
      <c r="Z206" t="s">
        <v>112</v>
      </c>
      <c r="AA206" t="s">
        <v>82</v>
      </c>
      <c r="AB206" t="s">
        <v>83</v>
      </c>
      <c r="AC206" t="s">
        <v>235</v>
      </c>
      <c r="AD206" t="s">
        <v>149</v>
      </c>
      <c r="AE206" t="s">
        <v>2789</v>
      </c>
      <c r="AF206" t="s">
        <v>85</v>
      </c>
      <c r="AG206" t="s">
        <v>2790</v>
      </c>
      <c r="AH206">
        <v>5</v>
      </c>
      <c r="AI206">
        <v>1023360</v>
      </c>
      <c r="AJ206">
        <v>133036.79999999999</v>
      </c>
      <c r="AK206">
        <v>0</v>
      </c>
      <c r="AL206">
        <v>1156396.8</v>
      </c>
      <c r="AM206" t="s">
        <v>2787</v>
      </c>
      <c r="AN206" t="s">
        <v>2788</v>
      </c>
      <c r="AO206" t="s">
        <v>111</v>
      </c>
      <c r="AP206" t="s">
        <v>112</v>
      </c>
      <c r="AQ206" t="s">
        <v>82</v>
      </c>
      <c r="AR206" t="s">
        <v>2791</v>
      </c>
      <c r="AS206" s="3">
        <v>46202.465223658182</v>
      </c>
      <c r="AT206" t="s">
        <v>89</v>
      </c>
      <c r="AU206" t="s">
        <v>90</v>
      </c>
      <c r="AV206" t="s">
        <v>2712</v>
      </c>
      <c r="AW206" t="s">
        <v>92</v>
      </c>
      <c r="AX206" t="s">
        <v>2713</v>
      </c>
      <c r="AY206" t="s">
        <v>94</v>
      </c>
      <c r="AZ206" t="s">
        <v>85</v>
      </c>
      <c r="BA206" t="s">
        <v>2792</v>
      </c>
      <c r="BB206" t="s">
        <v>2781</v>
      </c>
      <c r="BC206" t="s">
        <v>2783</v>
      </c>
      <c r="BD206" t="s">
        <v>2787</v>
      </c>
      <c r="BE206" t="s">
        <v>2788</v>
      </c>
      <c r="BF206" t="b">
        <f t="shared" si="3"/>
        <v>1</v>
      </c>
      <c r="BG206" t="b">
        <v>1</v>
      </c>
      <c r="BH206">
        <v>2022</v>
      </c>
      <c r="BI206" t="b">
        <v>1</v>
      </c>
      <c r="BJ206" t="s">
        <v>2715</v>
      </c>
      <c r="BK206" t="s">
        <v>2716</v>
      </c>
      <c r="BL206" t="b">
        <v>1</v>
      </c>
      <c r="BM206" t="b">
        <v>1</v>
      </c>
      <c r="BN206" t="b">
        <v>1</v>
      </c>
      <c r="BO206" t="s">
        <v>2793</v>
      </c>
      <c r="BP206" t="b">
        <f>IF(IFERROR(VLOOKUP(A206,[1]Planilha1!$A:$A,1,0),FALSE)=FALSE,FALSE,TRUE)</f>
        <v>1</v>
      </c>
    </row>
    <row r="207" spans="1:68" x14ac:dyDescent="0.25">
      <c r="A207" t="s">
        <v>2794</v>
      </c>
      <c r="B207" t="s">
        <v>68</v>
      </c>
      <c r="D207" s="1">
        <v>46204</v>
      </c>
      <c r="E207" s="1">
        <v>47664</v>
      </c>
      <c r="F207" t="s">
        <v>2795</v>
      </c>
      <c r="G207" t="s">
        <v>2796</v>
      </c>
      <c r="H207" s="2" t="s">
        <v>2797</v>
      </c>
      <c r="I207" t="s">
        <v>2796</v>
      </c>
      <c r="K207" t="s">
        <v>2798</v>
      </c>
      <c r="L207">
        <v>5116729</v>
      </c>
      <c r="M207" t="s">
        <v>2799</v>
      </c>
      <c r="N207" t="s">
        <v>328</v>
      </c>
      <c r="O207" t="s">
        <v>329</v>
      </c>
      <c r="P207" t="s">
        <v>439</v>
      </c>
      <c r="Q207" t="s">
        <v>440</v>
      </c>
      <c r="R207" t="s">
        <v>2800</v>
      </c>
      <c r="S207" t="s">
        <v>2801</v>
      </c>
      <c r="T207" t="s">
        <v>111</v>
      </c>
      <c r="U207" t="s">
        <v>112</v>
      </c>
      <c r="V207" t="s">
        <v>82</v>
      </c>
      <c r="W207" t="s">
        <v>2800</v>
      </c>
      <c r="X207" t="s">
        <v>2801</v>
      </c>
      <c r="Y207" t="s">
        <v>111</v>
      </c>
      <c r="Z207" t="s">
        <v>112</v>
      </c>
      <c r="AA207" t="s">
        <v>82</v>
      </c>
      <c r="AB207" t="s">
        <v>83</v>
      </c>
      <c r="AC207" t="s">
        <v>333</v>
      </c>
      <c r="AD207" t="s">
        <v>85</v>
      </c>
      <c r="AE207" t="s">
        <v>2802</v>
      </c>
      <c r="AF207" t="s">
        <v>85</v>
      </c>
      <c r="AG207" t="s">
        <v>2803</v>
      </c>
      <c r="AH207">
        <v>8</v>
      </c>
      <c r="AI207">
        <v>1297920</v>
      </c>
      <c r="AJ207">
        <v>129792</v>
      </c>
      <c r="AK207">
        <v>0</v>
      </c>
      <c r="AL207">
        <v>1427712</v>
      </c>
      <c r="AM207" t="s">
        <v>2800</v>
      </c>
      <c r="AN207" t="s">
        <v>2801</v>
      </c>
      <c r="AO207" t="s">
        <v>111</v>
      </c>
      <c r="AP207" t="s">
        <v>112</v>
      </c>
      <c r="AQ207" t="s">
        <v>82</v>
      </c>
      <c r="AR207" t="s">
        <v>2804</v>
      </c>
      <c r="AS207" s="3">
        <v>46202.465223658182</v>
      </c>
      <c r="AT207" t="s">
        <v>89</v>
      </c>
      <c r="AU207" t="s">
        <v>90</v>
      </c>
      <c r="AV207" t="s">
        <v>2712</v>
      </c>
      <c r="AW207" t="s">
        <v>92</v>
      </c>
      <c r="AX207" t="s">
        <v>2713</v>
      </c>
      <c r="AY207" t="s">
        <v>94</v>
      </c>
      <c r="AZ207" t="s">
        <v>85</v>
      </c>
      <c r="BA207" t="s">
        <v>2805</v>
      </c>
      <c r="BB207" t="s">
        <v>2794</v>
      </c>
      <c r="BC207" t="s">
        <v>2796</v>
      </c>
      <c r="BD207" t="s">
        <v>2800</v>
      </c>
      <c r="BE207" t="s">
        <v>2801</v>
      </c>
      <c r="BF207" t="b">
        <f t="shared" si="3"/>
        <v>1</v>
      </c>
      <c r="BG207" t="b">
        <v>1</v>
      </c>
      <c r="BH207">
        <v>2014</v>
      </c>
      <c r="BI207" t="b">
        <v>1</v>
      </c>
      <c r="BJ207" t="s">
        <v>2715</v>
      </c>
      <c r="BK207" t="s">
        <v>2806</v>
      </c>
      <c r="BL207" t="b">
        <v>1</v>
      </c>
      <c r="BM207" t="b">
        <v>1</v>
      </c>
      <c r="BN207" t="b">
        <v>1</v>
      </c>
      <c r="BO207" t="s">
        <v>2807</v>
      </c>
      <c r="BP207" t="b">
        <f>IF(IFERROR(VLOOKUP(A207,[1]Planilha1!$A:$A,1,0),FALSE)=FALSE,FALSE,TRUE)</f>
        <v>1</v>
      </c>
    </row>
    <row r="208" spans="1:68" x14ac:dyDescent="0.25">
      <c r="A208" t="s">
        <v>2808</v>
      </c>
      <c r="B208" t="s">
        <v>68</v>
      </c>
      <c r="D208" s="1">
        <v>46204</v>
      </c>
      <c r="E208" s="1">
        <v>47664</v>
      </c>
      <c r="F208" t="s">
        <v>2809</v>
      </c>
      <c r="G208" t="s">
        <v>2810</v>
      </c>
      <c r="H208" s="2" t="s">
        <v>2811</v>
      </c>
      <c r="I208" t="s">
        <v>2810</v>
      </c>
      <c r="K208" t="s">
        <v>2812</v>
      </c>
      <c r="L208">
        <v>5116907</v>
      </c>
      <c r="M208" t="s">
        <v>2813</v>
      </c>
      <c r="N208" t="s">
        <v>1025</v>
      </c>
      <c r="O208" t="s">
        <v>715</v>
      </c>
      <c r="P208" t="s">
        <v>107</v>
      </c>
      <c r="Q208" t="s">
        <v>2814</v>
      </c>
      <c r="R208" t="s">
        <v>2815</v>
      </c>
      <c r="S208" t="s">
        <v>2816</v>
      </c>
      <c r="T208" t="s">
        <v>184</v>
      </c>
      <c r="U208" t="s">
        <v>112</v>
      </c>
      <c r="V208" t="s">
        <v>82</v>
      </c>
      <c r="W208" t="s">
        <v>2815</v>
      </c>
      <c r="X208" t="s">
        <v>2816</v>
      </c>
      <c r="Y208" t="s">
        <v>184</v>
      </c>
      <c r="Z208" t="s">
        <v>112</v>
      </c>
      <c r="AA208" t="s">
        <v>82</v>
      </c>
      <c r="AB208" t="s">
        <v>83</v>
      </c>
      <c r="AC208" t="s">
        <v>113</v>
      </c>
      <c r="AD208" t="s">
        <v>85</v>
      </c>
      <c r="AE208" t="s">
        <v>2817</v>
      </c>
      <c r="AF208" t="s">
        <v>85</v>
      </c>
      <c r="AG208" t="s">
        <v>2818</v>
      </c>
      <c r="AH208">
        <v>4</v>
      </c>
      <c r="AI208">
        <v>998400</v>
      </c>
      <c r="AJ208">
        <v>99000</v>
      </c>
      <c r="AK208">
        <v>0</v>
      </c>
      <c r="AL208">
        <v>1097400</v>
      </c>
      <c r="AM208" t="s">
        <v>2815</v>
      </c>
      <c r="AN208" t="s">
        <v>2816</v>
      </c>
      <c r="AO208" t="s">
        <v>184</v>
      </c>
      <c r="AP208" t="s">
        <v>112</v>
      </c>
      <c r="AQ208" t="s">
        <v>82</v>
      </c>
      <c r="AR208" t="s">
        <v>2819</v>
      </c>
      <c r="AS208" s="3">
        <v>46202.465223658182</v>
      </c>
      <c r="AT208" t="s">
        <v>89</v>
      </c>
      <c r="AU208" t="s">
        <v>90</v>
      </c>
      <c r="AV208" t="s">
        <v>2712</v>
      </c>
      <c r="AW208" t="s">
        <v>92</v>
      </c>
      <c r="AX208" t="s">
        <v>2713</v>
      </c>
      <c r="AY208" t="s">
        <v>94</v>
      </c>
      <c r="AZ208" t="s">
        <v>85</v>
      </c>
      <c r="BA208" t="s">
        <v>2820</v>
      </c>
      <c r="BB208" t="s">
        <v>2808</v>
      </c>
      <c r="BC208" t="s">
        <v>2810</v>
      </c>
      <c r="BD208" t="s">
        <v>2815</v>
      </c>
      <c r="BE208" t="s">
        <v>2816</v>
      </c>
      <c r="BF208" t="b">
        <f t="shared" si="3"/>
        <v>1</v>
      </c>
      <c r="BG208" t="b">
        <v>1</v>
      </c>
      <c r="BH208">
        <v>2015</v>
      </c>
      <c r="BI208" t="b">
        <v>1</v>
      </c>
      <c r="BJ208" t="s">
        <v>2715</v>
      </c>
      <c r="BK208" t="s">
        <v>2821</v>
      </c>
      <c r="BL208" t="b">
        <v>1</v>
      </c>
      <c r="BM208" t="b">
        <v>1</v>
      </c>
      <c r="BN208" t="b">
        <v>1</v>
      </c>
      <c r="BO208" t="s">
        <v>2822</v>
      </c>
      <c r="BP208" t="b">
        <f>IF(IFERROR(VLOOKUP(A208,[1]Planilha1!$A:$A,1,0),FALSE)=FALSE,FALSE,TRUE)</f>
        <v>1</v>
      </c>
    </row>
    <row r="209" spans="1:68" x14ac:dyDescent="0.25">
      <c r="A209" t="s">
        <v>2823</v>
      </c>
      <c r="B209" t="s">
        <v>68</v>
      </c>
      <c r="D209" s="1">
        <v>46204</v>
      </c>
      <c r="E209" s="1">
        <v>47664</v>
      </c>
      <c r="F209" t="s">
        <v>2824</v>
      </c>
      <c r="G209" t="s">
        <v>2825</v>
      </c>
      <c r="H209" s="2" t="s">
        <v>2826</v>
      </c>
      <c r="I209" t="s">
        <v>2825</v>
      </c>
      <c r="K209" t="s">
        <v>2827</v>
      </c>
      <c r="L209">
        <v>5115642</v>
      </c>
      <c r="M209" t="s">
        <v>2828</v>
      </c>
      <c r="N209" t="s">
        <v>2072</v>
      </c>
      <c r="O209" t="s">
        <v>2073</v>
      </c>
      <c r="P209" t="s">
        <v>76</v>
      </c>
      <c r="Q209" t="s">
        <v>2829</v>
      </c>
      <c r="R209" t="s">
        <v>2815</v>
      </c>
      <c r="S209" t="s">
        <v>2816</v>
      </c>
      <c r="T209" t="s">
        <v>184</v>
      </c>
      <c r="U209" t="s">
        <v>112</v>
      </c>
      <c r="V209" t="s">
        <v>82</v>
      </c>
      <c r="W209" t="s">
        <v>2815</v>
      </c>
      <c r="X209" t="s">
        <v>2816</v>
      </c>
      <c r="Y209" t="s">
        <v>184</v>
      </c>
      <c r="Z209" t="s">
        <v>112</v>
      </c>
      <c r="AA209" t="s">
        <v>82</v>
      </c>
      <c r="AB209" t="s">
        <v>83</v>
      </c>
      <c r="AC209" t="s">
        <v>166</v>
      </c>
      <c r="AD209" t="s">
        <v>267</v>
      </c>
      <c r="AE209" t="s">
        <v>2830</v>
      </c>
      <c r="AF209" t="s">
        <v>267</v>
      </c>
      <c r="AG209" t="s">
        <v>2831</v>
      </c>
      <c r="AH209">
        <v>6</v>
      </c>
      <c r="AI209">
        <v>1397760</v>
      </c>
      <c r="AJ209">
        <v>102240</v>
      </c>
      <c r="AK209">
        <v>0</v>
      </c>
      <c r="AL209">
        <v>1500000</v>
      </c>
      <c r="AM209" t="s">
        <v>2815</v>
      </c>
      <c r="AN209" t="s">
        <v>2816</v>
      </c>
      <c r="AO209" t="s">
        <v>184</v>
      </c>
      <c r="AP209" t="s">
        <v>112</v>
      </c>
      <c r="AQ209" t="s">
        <v>82</v>
      </c>
      <c r="AR209" t="s">
        <v>2832</v>
      </c>
      <c r="AS209" s="3">
        <v>46202.465223658182</v>
      </c>
      <c r="AT209" t="s">
        <v>89</v>
      </c>
      <c r="AU209" t="s">
        <v>90</v>
      </c>
      <c r="AV209" t="s">
        <v>2712</v>
      </c>
      <c r="AW209" t="s">
        <v>92</v>
      </c>
      <c r="AX209" t="s">
        <v>2713</v>
      </c>
      <c r="AY209" t="s">
        <v>94</v>
      </c>
      <c r="AZ209" t="s">
        <v>85</v>
      </c>
      <c r="BA209" t="s">
        <v>2833</v>
      </c>
      <c r="BB209" t="s">
        <v>2823</v>
      </c>
      <c r="BC209" t="s">
        <v>2825</v>
      </c>
      <c r="BD209" t="s">
        <v>2815</v>
      </c>
      <c r="BE209" t="s">
        <v>2816</v>
      </c>
      <c r="BF209" t="b">
        <f t="shared" si="3"/>
        <v>1</v>
      </c>
      <c r="BG209" t="b">
        <v>1</v>
      </c>
      <c r="BH209">
        <v>2000</v>
      </c>
      <c r="BI209" t="b">
        <v>1</v>
      </c>
      <c r="BJ209" t="s">
        <v>2715</v>
      </c>
      <c r="BK209" t="s">
        <v>2821</v>
      </c>
      <c r="BL209" t="b">
        <v>1</v>
      </c>
      <c r="BM209" t="b">
        <v>1</v>
      </c>
      <c r="BN209" t="b">
        <v>1</v>
      </c>
      <c r="BO209" t="s">
        <v>2834</v>
      </c>
      <c r="BP209" t="b">
        <f>IF(IFERROR(VLOOKUP(A209,[1]Planilha1!$A:$A,1,0),FALSE)=FALSE,FALSE,TRUE)</f>
        <v>1</v>
      </c>
    </row>
    <row r="210" spans="1:68" x14ac:dyDescent="0.25">
      <c r="A210" s="5" t="s">
        <v>2835</v>
      </c>
      <c r="B210" t="s">
        <v>68</v>
      </c>
      <c r="D210" s="1">
        <v>46204</v>
      </c>
      <c r="E210" s="1">
        <v>47664</v>
      </c>
      <c r="F210" t="s">
        <v>2836</v>
      </c>
      <c r="G210" s="5" t="s">
        <v>2837</v>
      </c>
      <c r="H210" s="2" t="s">
        <v>2838</v>
      </c>
      <c r="I210" t="s">
        <v>2837</v>
      </c>
      <c r="K210" t="s">
        <v>2839</v>
      </c>
      <c r="L210">
        <v>5116380</v>
      </c>
      <c r="M210" t="s">
        <v>2840</v>
      </c>
      <c r="N210" t="s">
        <v>179</v>
      </c>
      <c r="O210" t="s">
        <v>180</v>
      </c>
      <c r="P210" t="s">
        <v>129</v>
      </c>
      <c r="Q210" t="s">
        <v>2841</v>
      </c>
      <c r="R210" t="s">
        <v>1133</v>
      </c>
      <c r="S210" t="s">
        <v>1134</v>
      </c>
      <c r="T210" t="s">
        <v>184</v>
      </c>
      <c r="U210" t="s">
        <v>112</v>
      </c>
      <c r="V210" t="s">
        <v>82</v>
      </c>
      <c r="W210" t="s">
        <v>1133</v>
      </c>
      <c r="X210" t="s">
        <v>1134</v>
      </c>
      <c r="Y210" t="s">
        <v>184</v>
      </c>
      <c r="Z210" t="s">
        <v>112</v>
      </c>
      <c r="AA210" t="s">
        <v>82</v>
      </c>
      <c r="AB210" t="s">
        <v>83</v>
      </c>
      <c r="AC210" t="s">
        <v>185</v>
      </c>
      <c r="AD210" t="s">
        <v>252</v>
      </c>
      <c r="AE210" t="s">
        <v>2842</v>
      </c>
      <c r="AF210" t="s">
        <v>252</v>
      </c>
      <c r="AG210" t="s">
        <v>2843</v>
      </c>
      <c r="AH210">
        <v>12</v>
      </c>
      <c r="AI210">
        <v>1115280</v>
      </c>
      <c r="AJ210">
        <v>88512</v>
      </c>
      <c r="AK210">
        <v>0</v>
      </c>
      <c r="AL210">
        <v>1203792</v>
      </c>
      <c r="AM210" t="s">
        <v>1133</v>
      </c>
      <c r="AN210" t="s">
        <v>1134</v>
      </c>
      <c r="AO210" t="s">
        <v>184</v>
      </c>
      <c r="AP210" t="s">
        <v>112</v>
      </c>
      <c r="AQ210" t="s">
        <v>82</v>
      </c>
      <c r="AR210" t="s">
        <v>2844</v>
      </c>
      <c r="AS210" s="3">
        <v>46202.465223658182</v>
      </c>
      <c r="AT210" t="s">
        <v>89</v>
      </c>
      <c r="AU210" t="s">
        <v>90</v>
      </c>
      <c r="AV210" t="s">
        <v>2712</v>
      </c>
      <c r="AW210" t="s">
        <v>92</v>
      </c>
      <c r="AX210" t="s">
        <v>2713</v>
      </c>
      <c r="AY210" t="s">
        <v>94</v>
      </c>
      <c r="AZ210" t="s">
        <v>85</v>
      </c>
      <c r="BA210" t="s">
        <v>2845</v>
      </c>
      <c r="BB210" s="5" t="s">
        <v>2835</v>
      </c>
      <c r="BC210" s="5" t="s">
        <v>2837</v>
      </c>
      <c r="BD210" t="s">
        <v>1133</v>
      </c>
      <c r="BE210" t="s">
        <v>1134</v>
      </c>
      <c r="BF210" t="b">
        <f t="shared" si="3"/>
        <v>0</v>
      </c>
      <c r="BG210" t="b">
        <v>1</v>
      </c>
      <c r="BH210">
        <v>2012</v>
      </c>
      <c r="BI210" s="5" t="b">
        <v>0</v>
      </c>
      <c r="BJ210" t="s">
        <v>2715</v>
      </c>
      <c r="BK210" t="s">
        <v>1140</v>
      </c>
      <c r="BL210" t="b">
        <v>1</v>
      </c>
      <c r="BM210" t="b">
        <v>1</v>
      </c>
      <c r="BN210" t="b">
        <v>1</v>
      </c>
      <c r="BO210" t="s">
        <v>2846</v>
      </c>
      <c r="BP210" t="b">
        <f>IF(IFERROR(VLOOKUP(A210,[1]Planilha1!$A:$A,1,0),FALSE)=FALSE,FALSE,TRUE)</f>
        <v>0</v>
      </c>
    </row>
    <row r="211" spans="1:68" x14ac:dyDescent="0.25">
      <c r="A211" t="s">
        <v>2847</v>
      </c>
      <c r="B211" t="s">
        <v>68</v>
      </c>
      <c r="D211" s="1">
        <v>46204</v>
      </c>
      <c r="E211" s="1">
        <v>47664</v>
      </c>
      <c r="F211" t="s">
        <v>2848</v>
      </c>
      <c r="G211" t="s">
        <v>2849</v>
      </c>
      <c r="H211" s="2" t="s">
        <v>2850</v>
      </c>
      <c r="I211" t="s">
        <v>2849</v>
      </c>
      <c r="K211" t="s">
        <v>2851</v>
      </c>
      <c r="L211">
        <v>5116599</v>
      </c>
      <c r="M211" t="s">
        <v>2852</v>
      </c>
      <c r="N211" t="s">
        <v>2853</v>
      </c>
      <c r="O211" t="s">
        <v>390</v>
      </c>
      <c r="P211" t="s">
        <v>107</v>
      </c>
      <c r="Q211" t="s">
        <v>2854</v>
      </c>
      <c r="R211" t="s">
        <v>2773</v>
      </c>
      <c r="S211" t="s">
        <v>2774</v>
      </c>
      <c r="T211" t="s">
        <v>184</v>
      </c>
      <c r="U211" t="s">
        <v>112</v>
      </c>
      <c r="V211" t="s">
        <v>82</v>
      </c>
      <c r="W211" t="s">
        <v>2773</v>
      </c>
      <c r="X211" t="s">
        <v>2774</v>
      </c>
      <c r="Y211" t="s">
        <v>184</v>
      </c>
      <c r="Z211" t="s">
        <v>112</v>
      </c>
      <c r="AA211" t="s">
        <v>82</v>
      </c>
      <c r="AB211" t="s">
        <v>83</v>
      </c>
      <c r="AC211" t="s">
        <v>202</v>
      </c>
      <c r="AD211" t="s">
        <v>149</v>
      </c>
      <c r="AE211" t="s">
        <v>2855</v>
      </c>
      <c r="AF211" t="s">
        <v>85</v>
      </c>
      <c r="AG211" t="s">
        <v>2856</v>
      </c>
      <c r="AH211">
        <v>7</v>
      </c>
      <c r="AI211">
        <v>877890</v>
      </c>
      <c r="AJ211">
        <v>96668</v>
      </c>
      <c r="AK211">
        <v>0</v>
      </c>
      <c r="AL211">
        <v>974558</v>
      </c>
      <c r="AM211" t="s">
        <v>2857</v>
      </c>
      <c r="AN211" t="s">
        <v>2858</v>
      </c>
      <c r="AO211" t="s">
        <v>234</v>
      </c>
      <c r="AP211" t="s">
        <v>112</v>
      </c>
      <c r="AQ211" t="s">
        <v>82</v>
      </c>
      <c r="AR211" t="s">
        <v>2859</v>
      </c>
      <c r="AS211" s="3">
        <v>46202.465223658182</v>
      </c>
      <c r="AT211" t="s">
        <v>89</v>
      </c>
      <c r="AU211" t="s">
        <v>90</v>
      </c>
      <c r="AV211" t="s">
        <v>2712</v>
      </c>
      <c r="AW211" t="s">
        <v>92</v>
      </c>
      <c r="AX211" t="s">
        <v>2713</v>
      </c>
      <c r="AY211" t="s">
        <v>94</v>
      </c>
      <c r="AZ211" t="s">
        <v>85</v>
      </c>
      <c r="BA211" t="s">
        <v>2860</v>
      </c>
      <c r="BB211" t="s">
        <v>2847</v>
      </c>
      <c r="BC211" t="s">
        <v>2849</v>
      </c>
      <c r="BD211" t="s">
        <v>2773</v>
      </c>
      <c r="BE211" t="s">
        <v>2774</v>
      </c>
      <c r="BF211" t="b">
        <f t="shared" si="3"/>
        <v>0</v>
      </c>
      <c r="BG211" t="b">
        <v>1</v>
      </c>
      <c r="BH211">
        <v>2023</v>
      </c>
      <c r="BI211" t="b">
        <v>1</v>
      </c>
      <c r="BJ211" t="s">
        <v>2715</v>
      </c>
      <c r="BK211" t="s">
        <v>2779</v>
      </c>
      <c r="BL211" t="b">
        <v>1</v>
      </c>
      <c r="BM211" t="b">
        <v>0</v>
      </c>
      <c r="BN211" t="b">
        <v>0</v>
      </c>
      <c r="BO211" t="s">
        <v>2861</v>
      </c>
      <c r="BP211" t="b">
        <f>IF(IFERROR(VLOOKUP(A211,[1]Planilha1!$A:$A,1,0),FALSE)=FALSE,FALSE,TRUE)</f>
        <v>0</v>
      </c>
    </row>
    <row r="212" spans="1:68" x14ac:dyDescent="0.25">
      <c r="A212" t="s">
        <v>2862</v>
      </c>
      <c r="B212" t="s">
        <v>68</v>
      </c>
      <c r="D212" s="1">
        <v>46204</v>
      </c>
      <c r="E212" s="1">
        <v>47664</v>
      </c>
      <c r="F212" t="s">
        <v>2863</v>
      </c>
      <c r="G212" t="s">
        <v>2864</v>
      </c>
      <c r="H212" s="2" t="s">
        <v>2865</v>
      </c>
      <c r="I212" t="s">
        <v>2864</v>
      </c>
      <c r="K212" t="s">
        <v>2866</v>
      </c>
      <c r="L212">
        <v>5116449</v>
      </c>
      <c r="M212" t="s">
        <v>2867</v>
      </c>
      <c r="N212" t="s">
        <v>179</v>
      </c>
      <c r="O212" t="s">
        <v>180</v>
      </c>
      <c r="P212" t="s">
        <v>129</v>
      </c>
      <c r="Q212" t="s">
        <v>2868</v>
      </c>
      <c r="R212" t="s">
        <v>1133</v>
      </c>
      <c r="S212" t="s">
        <v>1134</v>
      </c>
      <c r="T212" t="s">
        <v>184</v>
      </c>
      <c r="U212" t="s">
        <v>112</v>
      </c>
      <c r="V212" t="s">
        <v>82</v>
      </c>
      <c r="W212" t="s">
        <v>1133</v>
      </c>
      <c r="X212" t="s">
        <v>1134</v>
      </c>
      <c r="Y212" t="s">
        <v>184</v>
      </c>
      <c r="Z212" t="s">
        <v>112</v>
      </c>
      <c r="AA212" t="s">
        <v>82</v>
      </c>
      <c r="AB212" t="s">
        <v>83</v>
      </c>
      <c r="AC212" t="s">
        <v>185</v>
      </c>
      <c r="AD212" t="s">
        <v>252</v>
      </c>
      <c r="AE212" t="s">
        <v>2869</v>
      </c>
      <c r="AF212" t="s">
        <v>252</v>
      </c>
      <c r="AG212" t="s">
        <v>2870</v>
      </c>
      <c r="AH212">
        <v>7</v>
      </c>
      <c r="AI212">
        <v>561640</v>
      </c>
      <c r="AJ212">
        <v>60000</v>
      </c>
      <c r="AK212">
        <v>0</v>
      </c>
      <c r="AL212">
        <v>621640</v>
      </c>
      <c r="AM212" t="s">
        <v>1133</v>
      </c>
      <c r="AN212" t="s">
        <v>1134</v>
      </c>
      <c r="AO212" t="s">
        <v>184</v>
      </c>
      <c r="AP212" t="s">
        <v>112</v>
      </c>
      <c r="AQ212" t="s">
        <v>82</v>
      </c>
      <c r="AR212" t="s">
        <v>2871</v>
      </c>
      <c r="AS212" s="3">
        <v>46202.465223658182</v>
      </c>
      <c r="AT212" t="s">
        <v>89</v>
      </c>
      <c r="AU212" t="s">
        <v>90</v>
      </c>
      <c r="AV212" t="s">
        <v>2712</v>
      </c>
      <c r="AW212" t="s">
        <v>92</v>
      </c>
      <c r="AX212" t="s">
        <v>2713</v>
      </c>
      <c r="AY212" t="s">
        <v>94</v>
      </c>
      <c r="AZ212" t="s">
        <v>85</v>
      </c>
      <c r="BA212" t="s">
        <v>2872</v>
      </c>
      <c r="BB212" t="s">
        <v>2862</v>
      </c>
      <c r="BC212" t="s">
        <v>2864</v>
      </c>
      <c r="BD212" t="s">
        <v>1133</v>
      </c>
      <c r="BE212" t="s">
        <v>1134</v>
      </c>
      <c r="BF212" t="b">
        <f t="shared" si="3"/>
        <v>1</v>
      </c>
      <c r="BG212" t="b">
        <v>1</v>
      </c>
      <c r="BH212">
        <v>2004</v>
      </c>
      <c r="BI212" t="b">
        <v>1</v>
      </c>
      <c r="BJ212" t="s">
        <v>2715</v>
      </c>
      <c r="BK212" t="s">
        <v>1140</v>
      </c>
      <c r="BL212" t="b">
        <v>1</v>
      </c>
      <c r="BM212" t="b">
        <v>1</v>
      </c>
      <c r="BN212" t="b">
        <v>1</v>
      </c>
      <c r="BO212" t="s">
        <v>2873</v>
      </c>
      <c r="BP212" t="b">
        <f>IF(IFERROR(VLOOKUP(A212,[1]Planilha1!$A:$A,1,0),FALSE)=FALSE,FALSE,TRUE)</f>
        <v>1</v>
      </c>
    </row>
    <row r="213" spans="1:68" x14ac:dyDescent="0.25">
      <c r="A213" t="s">
        <v>2874</v>
      </c>
      <c r="B213" t="s">
        <v>68</v>
      </c>
      <c r="D213" s="1">
        <v>46204</v>
      </c>
      <c r="E213" s="1">
        <v>47664</v>
      </c>
      <c r="F213" t="s">
        <v>2875</v>
      </c>
      <c r="G213" t="s">
        <v>2876</v>
      </c>
      <c r="H213" s="2" t="s">
        <v>2877</v>
      </c>
      <c r="I213" t="s">
        <v>2876</v>
      </c>
      <c r="K213" t="s">
        <v>2878</v>
      </c>
      <c r="L213">
        <v>5116340</v>
      </c>
      <c r="M213" t="s">
        <v>2879</v>
      </c>
      <c r="N213" t="s">
        <v>2880</v>
      </c>
      <c r="O213" t="s">
        <v>2018</v>
      </c>
      <c r="P213" t="s">
        <v>230</v>
      </c>
      <c r="Q213" t="s">
        <v>2881</v>
      </c>
      <c r="R213" t="s">
        <v>2773</v>
      </c>
      <c r="S213" t="s">
        <v>2774</v>
      </c>
      <c r="T213" t="s">
        <v>184</v>
      </c>
      <c r="U213" t="s">
        <v>112</v>
      </c>
      <c r="V213" t="s">
        <v>82</v>
      </c>
      <c r="W213" t="s">
        <v>2773</v>
      </c>
      <c r="X213" t="s">
        <v>2774</v>
      </c>
      <c r="Y213" t="s">
        <v>184</v>
      </c>
      <c r="Z213" t="s">
        <v>112</v>
      </c>
      <c r="AA213" t="s">
        <v>82</v>
      </c>
      <c r="AB213" t="s">
        <v>83</v>
      </c>
      <c r="AC213" t="s">
        <v>1013</v>
      </c>
      <c r="AD213" t="s">
        <v>1396</v>
      </c>
      <c r="AE213" t="s">
        <v>2882</v>
      </c>
      <c r="AF213" t="s">
        <v>1396</v>
      </c>
      <c r="AG213" t="s">
        <v>2883</v>
      </c>
      <c r="AH213">
        <v>4</v>
      </c>
      <c r="AI213">
        <v>711360</v>
      </c>
      <c r="AJ213">
        <v>92476.800000000003</v>
      </c>
      <c r="AK213">
        <v>0</v>
      </c>
      <c r="AL213">
        <v>803836.8</v>
      </c>
      <c r="AR213" t="s">
        <v>2884</v>
      </c>
      <c r="AS213" s="3">
        <v>46202.465223658182</v>
      </c>
      <c r="AT213" t="s">
        <v>89</v>
      </c>
      <c r="AU213" t="s">
        <v>90</v>
      </c>
      <c r="AV213" t="s">
        <v>2712</v>
      </c>
      <c r="AW213" t="s">
        <v>92</v>
      </c>
      <c r="AX213" t="s">
        <v>2713</v>
      </c>
      <c r="AY213" t="s">
        <v>94</v>
      </c>
      <c r="AZ213" t="s">
        <v>85</v>
      </c>
      <c r="BA213" t="s">
        <v>2885</v>
      </c>
      <c r="BB213" t="s">
        <v>2874</v>
      </c>
      <c r="BC213" t="s">
        <v>2876</v>
      </c>
      <c r="BD213" t="s">
        <v>2773</v>
      </c>
      <c r="BE213" t="s">
        <v>2774</v>
      </c>
      <c r="BF213" t="b">
        <f t="shared" si="3"/>
        <v>1</v>
      </c>
      <c r="BG213" t="b">
        <v>1</v>
      </c>
      <c r="BH213">
        <v>2008</v>
      </c>
      <c r="BI213" t="b">
        <v>1</v>
      </c>
      <c r="BJ213" t="s">
        <v>2715</v>
      </c>
      <c r="BK213" t="s">
        <v>2779</v>
      </c>
      <c r="BL213" t="b">
        <v>1</v>
      </c>
      <c r="BM213" t="b">
        <v>1</v>
      </c>
      <c r="BN213" t="b">
        <v>0</v>
      </c>
      <c r="BO213" t="s">
        <v>2886</v>
      </c>
      <c r="BP213" t="b">
        <f>IF(IFERROR(VLOOKUP(A213,[1]Planilha1!$A:$A,1,0),FALSE)=FALSE,FALSE,TRUE)</f>
        <v>1</v>
      </c>
    </row>
    <row r="214" spans="1:68" x14ac:dyDescent="0.25">
      <c r="A214" t="s">
        <v>2887</v>
      </c>
      <c r="B214" t="s">
        <v>68</v>
      </c>
      <c r="D214" s="1">
        <v>46204</v>
      </c>
      <c r="E214" s="1">
        <v>47664</v>
      </c>
      <c r="F214" t="s">
        <v>2888</v>
      </c>
      <c r="G214" t="s">
        <v>2889</v>
      </c>
      <c r="H214" s="2" t="s">
        <v>2890</v>
      </c>
      <c r="I214" t="s">
        <v>2889</v>
      </c>
      <c r="K214" t="s">
        <v>2891</v>
      </c>
      <c r="L214">
        <v>5116827</v>
      </c>
      <c r="M214" t="s">
        <v>2892</v>
      </c>
      <c r="N214" t="s">
        <v>983</v>
      </c>
      <c r="O214" t="s">
        <v>768</v>
      </c>
      <c r="P214" t="s">
        <v>107</v>
      </c>
      <c r="Q214" t="s">
        <v>2893</v>
      </c>
      <c r="R214" t="s">
        <v>2707</v>
      </c>
      <c r="S214" t="s">
        <v>2708</v>
      </c>
      <c r="T214" t="s">
        <v>184</v>
      </c>
      <c r="U214" t="s">
        <v>112</v>
      </c>
      <c r="V214" t="s">
        <v>82</v>
      </c>
      <c r="W214" t="s">
        <v>2707</v>
      </c>
      <c r="X214" t="s">
        <v>2708</v>
      </c>
      <c r="Y214" t="s">
        <v>184</v>
      </c>
      <c r="Z214" t="s">
        <v>112</v>
      </c>
      <c r="AA214" t="s">
        <v>82</v>
      </c>
      <c r="AB214" t="s">
        <v>83</v>
      </c>
      <c r="AC214" t="s">
        <v>113</v>
      </c>
      <c r="AD214" t="s">
        <v>85</v>
      </c>
      <c r="AE214" t="s">
        <v>2894</v>
      </c>
      <c r="AF214" t="s">
        <v>85</v>
      </c>
      <c r="AG214" t="s">
        <v>2895</v>
      </c>
      <c r="AH214">
        <v>4</v>
      </c>
      <c r="AI214">
        <v>786760</v>
      </c>
      <c r="AJ214">
        <v>87533.33</v>
      </c>
      <c r="AK214">
        <v>0</v>
      </c>
      <c r="AL214">
        <v>874293.33</v>
      </c>
      <c r="AM214" t="s">
        <v>2707</v>
      </c>
      <c r="AN214" t="s">
        <v>2708</v>
      </c>
      <c r="AO214" t="s">
        <v>184</v>
      </c>
      <c r="AP214" t="s">
        <v>112</v>
      </c>
      <c r="AQ214" t="s">
        <v>82</v>
      </c>
      <c r="AR214" t="s">
        <v>2896</v>
      </c>
      <c r="AS214" s="3">
        <v>46202.465223658182</v>
      </c>
      <c r="AT214" t="s">
        <v>89</v>
      </c>
      <c r="AU214" t="s">
        <v>90</v>
      </c>
      <c r="AV214" t="s">
        <v>2712</v>
      </c>
      <c r="AW214" t="s">
        <v>92</v>
      </c>
      <c r="AX214" t="s">
        <v>2713</v>
      </c>
      <c r="AY214" t="s">
        <v>94</v>
      </c>
      <c r="AZ214" t="s">
        <v>85</v>
      </c>
      <c r="BA214" t="s">
        <v>2897</v>
      </c>
      <c r="BB214" t="s">
        <v>2887</v>
      </c>
      <c r="BC214" t="s">
        <v>2889</v>
      </c>
      <c r="BD214" t="s">
        <v>2707</v>
      </c>
      <c r="BE214" t="s">
        <v>2708</v>
      </c>
      <c r="BF214" t="b">
        <f t="shared" si="3"/>
        <v>1</v>
      </c>
      <c r="BG214" t="b">
        <v>1</v>
      </c>
      <c r="BH214">
        <v>2015</v>
      </c>
      <c r="BI214" t="b">
        <v>1</v>
      </c>
      <c r="BJ214" t="s">
        <v>2715</v>
      </c>
      <c r="BK214" t="s">
        <v>2716</v>
      </c>
      <c r="BL214" t="b">
        <v>1</v>
      </c>
      <c r="BM214" t="b">
        <v>1</v>
      </c>
      <c r="BN214" t="b">
        <v>1</v>
      </c>
      <c r="BO214" t="s">
        <v>2898</v>
      </c>
      <c r="BP214" t="b">
        <f>IF(IFERROR(VLOOKUP(A214,[1]Planilha1!$A:$A,1,0),FALSE)=FALSE,FALSE,TRUE)</f>
        <v>1</v>
      </c>
    </row>
    <row r="215" spans="1:68" x14ac:dyDescent="0.25">
      <c r="A215" t="s">
        <v>2899</v>
      </c>
      <c r="B215" t="s">
        <v>68</v>
      </c>
      <c r="D215" s="1">
        <v>46204</v>
      </c>
      <c r="E215" s="1">
        <v>47664</v>
      </c>
      <c r="F215" t="s">
        <v>2900</v>
      </c>
      <c r="G215" t="s">
        <v>2901</v>
      </c>
      <c r="H215" s="2" t="s">
        <v>2902</v>
      </c>
      <c r="I215" t="s">
        <v>2901</v>
      </c>
      <c r="K215" t="s">
        <v>2903</v>
      </c>
      <c r="L215">
        <v>5116647</v>
      </c>
      <c r="M215" t="s">
        <v>2904</v>
      </c>
      <c r="N215" t="s">
        <v>127</v>
      </c>
      <c r="O215" t="s">
        <v>128</v>
      </c>
      <c r="P215" t="s">
        <v>129</v>
      </c>
      <c r="Q215" t="s">
        <v>130</v>
      </c>
      <c r="R215" t="s">
        <v>2773</v>
      </c>
      <c r="S215" t="s">
        <v>2774</v>
      </c>
      <c r="T215" t="s">
        <v>184</v>
      </c>
      <c r="U215" t="s">
        <v>112</v>
      </c>
      <c r="V215" t="s">
        <v>82</v>
      </c>
      <c r="W215" t="s">
        <v>2773</v>
      </c>
      <c r="X215" t="s">
        <v>2774</v>
      </c>
      <c r="Y215" t="s">
        <v>184</v>
      </c>
      <c r="Z215" t="s">
        <v>112</v>
      </c>
      <c r="AA215" t="s">
        <v>82</v>
      </c>
      <c r="AB215" t="s">
        <v>83</v>
      </c>
      <c r="AC215" t="s">
        <v>135</v>
      </c>
      <c r="AD215" t="s">
        <v>149</v>
      </c>
      <c r="AE215" t="s">
        <v>2905</v>
      </c>
      <c r="AF215" t="s">
        <v>85</v>
      </c>
      <c r="AG215" t="s">
        <v>2906</v>
      </c>
      <c r="AH215">
        <v>8</v>
      </c>
      <c r="AI215">
        <v>649500</v>
      </c>
      <c r="AJ215">
        <v>72040</v>
      </c>
      <c r="AK215">
        <v>0</v>
      </c>
      <c r="AL215">
        <v>721540</v>
      </c>
      <c r="AM215" t="s">
        <v>2773</v>
      </c>
      <c r="AN215" t="s">
        <v>2774</v>
      </c>
      <c r="AO215" t="s">
        <v>184</v>
      </c>
      <c r="AP215" t="s">
        <v>112</v>
      </c>
      <c r="AQ215" t="s">
        <v>82</v>
      </c>
      <c r="AR215" t="s">
        <v>2907</v>
      </c>
      <c r="AS215" s="3">
        <v>46202.465223658182</v>
      </c>
      <c r="AT215" t="s">
        <v>89</v>
      </c>
      <c r="AU215" t="s">
        <v>90</v>
      </c>
      <c r="AV215" t="s">
        <v>2712</v>
      </c>
      <c r="AW215" t="s">
        <v>92</v>
      </c>
      <c r="AX215" t="s">
        <v>2713</v>
      </c>
      <c r="AY215" t="s">
        <v>94</v>
      </c>
      <c r="AZ215" t="s">
        <v>85</v>
      </c>
      <c r="BA215" t="s">
        <v>2908</v>
      </c>
      <c r="BB215" t="s">
        <v>2899</v>
      </c>
      <c r="BC215" t="s">
        <v>2901</v>
      </c>
      <c r="BD215" t="s">
        <v>2773</v>
      </c>
      <c r="BE215" t="s">
        <v>2774</v>
      </c>
      <c r="BF215" t="b">
        <f t="shared" si="3"/>
        <v>1</v>
      </c>
      <c r="BG215" t="b">
        <v>1</v>
      </c>
      <c r="BH215">
        <v>2023</v>
      </c>
      <c r="BI215" t="b">
        <v>1</v>
      </c>
      <c r="BJ215" t="s">
        <v>2715</v>
      </c>
      <c r="BK215" t="s">
        <v>2779</v>
      </c>
      <c r="BL215" t="b">
        <v>1</v>
      </c>
      <c r="BM215" t="b">
        <v>1</v>
      </c>
      <c r="BN215" t="b">
        <v>1</v>
      </c>
      <c r="BO215" t="s">
        <v>2909</v>
      </c>
      <c r="BP215" t="b">
        <f>IF(IFERROR(VLOOKUP(A215,[1]Planilha1!$A:$A,1,0),FALSE)=FALSE,FALSE,TRUE)</f>
        <v>1</v>
      </c>
    </row>
    <row r="216" spans="1:68" x14ac:dyDescent="0.25">
      <c r="A216" t="s">
        <v>2910</v>
      </c>
      <c r="B216" t="s">
        <v>68</v>
      </c>
      <c r="D216" s="1">
        <v>46204</v>
      </c>
      <c r="E216" s="1">
        <v>47664</v>
      </c>
      <c r="F216" t="s">
        <v>2911</v>
      </c>
      <c r="G216" t="s">
        <v>2912</v>
      </c>
      <c r="H216" s="2" t="s">
        <v>2913</v>
      </c>
      <c r="I216" t="s">
        <v>2912</v>
      </c>
      <c r="K216" t="s">
        <v>2914</v>
      </c>
      <c r="L216">
        <v>5116565</v>
      </c>
      <c r="M216" t="s">
        <v>2915</v>
      </c>
      <c r="N216" t="s">
        <v>1378</v>
      </c>
      <c r="O216" t="s">
        <v>1379</v>
      </c>
      <c r="P216" t="s">
        <v>529</v>
      </c>
      <c r="Q216" t="s">
        <v>2574</v>
      </c>
      <c r="R216" t="s">
        <v>2787</v>
      </c>
      <c r="S216" t="s">
        <v>2788</v>
      </c>
      <c r="T216" t="s">
        <v>111</v>
      </c>
      <c r="U216" t="s">
        <v>112</v>
      </c>
      <c r="V216" t="s">
        <v>82</v>
      </c>
      <c r="W216" t="s">
        <v>2787</v>
      </c>
      <c r="X216" t="s">
        <v>2788</v>
      </c>
      <c r="Y216" t="s">
        <v>111</v>
      </c>
      <c r="Z216" t="s">
        <v>112</v>
      </c>
      <c r="AA216" t="s">
        <v>82</v>
      </c>
      <c r="AB216" t="s">
        <v>83</v>
      </c>
      <c r="AC216" t="s">
        <v>1013</v>
      </c>
      <c r="AD216" t="s">
        <v>149</v>
      </c>
      <c r="AE216" t="s">
        <v>2916</v>
      </c>
      <c r="AF216" t="s">
        <v>85</v>
      </c>
      <c r="AG216" t="s">
        <v>2917</v>
      </c>
      <c r="AH216">
        <v>4</v>
      </c>
      <c r="AI216">
        <v>911040</v>
      </c>
      <c r="AJ216">
        <v>1254882.5</v>
      </c>
      <c r="AK216">
        <v>0</v>
      </c>
      <c r="AL216">
        <v>2165922.5</v>
      </c>
      <c r="AM216" t="s">
        <v>2787</v>
      </c>
      <c r="AN216" t="s">
        <v>2788</v>
      </c>
      <c r="AO216" t="s">
        <v>111</v>
      </c>
      <c r="AP216" t="s">
        <v>112</v>
      </c>
      <c r="AQ216" t="s">
        <v>82</v>
      </c>
      <c r="AR216" t="s">
        <v>2918</v>
      </c>
      <c r="AS216" s="3">
        <v>46202.465223658182</v>
      </c>
      <c r="AT216" t="s">
        <v>89</v>
      </c>
      <c r="AU216" t="s">
        <v>90</v>
      </c>
      <c r="AV216" t="s">
        <v>2712</v>
      </c>
      <c r="AW216" t="s">
        <v>92</v>
      </c>
      <c r="AX216" t="s">
        <v>2713</v>
      </c>
      <c r="AY216" t="s">
        <v>94</v>
      </c>
      <c r="AZ216" t="s">
        <v>85</v>
      </c>
      <c r="BA216" t="s">
        <v>2919</v>
      </c>
      <c r="BB216" t="s">
        <v>2910</v>
      </c>
      <c r="BC216" t="s">
        <v>2912</v>
      </c>
      <c r="BD216" t="s">
        <v>2787</v>
      </c>
      <c r="BE216" t="s">
        <v>2788</v>
      </c>
      <c r="BF216" t="b">
        <f t="shared" si="3"/>
        <v>1</v>
      </c>
      <c r="BG216" t="b">
        <v>1</v>
      </c>
      <c r="BH216">
        <v>2013</v>
      </c>
      <c r="BI216" t="b">
        <v>1</v>
      </c>
      <c r="BJ216" t="s">
        <v>2715</v>
      </c>
      <c r="BK216" t="s">
        <v>2716</v>
      </c>
      <c r="BL216" t="b">
        <v>1</v>
      </c>
      <c r="BM216" t="b">
        <v>1</v>
      </c>
      <c r="BN216" t="b">
        <v>1</v>
      </c>
      <c r="BO216" t="s">
        <v>2920</v>
      </c>
      <c r="BP216" t="b">
        <f>IF(IFERROR(VLOOKUP(A216,[1]Planilha1!$A:$A,1,0),FALSE)=FALSE,FALSE,TRUE)</f>
        <v>1</v>
      </c>
    </row>
    <row r="217" spans="1:68" x14ac:dyDescent="0.25">
      <c r="A217" t="s">
        <v>2921</v>
      </c>
      <c r="B217" t="s">
        <v>68</v>
      </c>
      <c r="D217" s="1">
        <v>46204</v>
      </c>
      <c r="E217" s="1">
        <v>47664</v>
      </c>
      <c r="F217" t="s">
        <v>2922</v>
      </c>
      <c r="G217" t="s">
        <v>2923</v>
      </c>
      <c r="H217" s="2" t="s">
        <v>2924</v>
      </c>
      <c r="I217" t="s">
        <v>2923</v>
      </c>
      <c r="K217" t="s">
        <v>2925</v>
      </c>
      <c r="L217">
        <v>5115551</v>
      </c>
      <c r="M217" t="s">
        <v>2926</v>
      </c>
      <c r="N217" t="s">
        <v>1025</v>
      </c>
      <c r="O217" t="s">
        <v>715</v>
      </c>
      <c r="P217" t="s">
        <v>107</v>
      </c>
      <c r="Q217" t="s">
        <v>2927</v>
      </c>
      <c r="R217" t="s">
        <v>2815</v>
      </c>
      <c r="S217" t="s">
        <v>2816</v>
      </c>
      <c r="T217" t="s">
        <v>184</v>
      </c>
      <c r="U217" t="s">
        <v>112</v>
      </c>
      <c r="V217" t="s">
        <v>82</v>
      </c>
      <c r="W217" t="s">
        <v>2815</v>
      </c>
      <c r="X217" t="s">
        <v>2816</v>
      </c>
      <c r="Y217" t="s">
        <v>184</v>
      </c>
      <c r="Z217" t="s">
        <v>112</v>
      </c>
      <c r="AA217" t="s">
        <v>82</v>
      </c>
      <c r="AB217" t="s">
        <v>83</v>
      </c>
      <c r="AC217" t="s">
        <v>113</v>
      </c>
      <c r="AD217" t="s">
        <v>559</v>
      </c>
      <c r="AE217" t="s">
        <v>2928</v>
      </c>
      <c r="AF217" t="s">
        <v>559</v>
      </c>
      <c r="AG217" t="s">
        <v>2929</v>
      </c>
      <c r="AH217">
        <v>13</v>
      </c>
      <c r="AI217">
        <v>1123200</v>
      </c>
      <c r="AJ217">
        <v>124834</v>
      </c>
      <c r="AK217">
        <v>0</v>
      </c>
      <c r="AL217">
        <v>1248034</v>
      </c>
      <c r="AM217" t="s">
        <v>2815</v>
      </c>
      <c r="AN217" t="s">
        <v>2816</v>
      </c>
      <c r="AO217" t="s">
        <v>184</v>
      </c>
      <c r="AP217" t="s">
        <v>112</v>
      </c>
      <c r="AQ217" t="s">
        <v>82</v>
      </c>
      <c r="AR217" t="s">
        <v>2930</v>
      </c>
      <c r="AS217" s="3">
        <v>46202.465223658182</v>
      </c>
      <c r="AT217" t="s">
        <v>89</v>
      </c>
      <c r="AU217" t="s">
        <v>90</v>
      </c>
      <c r="AV217" t="s">
        <v>2712</v>
      </c>
      <c r="AW217" t="s">
        <v>92</v>
      </c>
      <c r="AX217" t="s">
        <v>2713</v>
      </c>
      <c r="AY217" t="s">
        <v>94</v>
      </c>
      <c r="AZ217" t="s">
        <v>85</v>
      </c>
      <c r="BA217" t="s">
        <v>2931</v>
      </c>
      <c r="BB217" t="s">
        <v>2921</v>
      </c>
      <c r="BC217" t="s">
        <v>2923</v>
      </c>
      <c r="BD217" t="s">
        <v>2815</v>
      </c>
      <c r="BE217" t="s">
        <v>2816</v>
      </c>
      <c r="BF217" t="b">
        <f t="shared" si="3"/>
        <v>1</v>
      </c>
      <c r="BG217" t="b">
        <v>1</v>
      </c>
      <c r="BH217">
        <v>2003</v>
      </c>
      <c r="BI217" t="b">
        <v>1</v>
      </c>
      <c r="BJ217" t="s">
        <v>2715</v>
      </c>
      <c r="BK217" t="s">
        <v>2821</v>
      </c>
      <c r="BL217" t="b">
        <v>1</v>
      </c>
      <c r="BM217" t="b">
        <v>1</v>
      </c>
      <c r="BN217" t="b">
        <v>1</v>
      </c>
      <c r="BO217" t="s">
        <v>2932</v>
      </c>
      <c r="BP217" t="b">
        <f>IF(IFERROR(VLOOKUP(A217,[1]Planilha1!$A:$A,1,0),FALSE)=FALSE,FALSE,TRUE)</f>
        <v>1</v>
      </c>
    </row>
    <row r="218" spans="1:68" x14ac:dyDescent="0.25">
      <c r="A218" t="s">
        <v>2933</v>
      </c>
      <c r="B218" t="s">
        <v>68</v>
      </c>
      <c r="D218" s="1">
        <v>46204</v>
      </c>
      <c r="E218" s="1">
        <v>47664</v>
      </c>
      <c r="F218" t="s">
        <v>2934</v>
      </c>
      <c r="G218" t="s">
        <v>2935</v>
      </c>
      <c r="H218" s="2" t="s">
        <v>2936</v>
      </c>
      <c r="I218" t="s">
        <v>2935</v>
      </c>
      <c r="K218" t="s">
        <v>2937</v>
      </c>
      <c r="L218">
        <v>5116626</v>
      </c>
      <c r="M218" t="s">
        <v>2938</v>
      </c>
      <c r="N218" t="s">
        <v>105</v>
      </c>
      <c r="O218" t="s">
        <v>106</v>
      </c>
      <c r="P218" t="s">
        <v>107</v>
      </c>
      <c r="Q218" t="s">
        <v>108</v>
      </c>
      <c r="R218" t="s">
        <v>2787</v>
      </c>
      <c r="S218" t="s">
        <v>2788</v>
      </c>
      <c r="T218" t="s">
        <v>111</v>
      </c>
      <c r="U218" t="s">
        <v>112</v>
      </c>
      <c r="V218" t="s">
        <v>82</v>
      </c>
      <c r="W218" t="s">
        <v>2787</v>
      </c>
      <c r="X218" t="s">
        <v>2788</v>
      </c>
      <c r="Y218" t="s">
        <v>111</v>
      </c>
      <c r="Z218" t="s">
        <v>112</v>
      </c>
      <c r="AA218" t="s">
        <v>82</v>
      </c>
      <c r="AB218" t="s">
        <v>83</v>
      </c>
      <c r="AC218" t="s">
        <v>113</v>
      </c>
      <c r="AD218" t="s">
        <v>149</v>
      </c>
      <c r="AE218" t="s">
        <v>2939</v>
      </c>
      <c r="AF218" t="s">
        <v>85</v>
      </c>
      <c r="AG218" t="s">
        <v>2940</v>
      </c>
      <c r="AH218">
        <v>6</v>
      </c>
      <c r="AI218">
        <v>1029120</v>
      </c>
      <c r="AJ218">
        <v>148650</v>
      </c>
      <c r="AK218">
        <v>0</v>
      </c>
      <c r="AL218">
        <v>1177770</v>
      </c>
      <c r="AM218" t="s">
        <v>2787</v>
      </c>
      <c r="AN218" t="s">
        <v>2788</v>
      </c>
      <c r="AO218" t="s">
        <v>111</v>
      </c>
      <c r="AP218" t="s">
        <v>112</v>
      </c>
      <c r="AQ218" t="s">
        <v>82</v>
      </c>
      <c r="AR218" t="s">
        <v>2941</v>
      </c>
      <c r="AS218" s="3">
        <v>46202.465223658182</v>
      </c>
      <c r="AT218" t="s">
        <v>89</v>
      </c>
      <c r="AU218" t="s">
        <v>90</v>
      </c>
      <c r="AV218" t="s">
        <v>2712</v>
      </c>
      <c r="AW218" t="s">
        <v>92</v>
      </c>
      <c r="AX218" t="s">
        <v>2713</v>
      </c>
      <c r="AY218" t="s">
        <v>94</v>
      </c>
      <c r="AZ218" t="s">
        <v>85</v>
      </c>
      <c r="BA218" t="s">
        <v>2942</v>
      </c>
      <c r="BB218" t="s">
        <v>2933</v>
      </c>
      <c r="BC218" t="s">
        <v>2935</v>
      </c>
      <c r="BD218" t="s">
        <v>2787</v>
      </c>
      <c r="BE218" t="s">
        <v>2788</v>
      </c>
      <c r="BF218" t="b">
        <f t="shared" si="3"/>
        <v>1</v>
      </c>
      <c r="BG218" t="b">
        <v>1</v>
      </c>
      <c r="BH218">
        <v>2016</v>
      </c>
      <c r="BI218" t="b">
        <v>1</v>
      </c>
      <c r="BJ218" t="s">
        <v>2715</v>
      </c>
      <c r="BK218" t="s">
        <v>2716</v>
      </c>
      <c r="BL218" t="b">
        <v>1</v>
      </c>
      <c r="BM218" t="b">
        <v>1</v>
      </c>
      <c r="BN218" t="b">
        <v>1</v>
      </c>
      <c r="BO218" t="s">
        <v>2943</v>
      </c>
      <c r="BP218" t="b">
        <f>IF(IFERROR(VLOOKUP(A218,[1]Planilha1!$A:$A,1,0),FALSE)=FALSE,FALSE,TRUE)</f>
        <v>1</v>
      </c>
    </row>
    <row r="219" spans="1:68" x14ac:dyDescent="0.25">
      <c r="A219" t="s">
        <v>2944</v>
      </c>
      <c r="B219" t="s">
        <v>68</v>
      </c>
      <c r="D219" s="1">
        <v>46204</v>
      </c>
      <c r="E219" s="1">
        <v>47664</v>
      </c>
      <c r="F219" t="s">
        <v>2945</v>
      </c>
      <c r="G219" t="s">
        <v>2946</v>
      </c>
      <c r="H219" s="2" t="s">
        <v>2947</v>
      </c>
      <c r="I219" t="s">
        <v>2946</v>
      </c>
      <c r="K219" t="s">
        <v>2948</v>
      </c>
      <c r="L219">
        <v>5116545</v>
      </c>
      <c r="M219" t="s">
        <v>2949</v>
      </c>
      <c r="N219" t="s">
        <v>2853</v>
      </c>
      <c r="O219" t="s">
        <v>390</v>
      </c>
      <c r="P219" t="s">
        <v>107</v>
      </c>
      <c r="Q219" t="s">
        <v>2854</v>
      </c>
      <c r="R219" t="s">
        <v>2773</v>
      </c>
      <c r="S219" t="s">
        <v>2774</v>
      </c>
      <c r="T219" t="s">
        <v>184</v>
      </c>
      <c r="U219" t="s">
        <v>112</v>
      </c>
      <c r="V219" t="s">
        <v>82</v>
      </c>
      <c r="W219" t="s">
        <v>2773</v>
      </c>
      <c r="X219" t="s">
        <v>2774</v>
      </c>
      <c r="Y219" t="s">
        <v>184</v>
      </c>
      <c r="Z219" t="s">
        <v>112</v>
      </c>
      <c r="AA219" t="s">
        <v>82</v>
      </c>
      <c r="AB219" t="s">
        <v>83</v>
      </c>
      <c r="AC219" t="s">
        <v>202</v>
      </c>
      <c r="AD219" t="s">
        <v>149</v>
      </c>
      <c r="AE219" t="s">
        <v>2950</v>
      </c>
      <c r="AF219" t="s">
        <v>85</v>
      </c>
      <c r="AG219" t="s">
        <v>2951</v>
      </c>
      <c r="AH219">
        <v>4</v>
      </c>
      <c r="AI219">
        <v>511680</v>
      </c>
      <c r="AJ219">
        <v>73900</v>
      </c>
      <c r="AK219">
        <v>0</v>
      </c>
      <c r="AL219">
        <v>585580</v>
      </c>
      <c r="AM219" t="s">
        <v>2773</v>
      </c>
      <c r="AN219" t="s">
        <v>2774</v>
      </c>
      <c r="AO219" t="s">
        <v>184</v>
      </c>
      <c r="AP219" t="s">
        <v>112</v>
      </c>
      <c r="AQ219" t="s">
        <v>82</v>
      </c>
      <c r="AR219" t="s">
        <v>2952</v>
      </c>
      <c r="AS219" s="3">
        <v>46202.465223658182</v>
      </c>
      <c r="AT219" t="s">
        <v>89</v>
      </c>
      <c r="AU219" t="s">
        <v>90</v>
      </c>
      <c r="AV219" t="s">
        <v>2712</v>
      </c>
      <c r="AW219" t="s">
        <v>92</v>
      </c>
      <c r="AX219" t="s">
        <v>2713</v>
      </c>
      <c r="AY219" t="s">
        <v>94</v>
      </c>
      <c r="AZ219" t="s">
        <v>85</v>
      </c>
      <c r="BA219" t="s">
        <v>2953</v>
      </c>
      <c r="BB219" t="s">
        <v>2944</v>
      </c>
      <c r="BC219" t="s">
        <v>2946</v>
      </c>
      <c r="BD219" t="s">
        <v>2773</v>
      </c>
      <c r="BE219" t="s">
        <v>2774</v>
      </c>
      <c r="BF219" t="b">
        <f t="shared" si="3"/>
        <v>1</v>
      </c>
      <c r="BG219" t="b">
        <v>1</v>
      </c>
      <c r="BH219">
        <v>2012</v>
      </c>
      <c r="BI219" t="b">
        <v>1</v>
      </c>
      <c r="BJ219" t="s">
        <v>2715</v>
      </c>
      <c r="BK219" t="s">
        <v>2779</v>
      </c>
      <c r="BL219" t="b">
        <v>1</v>
      </c>
      <c r="BM219" t="b">
        <v>1</v>
      </c>
      <c r="BN219" t="b">
        <v>1</v>
      </c>
      <c r="BO219" t="s">
        <v>2909</v>
      </c>
      <c r="BP219" t="b">
        <f>IF(IFERROR(VLOOKUP(A219,[1]Planilha1!$A:$A,1,0),FALSE)=FALSE,FALSE,TRUE)</f>
        <v>1</v>
      </c>
    </row>
    <row r="220" spans="1:68" x14ac:dyDescent="0.25">
      <c r="A220" t="s">
        <v>2954</v>
      </c>
      <c r="B220" t="s">
        <v>68</v>
      </c>
      <c r="D220" s="1">
        <v>46204</v>
      </c>
      <c r="E220" s="1">
        <v>47664</v>
      </c>
      <c r="F220" t="s">
        <v>2955</v>
      </c>
      <c r="G220" t="s">
        <v>2956</v>
      </c>
      <c r="H220" s="2" t="s">
        <v>2957</v>
      </c>
      <c r="I220" t="s">
        <v>2956</v>
      </c>
      <c r="K220" t="s">
        <v>2958</v>
      </c>
      <c r="L220">
        <v>5116798</v>
      </c>
      <c r="M220" t="s">
        <v>2959</v>
      </c>
      <c r="N220" t="s">
        <v>105</v>
      </c>
      <c r="O220" t="s">
        <v>106</v>
      </c>
      <c r="P220" t="s">
        <v>107</v>
      </c>
      <c r="Q220" t="s">
        <v>2960</v>
      </c>
      <c r="R220" t="s">
        <v>1133</v>
      </c>
      <c r="S220" t="s">
        <v>1134</v>
      </c>
      <c r="T220" t="s">
        <v>184</v>
      </c>
      <c r="U220" t="s">
        <v>112</v>
      </c>
      <c r="V220" t="s">
        <v>82</v>
      </c>
      <c r="W220" t="s">
        <v>1133</v>
      </c>
      <c r="X220" t="s">
        <v>1134</v>
      </c>
      <c r="Y220" t="s">
        <v>184</v>
      </c>
      <c r="Z220" t="s">
        <v>112</v>
      </c>
      <c r="AA220" t="s">
        <v>82</v>
      </c>
      <c r="AB220" t="s">
        <v>83</v>
      </c>
      <c r="AC220" t="s">
        <v>113</v>
      </c>
      <c r="AD220" t="s">
        <v>85</v>
      </c>
      <c r="AE220" t="s">
        <v>2961</v>
      </c>
      <c r="AF220" t="s">
        <v>85</v>
      </c>
      <c r="AG220" t="s">
        <v>2962</v>
      </c>
      <c r="AH220">
        <v>6</v>
      </c>
      <c r="AI220">
        <v>600340</v>
      </c>
      <c r="AJ220">
        <v>66000</v>
      </c>
      <c r="AK220">
        <v>0</v>
      </c>
      <c r="AL220">
        <v>666340</v>
      </c>
      <c r="AM220" t="s">
        <v>1133</v>
      </c>
      <c r="AN220" t="s">
        <v>1134</v>
      </c>
      <c r="AO220" t="s">
        <v>184</v>
      </c>
      <c r="AP220" t="s">
        <v>112</v>
      </c>
      <c r="AQ220" t="s">
        <v>82</v>
      </c>
      <c r="AR220" t="s">
        <v>2963</v>
      </c>
      <c r="AS220" s="3">
        <v>46202.465223658182</v>
      </c>
      <c r="AT220" t="s">
        <v>89</v>
      </c>
      <c r="AU220" t="s">
        <v>90</v>
      </c>
      <c r="AV220" t="s">
        <v>2712</v>
      </c>
      <c r="AW220" t="s">
        <v>92</v>
      </c>
      <c r="AX220" t="s">
        <v>2713</v>
      </c>
      <c r="AY220" t="s">
        <v>94</v>
      </c>
      <c r="AZ220" t="s">
        <v>85</v>
      </c>
      <c r="BA220" t="s">
        <v>2964</v>
      </c>
      <c r="BB220" t="s">
        <v>2954</v>
      </c>
      <c r="BC220" t="s">
        <v>2956</v>
      </c>
      <c r="BD220" t="s">
        <v>1133</v>
      </c>
      <c r="BE220" t="s">
        <v>1134</v>
      </c>
      <c r="BF220" t="b">
        <f t="shared" si="3"/>
        <v>1</v>
      </c>
      <c r="BG220" t="b">
        <v>1</v>
      </c>
      <c r="BH220">
        <v>2010</v>
      </c>
      <c r="BI220" t="b">
        <v>1</v>
      </c>
      <c r="BJ220" t="s">
        <v>2715</v>
      </c>
      <c r="BK220" t="s">
        <v>1140</v>
      </c>
      <c r="BL220" t="b">
        <v>1</v>
      </c>
      <c r="BM220" t="b">
        <v>1</v>
      </c>
      <c r="BN220" t="b">
        <v>1</v>
      </c>
      <c r="BO220" t="s">
        <v>2965</v>
      </c>
      <c r="BP220" t="b">
        <f>IF(IFERROR(VLOOKUP(A220,[1]Planilha1!$A:$A,1,0),FALSE)=FALSE,FALSE,TRUE)</f>
        <v>1</v>
      </c>
    </row>
    <row r="221" spans="1:68" x14ac:dyDescent="0.25">
      <c r="A221" t="s">
        <v>2966</v>
      </c>
      <c r="B221" t="s">
        <v>68</v>
      </c>
      <c r="D221" s="1">
        <v>46204</v>
      </c>
      <c r="E221" s="1">
        <v>47664</v>
      </c>
      <c r="F221" t="s">
        <v>2967</v>
      </c>
      <c r="G221" t="s">
        <v>2968</v>
      </c>
      <c r="H221" s="2" t="s">
        <v>2969</v>
      </c>
      <c r="I221" t="s">
        <v>2968</v>
      </c>
      <c r="K221" t="s">
        <v>2970</v>
      </c>
      <c r="L221">
        <v>5116793</v>
      </c>
      <c r="M221" t="s">
        <v>2971</v>
      </c>
      <c r="N221" t="s">
        <v>1130</v>
      </c>
      <c r="O221" t="s">
        <v>1131</v>
      </c>
      <c r="P221" t="s">
        <v>529</v>
      </c>
      <c r="Q221" t="s">
        <v>1132</v>
      </c>
      <c r="R221" t="s">
        <v>2972</v>
      </c>
      <c r="S221" t="s">
        <v>2973</v>
      </c>
      <c r="T221" t="s">
        <v>300</v>
      </c>
      <c r="U221" t="s">
        <v>301</v>
      </c>
      <c r="V221" t="s">
        <v>82</v>
      </c>
      <c r="W221" t="s">
        <v>2972</v>
      </c>
      <c r="X221" t="s">
        <v>2973</v>
      </c>
      <c r="Y221" t="s">
        <v>300</v>
      </c>
      <c r="Z221" t="s">
        <v>301</v>
      </c>
      <c r="AA221" t="s">
        <v>82</v>
      </c>
      <c r="AB221" t="s">
        <v>83</v>
      </c>
      <c r="AC221" t="s">
        <v>1135</v>
      </c>
      <c r="AD221" t="s">
        <v>149</v>
      </c>
      <c r="AE221" t="s">
        <v>2974</v>
      </c>
      <c r="AF221" t="s">
        <v>85</v>
      </c>
      <c r="AG221" t="s">
        <v>2975</v>
      </c>
      <c r="AH221">
        <v>8</v>
      </c>
      <c r="AI221">
        <v>569400</v>
      </c>
      <c r="AJ221">
        <v>40000</v>
      </c>
      <c r="AK221">
        <v>0</v>
      </c>
      <c r="AL221">
        <v>609400</v>
      </c>
      <c r="AM221" t="s">
        <v>2972</v>
      </c>
      <c r="AN221" t="s">
        <v>2973</v>
      </c>
      <c r="AO221" t="s">
        <v>300</v>
      </c>
      <c r="AP221" t="s">
        <v>301</v>
      </c>
      <c r="AQ221" t="s">
        <v>82</v>
      </c>
      <c r="AR221" t="s">
        <v>2976</v>
      </c>
      <c r="AS221" s="3">
        <v>46202.465223658182</v>
      </c>
      <c r="AT221" t="s">
        <v>89</v>
      </c>
      <c r="AU221" t="s">
        <v>90</v>
      </c>
      <c r="AV221" t="s">
        <v>2712</v>
      </c>
      <c r="AW221" t="s">
        <v>92</v>
      </c>
      <c r="AX221" t="s">
        <v>2713</v>
      </c>
      <c r="AY221" t="s">
        <v>94</v>
      </c>
      <c r="AZ221" t="s">
        <v>85</v>
      </c>
      <c r="BA221" t="s">
        <v>2977</v>
      </c>
      <c r="BB221" t="s">
        <v>2966</v>
      </c>
      <c r="BC221" t="s">
        <v>2968</v>
      </c>
      <c r="BD221" t="s">
        <v>2972</v>
      </c>
      <c r="BE221" t="s">
        <v>2973</v>
      </c>
      <c r="BF221" t="b">
        <f t="shared" si="3"/>
        <v>1</v>
      </c>
      <c r="BG221" t="b">
        <v>1</v>
      </c>
      <c r="BH221">
        <v>2024</v>
      </c>
      <c r="BI221" t="b">
        <v>1</v>
      </c>
      <c r="BJ221" t="s">
        <v>2715</v>
      </c>
      <c r="BK221" t="s">
        <v>2978</v>
      </c>
      <c r="BL221" t="b">
        <v>1</v>
      </c>
      <c r="BM221" t="b">
        <v>1</v>
      </c>
      <c r="BN221" t="b">
        <v>1</v>
      </c>
      <c r="BO221" t="s">
        <v>2979</v>
      </c>
      <c r="BP221" t="b">
        <f>IF(IFERROR(VLOOKUP(A221,[1]Planilha1!$A:$A,1,0),FALSE)=FALSE,FALSE,TRUE)</f>
        <v>1</v>
      </c>
    </row>
    <row r="222" spans="1:68" x14ac:dyDescent="0.25">
      <c r="A222" t="s">
        <v>2980</v>
      </c>
      <c r="B222" t="s">
        <v>68</v>
      </c>
      <c r="D222" s="1">
        <v>46204</v>
      </c>
      <c r="E222" s="1">
        <v>47664</v>
      </c>
      <c r="F222" t="s">
        <v>2981</v>
      </c>
      <c r="G222" t="s">
        <v>2982</v>
      </c>
      <c r="H222" s="2" t="s">
        <v>2983</v>
      </c>
      <c r="I222" t="s">
        <v>2982</v>
      </c>
      <c r="K222" t="s">
        <v>2984</v>
      </c>
      <c r="L222">
        <v>5116891</v>
      </c>
      <c r="M222" t="s">
        <v>2985</v>
      </c>
      <c r="N222" t="s">
        <v>359</v>
      </c>
      <c r="O222" t="s">
        <v>360</v>
      </c>
      <c r="P222" t="s">
        <v>129</v>
      </c>
      <c r="Q222" t="s">
        <v>1767</v>
      </c>
      <c r="R222" t="s">
        <v>2815</v>
      </c>
      <c r="S222" t="s">
        <v>2816</v>
      </c>
      <c r="T222" t="s">
        <v>184</v>
      </c>
      <c r="U222" t="s">
        <v>112</v>
      </c>
      <c r="V222" t="s">
        <v>82</v>
      </c>
      <c r="W222" t="s">
        <v>2815</v>
      </c>
      <c r="X222" t="s">
        <v>2816</v>
      </c>
      <c r="Y222" t="s">
        <v>184</v>
      </c>
      <c r="Z222" t="s">
        <v>112</v>
      </c>
      <c r="AA222" t="s">
        <v>82</v>
      </c>
      <c r="AB222" t="s">
        <v>83</v>
      </c>
      <c r="AC222" t="s">
        <v>185</v>
      </c>
      <c r="AD222" t="s">
        <v>85</v>
      </c>
      <c r="AE222" t="s">
        <v>2986</v>
      </c>
      <c r="AF222" t="s">
        <v>85</v>
      </c>
      <c r="AG222" t="s">
        <v>2987</v>
      </c>
      <c r="AH222">
        <v>7</v>
      </c>
      <c r="AI222">
        <v>1034880</v>
      </c>
      <c r="AJ222">
        <v>149621.29999999999</v>
      </c>
      <c r="AK222">
        <v>0</v>
      </c>
      <c r="AL222">
        <v>1184501.3</v>
      </c>
      <c r="AM222" t="s">
        <v>2815</v>
      </c>
      <c r="AN222" t="s">
        <v>2816</v>
      </c>
      <c r="AO222" t="s">
        <v>184</v>
      </c>
      <c r="AP222" t="s">
        <v>112</v>
      </c>
      <c r="AQ222" t="s">
        <v>82</v>
      </c>
      <c r="AR222" t="s">
        <v>2988</v>
      </c>
      <c r="AS222" s="3">
        <v>46202.465223658182</v>
      </c>
      <c r="AT222" t="s">
        <v>89</v>
      </c>
      <c r="AU222" t="s">
        <v>90</v>
      </c>
      <c r="AV222" t="s">
        <v>2712</v>
      </c>
      <c r="AW222" t="s">
        <v>92</v>
      </c>
      <c r="AX222" t="s">
        <v>2713</v>
      </c>
      <c r="AY222" t="s">
        <v>94</v>
      </c>
      <c r="AZ222" t="s">
        <v>85</v>
      </c>
      <c r="BA222" t="s">
        <v>2989</v>
      </c>
      <c r="BB222" t="s">
        <v>2980</v>
      </c>
      <c r="BC222" t="s">
        <v>2982</v>
      </c>
      <c r="BD222" t="s">
        <v>2815</v>
      </c>
      <c r="BE222" t="s">
        <v>2816</v>
      </c>
      <c r="BF222" t="b">
        <f t="shared" si="3"/>
        <v>1</v>
      </c>
      <c r="BG222" t="b">
        <v>1</v>
      </c>
      <c r="BH222">
        <v>2015</v>
      </c>
      <c r="BI222" t="b">
        <v>1</v>
      </c>
      <c r="BJ222" t="s">
        <v>2715</v>
      </c>
      <c r="BK222" t="s">
        <v>2821</v>
      </c>
      <c r="BL222" t="b">
        <v>1</v>
      </c>
      <c r="BM222" t="b">
        <v>1</v>
      </c>
      <c r="BN222" t="b">
        <v>1</v>
      </c>
      <c r="BO222" t="s">
        <v>2990</v>
      </c>
      <c r="BP222" t="b">
        <f>IF(IFERROR(VLOOKUP(A222,[1]Planilha1!$A:$A,1,0),FALSE)=FALSE,FALSE,TRUE)</f>
        <v>1</v>
      </c>
    </row>
    <row r="223" spans="1:68" x14ac:dyDescent="0.25">
      <c r="A223" t="s">
        <v>2991</v>
      </c>
      <c r="B223" t="s">
        <v>68</v>
      </c>
      <c r="D223" s="1">
        <v>46204</v>
      </c>
      <c r="E223" s="1">
        <v>47664</v>
      </c>
      <c r="F223" t="s">
        <v>2992</v>
      </c>
      <c r="G223" t="s">
        <v>2993</v>
      </c>
      <c r="H223" s="2" t="s">
        <v>2994</v>
      </c>
      <c r="I223" t="s">
        <v>2993</v>
      </c>
      <c r="K223" t="s">
        <v>2995</v>
      </c>
      <c r="L223">
        <v>5116751</v>
      </c>
      <c r="M223" t="s">
        <v>2996</v>
      </c>
      <c r="N223" t="s">
        <v>1865</v>
      </c>
      <c r="O223" t="s">
        <v>1866</v>
      </c>
      <c r="P223" t="s">
        <v>439</v>
      </c>
      <c r="Q223" t="s">
        <v>2997</v>
      </c>
      <c r="R223" t="s">
        <v>2787</v>
      </c>
      <c r="S223" t="s">
        <v>2788</v>
      </c>
      <c r="T223" t="s">
        <v>111</v>
      </c>
      <c r="U223" t="s">
        <v>112</v>
      </c>
      <c r="V223" t="s">
        <v>82</v>
      </c>
      <c r="W223" t="s">
        <v>2787</v>
      </c>
      <c r="X223" t="s">
        <v>2788</v>
      </c>
      <c r="Y223" t="s">
        <v>111</v>
      </c>
      <c r="Z223" t="s">
        <v>112</v>
      </c>
      <c r="AA223" t="s">
        <v>82</v>
      </c>
      <c r="AB223" t="s">
        <v>83</v>
      </c>
      <c r="AC223" t="s">
        <v>185</v>
      </c>
      <c r="AD223" t="s">
        <v>149</v>
      </c>
      <c r="AE223" t="s">
        <v>2998</v>
      </c>
      <c r="AF223" t="s">
        <v>85</v>
      </c>
      <c r="AG223" t="s">
        <v>2999</v>
      </c>
      <c r="AH223">
        <v>8</v>
      </c>
      <c r="AI223">
        <v>1151910</v>
      </c>
      <c r="AJ223">
        <v>127986</v>
      </c>
      <c r="AK223">
        <v>0</v>
      </c>
      <c r="AL223">
        <v>1279896</v>
      </c>
      <c r="AM223" t="s">
        <v>2787</v>
      </c>
      <c r="AN223" t="s">
        <v>2788</v>
      </c>
      <c r="AO223" t="s">
        <v>111</v>
      </c>
      <c r="AP223" t="s">
        <v>112</v>
      </c>
      <c r="AQ223" t="s">
        <v>82</v>
      </c>
      <c r="AR223" t="s">
        <v>3000</v>
      </c>
      <c r="AS223" s="3">
        <v>46202.465223658182</v>
      </c>
      <c r="AT223" t="s">
        <v>89</v>
      </c>
      <c r="AU223" t="s">
        <v>90</v>
      </c>
      <c r="AV223" t="s">
        <v>2712</v>
      </c>
      <c r="AW223" t="s">
        <v>92</v>
      </c>
      <c r="AX223" t="s">
        <v>2713</v>
      </c>
      <c r="AY223" t="s">
        <v>94</v>
      </c>
      <c r="AZ223" t="s">
        <v>85</v>
      </c>
      <c r="BA223" t="s">
        <v>3001</v>
      </c>
      <c r="BB223" t="s">
        <v>2991</v>
      </c>
      <c r="BC223" t="s">
        <v>2993</v>
      </c>
      <c r="BD223" t="s">
        <v>2787</v>
      </c>
      <c r="BE223" t="s">
        <v>2788</v>
      </c>
      <c r="BF223" t="b">
        <f t="shared" si="3"/>
        <v>1</v>
      </c>
      <c r="BG223" t="b">
        <v>1</v>
      </c>
      <c r="BH223">
        <v>2024</v>
      </c>
      <c r="BI223" t="b">
        <v>1</v>
      </c>
      <c r="BJ223" t="s">
        <v>2715</v>
      </c>
      <c r="BK223" t="s">
        <v>2716</v>
      </c>
      <c r="BL223" t="b">
        <v>1</v>
      </c>
      <c r="BM223" t="b">
        <v>1</v>
      </c>
      <c r="BN223" t="b">
        <v>1</v>
      </c>
      <c r="BO223" t="s">
        <v>2793</v>
      </c>
      <c r="BP223" t="b">
        <f>IF(IFERROR(VLOOKUP(A223,[1]Planilha1!$A:$A,1,0),FALSE)=FALSE,FALSE,TRUE)</f>
        <v>1</v>
      </c>
    </row>
    <row r="224" spans="1:68" x14ac:dyDescent="0.25">
      <c r="A224" t="s">
        <v>3002</v>
      </c>
      <c r="B224" t="s">
        <v>68</v>
      </c>
      <c r="D224" s="1">
        <v>46204</v>
      </c>
      <c r="E224" s="1">
        <v>47664</v>
      </c>
      <c r="F224" t="s">
        <v>3003</v>
      </c>
      <c r="G224" t="s">
        <v>3004</v>
      </c>
      <c r="H224" s="2" t="s">
        <v>3005</v>
      </c>
      <c r="I224" t="s">
        <v>3004</v>
      </c>
      <c r="K224" t="s">
        <v>3006</v>
      </c>
      <c r="L224">
        <v>5116644</v>
      </c>
      <c r="M224" t="s">
        <v>3007</v>
      </c>
      <c r="N224" t="s">
        <v>359</v>
      </c>
      <c r="O224" t="s">
        <v>360</v>
      </c>
      <c r="P224" t="s">
        <v>129</v>
      </c>
      <c r="Q224" t="s">
        <v>3008</v>
      </c>
      <c r="R224" t="s">
        <v>2815</v>
      </c>
      <c r="S224" t="s">
        <v>2816</v>
      </c>
      <c r="T224" t="s">
        <v>184</v>
      </c>
      <c r="U224" t="s">
        <v>112</v>
      </c>
      <c r="V224" t="s">
        <v>82</v>
      </c>
      <c r="W224" t="s">
        <v>2815</v>
      </c>
      <c r="X224" t="s">
        <v>2816</v>
      </c>
      <c r="Y224" t="s">
        <v>184</v>
      </c>
      <c r="Z224" t="s">
        <v>112</v>
      </c>
      <c r="AA224" t="s">
        <v>82</v>
      </c>
      <c r="AB224" t="s">
        <v>83</v>
      </c>
      <c r="AC224" t="s">
        <v>185</v>
      </c>
      <c r="AD224" t="s">
        <v>149</v>
      </c>
      <c r="AE224" t="s">
        <v>3009</v>
      </c>
      <c r="AF224" t="s">
        <v>85</v>
      </c>
      <c r="AG224" t="s">
        <v>3010</v>
      </c>
      <c r="AH224">
        <v>31</v>
      </c>
      <c r="AI224">
        <v>1040880</v>
      </c>
      <c r="AJ224">
        <v>108794.54</v>
      </c>
      <c r="AK224">
        <v>0</v>
      </c>
      <c r="AL224">
        <v>1149674.54</v>
      </c>
      <c r="AM224" t="s">
        <v>2815</v>
      </c>
      <c r="AN224" t="s">
        <v>2816</v>
      </c>
      <c r="AO224" t="s">
        <v>184</v>
      </c>
      <c r="AP224" t="s">
        <v>112</v>
      </c>
      <c r="AQ224" t="s">
        <v>82</v>
      </c>
      <c r="AR224" t="s">
        <v>3011</v>
      </c>
      <c r="AS224" s="3">
        <v>46202.465223658182</v>
      </c>
      <c r="AT224" t="s">
        <v>89</v>
      </c>
      <c r="AU224" t="s">
        <v>90</v>
      </c>
      <c r="AV224" t="s">
        <v>2712</v>
      </c>
      <c r="AW224" t="s">
        <v>92</v>
      </c>
      <c r="AX224" t="s">
        <v>2713</v>
      </c>
      <c r="AY224" t="s">
        <v>94</v>
      </c>
      <c r="AZ224" t="s">
        <v>85</v>
      </c>
      <c r="BA224" t="s">
        <v>3012</v>
      </c>
      <c r="BB224" t="s">
        <v>3002</v>
      </c>
      <c r="BC224" t="s">
        <v>3004</v>
      </c>
      <c r="BD224" t="s">
        <v>2815</v>
      </c>
      <c r="BE224" t="s">
        <v>2816</v>
      </c>
      <c r="BF224" t="b">
        <f t="shared" si="3"/>
        <v>1</v>
      </c>
      <c r="BG224" t="b">
        <v>1</v>
      </c>
      <c r="BH224">
        <v>2000</v>
      </c>
      <c r="BI224" t="b">
        <v>1</v>
      </c>
      <c r="BJ224" t="s">
        <v>2715</v>
      </c>
      <c r="BK224" t="s">
        <v>2821</v>
      </c>
      <c r="BL224" t="b">
        <v>1</v>
      </c>
      <c r="BM224" t="b">
        <v>1</v>
      </c>
      <c r="BN224" t="b">
        <v>1</v>
      </c>
      <c r="BO224" t="s">
        <v>3013</v>
      </c>
      <c r="BP224" t="b">
        <f>IF(IFERROR(VLOOKUP(A224,[1]Planilha1!$A:$A,1,0),FALSE)=FALSE,FALSE,TRUE)</f>
        <v>1</v>
      </c>
    </row>
    <row r="225" spans="1:68" x14ac:dyDescent="0.25">
      <c r="A225" t="s">
        <v>3014</v>
      </c>
      <c r="B225" t="s">
        <v>68</v>
      </c>
      <c r="D225" s="1">
        <v>46204</v>
      </c>
      <c r="E225" s="1">
        <v>47664</v>
      </c>
      <c r="F225" t="s">
        <v>3015</v>
      </c>
      <c r="G225" t="s">
        <v>3016</v>
      </c>
      <c r="H225" s="2" t="s">
        <v>3017</v>
      </c>
      <c r="I225" t="s">
        <v>3016</v>
      </c>
      <c r="K225" t="s">
        <v>3018</v>
      </c>
      <c r="L225">
        <v>5116819</v>
      </c>
      <c r="M225" t="s">
        <v>3019</v>
      </c>
      <c r="N225" t="s">
        <v>3020</v>
      </c>
      <c r="O225" t="s">
        <v>3021</v>
      </c>
      <c r="P225" t="s">
        <v>230</v>
      </c>
      <c r="Q225" t="s">
        <v>3022</v>
      </c>
      <c r="R225" t="s">
        <v>2707</v>
      </c>
      <c r="S225" t="s">
        <v>2708</v>
      </c>
      <c r="T225" t="s">
        <v>184</v>
      </c>
      <c r="U225" t="s">
        <v>112</v>
      </c>
      <c r="V225" t="s">
        <v>82</v>
      </c>
      <c r="W225" t="s">
        <v>2707</v>
      </c>
      <c r="X225" t="s">
        <v>2708</v>
      </c>
      <c r="Y225" t="s">
        <v>184</v>
      </c>
      <c r="Z225" t="s">
        <v>112</v>
      </c>
      <c r="AA225" t="s">
        <v>82</v>
      </c>
      <c r="AB225" t="s">
        <v>83</v>
      </c>
      <c r="AC225" t="s">
        <v>113</v>
      </c>
      <c r="AD225" t="s">
        <v>85</v>
      </c>
      <c r="AE225" t="s">
        <v>3023</v>
      </c>
      <c r="AF225" t="s">
        <v>85</v>
      </c>
      <c r="AG225" t="s">
        <v>3024</v>
      </c>
      <c r="AH225">
        <v>7</v>
      </c>
      <c r="AI225">
        <v>1060800</v>
      </c>
      <c r="AJ225">
        <v>114460.47</v>
      </c>
      <c r="AK225">
        <v>0</v>
      </c>
      <c r="AL225">
        <v>1175260.47</v>
      </c>
      <c r="AM225" t="s">
        <v>2707</v>
      </c>
      <c r="AN225" t="s">
        <v>2708</v>
      </c>
      <c r="AO225" t="s">
        <v>184</v>
      </c>
      <c r="AP225" t="s">
        <v>112</v>
      </c>
      <c r="AQ225" t="s">
        <v>82</v>
      </c>
      <c r="AR225" t="s">
        <v>3025</v>
      </c>
      <c r="AS225" s="3">
        <v>46202.465223658182</v>
      </c>
      <c r="AT225" t="s">
        <v>89</v>
      </c>
      <c r="AU225" t="s">
        <v>90</v>
      </c>
      <c r="AV225" t="s">
        <v>2712</v>
      </c>
      <c r="AW225" t="s">
        <v>92</v>
      </c>
      <c r="AX225" t="s">
        <v>2713</v>
      </c>
      <c r="AY225" t="s">
        <v>94</v>
      </c>
      <c r="AZ225" t="s">
        <v>85</v>
      </c>
      <c r="BA225" t="s">
        <v>3026</v>
      </c>
      <c r="BB225" t="s">
        <v>3014</v>
      </c>
      <c r="BC225" t="s">
        <v>3016</v>
      </c>
      <c r="BD225" t="s">
        <v>2707</v>
      </c>
      <c r="BE225" t="s">
        <v>2708</v>
      </c>
      <c r="BF225" t="b">
        <f t="shared" si="3"/>
        <v>1</v>
      </c>
      <c r="BG225" t="b">
        <v>1</v>
      </c>
      <c r="BH225">
        <v>2002</v>
      </c>
      <c r="BI225" t="b">
        <v>1</v>
      </c>
      <c r="BJ225" t="s">
        <v>2715</v>
      </c>
      <c r="BK225" t="s">
        <v>2716</v>
      </c>
      <c r="BL225" t="b">
        <v>1</v>
      </c>
      <c r="BM225" t="b">
        <v>1</v>
      </c>
      <c r="BN225" t="b">
        <v>0</v>
      </c>
      <c r="BO225" t="s">
        <v>3027</v>
      </c>
      <c r="BP225" t="b">
        <f>IF(IFERROR(VLOOKUP(A225,[1]Planilha1!$A:$A,1,0),FALSE)=FALSE,FALSE,TRUE)</f>
        <v>1</v>
      </c>
    </row>
    <row r="226" spans="1:68" x14ac:dyDescent="0.25">
      <c r="A226" t="s">
        <v>3028</v>
      </c>
      <c r="B226" t="s">
        <v>68</v>
      </c>
      <c r="D226" s="1">
        <v>46204</v>
      </c>
      <c r="E226" s="1">
        <v>47664</v>
      </c>
      <c r="F226" t="s">
        <v>3029</v>
      </c>
      <c r="G226" t="s">
        <v>3030</v>
      </c>
      <c r="H226" s="2" t="s">
        <v>3031</v>
      </c>
      <c r="I226" t="s">
        <v>3030</v>
      </c>
      <c r="K226" t="s">
        <v>3032</v>
      </c>
      <c r="L226">
        <v>5116532</v>
      </c>
      <c r="M226" t="s">
        <v>3033</v>
      </c>
      <c r="N226" t="s">
        <v>127</v>
      </c>
      <c r="O226" t="s">
        <v>128</v>
      </c>
      <c r="P226" t="s">
        <v>129</v>
      </c>
      <c r="Q226" t="s">
        <v>3034</v>
      </c>
      <c r="R226" t="s">
        <v>2707</v>
      </c>
      <c r="S226" t="s">
        <v>2708</v>
      </c>
      <c r="T226" t="s">
        <v>184</v>
      </c>
      <c r="U226" t="s">
        <v>112</v>
      </c>
      <c r="V226" t="s">
        <v>82</v>
      </c>
      <c r="W226" t="s">
        <v>2707</v>
      </c>
      <c r="X226" t="s">
        <v>2708</v>
      </c>
      <c r="Y226" t="s">
        <v>184</v>
      </c>
      <c r="Z226" t="s">
        <v>112</v>
      </c>
      <c r="AA226" t="s">
        <v>82</v>
      </c>
      <c r="AB226" t="s">
        <v>83</v>
      </c>
      <c r="AC226" t="s">
        <v>135</v>
      </c>
      <c r="AD226" t="s">
        <v>252</v>
      </c>
      <c r="AE226" t="s">
        <v>3035</v>
      </c>
      <c r="AF226" t="s">
        <v>85</v>
      </c>
      <c r="AG226" t="s">
        <v>3036</v>
      </c>
      <c r="AH226">
        <v>9</v>
      </c>
      <c r="AI226">
        <v>1354080</v>
      </c>
      <c r="AJ226">
        <v>145920</v>
      </c>
      <c r="AK226">
        <v>0</v>
      </c>
      <c r="AL226">
        <v>1500000</v>
      </c>
      <c r="AM226" t="s">
        <v>2707</v>
      </c>
      <c r="AN226" t="s">
        <v>2708</v>
      </c>
      <c r="AO226" t="s">
        <v>184</v>
      </c>
      <c r="AP226" t="s">
        <v>112</v>
      </c>
      <c r="AQ226" t="s">
        <v>82</v>
      </c>
      <c r="AR226" t="s">
        <v>3037</v>
      </c>
      <c r="AS226" s="3">
        <v>46202.465223658182</v>
      </c>
      <c r="AT226" t="s">
        <v>89</v>
      </c>
      <c r="AU226" t="s">
        <v>90</v>
      </c>
      <c r="AV226" t="s">
        <v>2712</v>
      </c>
      <c r="AW226" t="s">
        <v>92</v>
      </c>
      <c r="AX226" t="s">
        <v>2713</v>
      </c>
      <c r="AY226" t="s">
        <v>94</v>
      </c>
      <c r="AZ226" t="s">
        <v>85</v>
      </c>
      <c r="BA226" t="s">
        <v>3038</v>
      </c>
      <c r="BB226" t="s">
        <v>3028</v>
      </c>
      <c r="BC226" t="s">
        <v>3030</v>
      </c>
      <c r="BD226" t="s">
        <v>2707</v>
      </c>
      <c r="BE226" t="s">
        <v>2708</v>
      </c>
      <c r="BF226" t="b">
        <f t="shared" si="3"/>
        <v>1</v>
      </c>
      <c r="BG226" t="b">
        <v>1</v>
      </c>
      <c r="BH226">
        <v>2023</v>
      </c>
      <c r="BI226" t="b">
        <v>1</v>
      </c>
      <c r="BJ226" t="s">
        <v>2715</v>
      </c>
      <c r="BK226" t="s">
        <v>2716</v>
      </c>
      <c r="BL226" t="b">
        <v>1</v>
      </c>
      <c r="BM226" t="b">
        <v>1</v>
      </c>
      <c r="BN226" t="b">
        <v>1</v>
      </c>
      <c r="BO226" t="s">
        <v>2754</v>
      </c>
      <c r="BP226" t="b">
        <f>IF(IFERROR(VLOOKUP(A226,[1]Planilha1!$A:$A,1,0),FALSE)=FALSE,FALSE,TRUE)</f>
        <v>1</v>
      </c>
    </row>
    <row r="227" spans="1:68" x14ac:dyDescent="0.25">
      <c r="A227" t="s">
        <v>3039</v>
      </c>
      <c r="B227" t="s">
        <v>68</v>
      </c>
      <c r="D227" s="1">
        <v>46204</v>
      </c>
      <c r="E227" s="1">
        <v>47664</v>
      </c>
      <c r="F227" t="s">
        <v>3040</v>
      </c>
      <c r="G227" t="s">
        <v>3041</v>
      </c>
      <c r="H227" s="2" t="s">
        <v>3042</v>
      </c>
      <c r="I227" t="s">
        <v>3041</v>
      </c>
      <c r="K227" t="s">
        <v>3043</v>
      </c>
      <c r="L227">
        <v>5116321</v>
      </c>
      <c r="M227" t="s">
        <v>3044</v>
      </c>
      <c r="N227" t="s">
        <v>2853</v>
      </c>
      <c r="O227" t="s">
        <v>390</v>
      </c>
      <c r="P227" t="s">
        <v>107</v>
      </c>
      <c r="Q227" t="s">
        <v>2854</v>
      </c>
      <c r="R227" t="s">
        <v>2773</v>
      </c>
      <c r="S227" t="s">
        <v>2774</v>
      </c>
      <c r="T227" t="s">
        <v>184</v>
      </c>
      <c r="U227" t="s">
        <v>112</v>
      </c>
      <c r="V227" t="s">
        <v>82</v>
      </c>
      <c r="W227" t="s">
        <v>2773</v>
      </c>
      <c r="X227" t="s">
        <v>2774</v>
      </c>
      <c r="Y227" t="s">
        <v>184</v>
      </c>
      <c r="Z227" t="s">
        <v>112</v>
      </c>
      <c r="AA227" t="s">
        <v>82</v>
      </c>
      <c r="AB227" t="s">
        <v>83</v>
      </c>
      <c r="AC227" t="s">
        <v>202</v>
      </c>
      <c r="AD227" t="s">
        <v>136</v>
      </c>
      <c r="AE227" t="s">
        <v>3045</v>
      </c>
      <c r="AF227" t="s">
        <v>136</v>
      </c>
      <c r="AG227" t="s">
        <v>3046</v>
      </c>
      <c r="AH227">
        <v>5</v>
      </c>
      <c r="AI227">
        <v>842400</v>
      </c>
      <c r="AJ227">
        <v>36504</v>
      </c>
      <c r="AK227">
        <v>0</v>
      </c>
      <c r="AL227">
        <v>878904</v>
      </c>
      <c r="AM227" t="s">
        <v>2773</v>
      </c>
      <c r="AN227" t="s">
        <v>2774</v>
      </c>
      <c r="AO227" t="s">
        <v>184</v>
      </c>
      <c r="AP227" t="s">
        <v>112</v>
      </c>
      <c r="AQ227" t="s">
        <v>82</v>
      </c>
      <c r="AR227" t="s">
        <v>3047</v>
      </c>
      <c r="AS227" s="3">
        <v>46202.465223658182</v>
      </c>
      <c r="AT227" t="s">
        <v>89</v>
      </c>
      <c r="AU227" t="s">
        <v>90</v>
      </c>
      <c r="AV227" t="s">
        <v>2712</v>
      </c>
      <c r="AW227" t="s">
        <v>92</v>
      </c>
      <c r="AX227" t="s">
        <v>2713</v>
      </c>
      <c r="AY227" t="s">
        <v>94</v>
      </c>
      <c r="AZ227" t="s">
        <v>85</v>
      </c>
      <c r="BA227" t="s">
        <v>3048</v>
      </c>
      <c r="BB227" t="s">
        <v>3039</v>
      </c>
      <c r="BC227" t="s">
        <v>3041</v>
      </c>
      <c r="BD227" t="s">
        <v>2773</v>
      </c>
      <c r="BE227" t="s">
        <v>2774</v>
      </c>
      <c r="BF227" t="b">
        <f t="shared" si="3"/>
        <v>1</v>
      </c>
      <c r="BG227" t="b">
        <v>1</v>
      </c>
      <c r="BH227">
        <v>2022</v>
      </c>
      <c r="BI227" t="b">
        <v>1</v>
      </c>
      <c r="BJ227" t="s">
        <v>2715</v>
      </c>
      <c r="BK227" t="s">
        <v>2779</v>
      </c>
      <c r="BL227" t="b">
        <v>1</v>
      </c>
      <c r="BM227" t="b">
        <v>1</v>
      </c>
      <c r="BN227" t="b">
        <v>1</v>
      </c>
      <c r="BO227" t="s">
        <v>3049</v>
      </c>
      <c r="BP227" t="b">
        <f>IF(IFERROR(VLOOKUP(A227,[1]Planilha1!$A:$A,1,0),FALSE)=FALSE,FALSE,TRUE)</f>
        <v>1</v>
      </c>
    </row>
    <row r="228" spans="1:68" x14ac:dyDescent="0.25">
      <c r="A228" t="s">
        <v>3050</v>
      </c>
      <c r="B228" t="s">
        <v>68</v>
      </c>
      <c r="D228" s="1">
        <v>46204</v>
      </c>
      <c r="E228" s="1">
        <v>47664</v>
      </c>
      <c r="F228" t="s">
        <v>3051</v>
      </c>
      <c r="G228" t="s">
        <v>3052</v>
      </c>
      <c r="H228" s="2" t="s">
        <v>3053</v>
      </c>
      <c r="I228" t="s">
        <v>3052</v>
      </c>
      <c r="K228" t="s">
        <v>3054</v>
      </c>
      <c r="L228">
        <v>5116680</v>
      </c>
      <c r="M228" t="s">
        <v>3055</v>
      </c>
      <c r="N228" t="s">
        <v>886</v>
      </c>
      <c r="O228" t="s">
        <v>887</v>
      </c>
      <c r="P228" t="s">
        <v>107</v>
      </c>
      <c r="Q228" t="s">
        <v>888</v>
      </c>
      <c r="R228" t="s">
        <v>2773</v>
      </c>
      <c r="S228" t="s">
        <v>2774</v>
      </c>
      <c r="T228" t="s">
        <v>184</v>
      </c>
      <c r="U228" t="s">
        <v>112</v>
      </c>
      <c r="V228" t="s">
        <v>82</v>
      </c>
      <c r="W228" t="s">
        <v>2773</v>
      </c>
      <c r="X228" t="s">
        <v>2774</v>
      </c>
      <c r="Y228" t="s">
        <v>184</v>
      </c>
      <c r="Z228" t="s">
        <v>112</v>
      </c>
      <c r="AA228" t="s">
        <v>82</v>
      </c>
      <c r="AB228" t="s">
        <v>83</v>
      </c>
      <c r="AC228" t="s">
        <v>202</v>
      </c>
      <c r="AD228" t="s">
        <v>149</v>
      </c>
      <c r="AE228" t="s">
        <v>3056</v>
      </c>
      <c r="AF228" t="s">
        <v>85</v>
      </c>
      <c r="AG228" t="s">
        <v>3057</v>
      </c>
      <c r="AH228">
        <v>5</v>
      </c>
      <c r="AI228">
        <v>842400</v>
      </c>
      <c r="AJ228">
        <v>109512</v>
      </c>
      <c r="AK228">
        <v>0</v>
      </c>
      <c r="AL228">
        <v>951912</v>
      </c>
      <c r="AM228" t="s">
        <v>2773</v>
      </c>
      <c r="AN228" t="s">
        <v>2774</v>
      </c>
      <c r="AO228" t="s">
        <v>184</v>
      </c>
      <c r="AP228" t="s">
        <v>112</v>
      </c>
      <c r="AQ228" t="s">
        <v>82</v>
      </c>
      <c r="AR228" t="s">
        <v>3058</v>
      </c>
      <c r="AS228" s="3">
        <v>46202.465223658182</v>
      </c>
      <c r="AT228" t="s">
        <v>89</v>
      </c>
      <c r="AU228" t="s">
        <v>90</v>
      </c>
      <c r="AV228" t="s">
        <v>2712</v>
      </c>
      <c r="AW228" t="s">
        <v>92</v>
      </c>
      <c r="AX228" t="s">
        <v>2713</v>
      </c>
      <c r="AY228" t="s">
        <v>94</v>
      </c>
      <c r="AZ228" t="s">
        <v>85</v>
      </c>
      <c r="BA228" t="s">
        <v>3059</v>
      </c>
      <c r="BB228" t="s">
        <v>3050</v>
      </c>
      <c r="BC228" t="s">
        <v>3052</v>
      </c>
      <c r="BD228" t="s">
        <v>2773</v>
      </c>
      <c r="BE228" t="s">
        <v>2774</v>
      </c>
      <c r="BF228" t="b">
        <f t="shared" si="3"/>
        <v>1</v>
      </c>
      <c r="BG228" t="b">
        <v>1</v>
      </c>
      <c r="BH228">
        <v>2004</v>
      </c>
      <c r="BI228" t="b">
        <v>1</v>
      </c>
      <c r="BJ228" t="s">
        <v>2715</v>
      </c>
      <c r="BK228" t="s">
        <v>2779</v>
      </c>
      <c r="BL228" t="b">
        <v>1</v>
      </c>
      <c r="BM228" t="b">
        <v>1</v>
      </c>
      <c r="BN228" t="b">
        <v>1</v>
      </c>
      <c r="BO228" t="s">
        <v>3060</v>
      </c>
      <c r="BP228" t="b">
        <f>IF(IFERROR(VLOOKUP(A228,[1]Planilha1!$A:$A,1,0),FALSE)=FALSE,FALSE,TRUE)</f>
        <v>1</v>
      </c>
    </row>
    <row r="229" spans="1:68" x14ac:dyDescent="0.25">
      <c r="A229" t="s">
        <v>3061</v>
      </c>
      <c r="B229" t="s">
        <v>68</v>
      </c>
      <c r="D229" s="1">
        <v>46204</v>
      </c>
      <c r="E229" s="1">
        <v>47664</v>
      </c>
      <c r="F229" t="s">
        <v>3062</v>
      </c>
      <c r="G229" t="s">
        <v>3063</v>
      </c>
      <c r="H229" s="2" t="s">
        <v>3064</v>
      </c>
      <c r="I229" t="s">
        <v>3063</v>
      </c>
      <c r="K229" t="s">
        <v>3065</v>
      </c>
      <c r="L229">
        <v>5116860</v>
      </c>
      <c r="M229" t="s">
        <v>3066</v>
      </c>
      <c r="N229" t="s">
        <v>249</v>
      </c>
      <c r="O229" t="s">
        <v>250</v>
      </c>
      <c r="P229" t="s">
        <v>76</v>
      </c>
      <c r="Q229" t="s">
        <v>3067</v>
      </c>
      <c r="R229" t="s">
        <v>2707</v>
      </c>
      <c r="S229" t="s">
        <v>2708</v>
      </c>
      <c r="T229" t="s">
        <v>184</v>
      </c>
      <c r="U229" t="s">
        <v>112</v>
      </c>
      <c r="V229" t="s">
        <v>82</v>
      </c>
      <c r="W229" t="s">
        <v>2707</v>
      </c>
      <c r="X229" t="s">
        <v>2708</v>
      </c>
      <c r="Y229" t="s">
        <v>184</v>
      </c>
      <c r="Z229" t="s">
        <v>112</v>
      </c>
      <c r="AA229" t="s">
        <v>82</v>
      </c>
      <c r="AB229" t="s">
        <v>83</v>
      </c>
      <c r="AC229" t="s">
        <v>202</v>
      </c>
      <c r="AD229" t="s">
        <v>85</v>
      </c>
      <c r="AE229" t="s">
        <v>3068</v>
      </c>
      <c r="AF229" t="s">
        <v>85</v>
      </c>
      <c r="AG229" t="s">
        <v>3069</v>
      </c>
      <c r="AH229">
        <v>7</v>
      </c>
      <c r="AI229">
        <v>1322880</v>
      </c>
      <c r="AJ229">
        <v>95000</v>
      </c>
      <c r="AK229">
        <v>0</v>
      </c>
      <c r="AL229">
        <v>1417880</v>
      </c>
      <c r="AM229" t="s">
        <v>2707</v>
      </c>
      <c r="AN229" t="s">
        <v>2708</v>
      </c>
      <c r="AO229" t="s">
        <v>184</v>
      </c>
      <c r="AP229" t="s">
        <v>112</v>
      </c>
      <c r="AQ229" t="s">
        <v>82</v>
      </c>
      <c r="AR229" t="s">
        <v>3070</v>
      </c>
      <c r="AS229" s="3">
        <v>46202.465223658182</v>
      </c>
      <c r="AT229" t="s">
        <v>89</v>
      </c>
      <c r="AU229" t="s">
        <v>90</v>
      </c>
      <c r="AV229" t="s">
        <v>2712</v>
      </c>
      <c r="AW229" t="s">
        <v>92</v>
      </c>
      <c r="AX229" t="s">
        <v>2713</v>
      </c>
      <c r="AY229" t="s">
        <v>94</v>
      </c>
      <c r="AZ229" t="s">
        <v>85</v>
      </c>
      <c r="BA229" t="s">
        <v>3071</v>
      </c>
      <c r="BB229" t="s">
        <v>3061</v>
      </c>
      <c r="BC229" t="s">
        <v>3063</v>
      </c>
      <c r="BD229" t="s">
        <v>2707</v>
      </c>
      <c r="BE229" t="s">
        <v>2708</v>
      </c>
      <c r="BF229" t="b">
        <f t="shared" si="3"/>
        <v>1</v>
      </c>
      <c r="BG229" t="b">
        <v>1</v>
      </c>
      <c r="BH229">
        <v>1996</v>
      </c>
      <c r="BI229" t="b">
        <v>1</v>
      </c>
      <c r="BJ229" t="s">
        <v>2715</v>
      </c>
      <c r="BK229" t="s">
        <v>2716</v>
      </c>
      <c r="BL229" t="b">
        <v>1</v>
      </c>
      <c r="BM229" t="b">
        <v>1</v>
      </c>
      <c r="BN229" t="b">
        <v>0</v>
      </c>
      <c r="BO229" t="s">
        <v>3072</v>
      </c>
      <c r="BP229" t="b">
        <f>IF(IFERROR(VLOOKUP(A229,[1]Planilha1!$A:$A,1,0),FALSE)=FALSE,FALSE,TRUE)</f>
        <v>1</v>
      </c>
    </row>
    <row r="230" spans="1:68" x14ac:dyDescent="0.25">
      <c r="A230" t="s">
        <v>3073</v>
      </c>
      <c r="B230" t="s">
        <v>68</v>
      </c>
      <c r="D230" s="1">
        <v>46204</v>
      </c>
      <c r="E230" s="1">
        <v>47664</v>
      </c>
      <c r="F230" t="s">
        <v>3074</v>
      </c>
      <c r="G230" t="s">
        <v>3075</v>
      </c>
      <c r="H230" s="2" t="s">
        <v>3076</v>
      </c>
      <c r="I230" t="s">
        <v>3075</v>
      </c>
      <c r="K230" t="s">
        <v>3077</v>
      </c>
      <c r="L230">
        <v>5116612</v>
      </c>
      <c r="M230" t="s">
        <v>3078</v>
      </c>
      <c r="N230" t="s">
        <v>1602</v>
      </c>
      <c r="O230" t="s">
        <v>106</v>
      </c>
      <c r="P230" t="s">
        <v>107</v>
      </c>
      <c r="Q230" t="s">
        <v>3079</v>
      </c>
      <c r="R230" t="s">
        <v>2707</v>
      </c>
      <c r="S230" t="s">
        <v>2708</v>
      </c>
      <c r="T230" t="s">
        <v>184</v>
      </c>
      <c r="U230" t="s">
        <v>112</v>
      </c>
      <c r="V230" t="s">
        <v>82</v>
      </c>
      <c r="W230" t="s">
        <v>2707</v>
      </c>
      <c r="X230" t="s">
        <v>2708</v>
      </c>
      <c r="Y230" t="s">
        <v>184</v>
      </c>
      <c r="Z230" t="s">
        <v>112</v>
      </c>
      <c r="AA230" t="s">
        <v>82</v>
      </c>
      <c r="AB230" t="s">
        <v>83</v>
      </c>
      <c r="AC230" t="s">
        <v>113</v>
      </c>
      <c r="AD230" t="s">
        <v>149</v>
      </c>
      <c r="AE230" t="s">
        <v>3080</v>
      </c>
      <c r="AF230" t="s">
        <v>85</v>
      </c>
      <c r="AG230" t="s">
        <v>3081</v>
      </c>
      <c r="AH230">
        <v>4</v>
      </c>
      <c r="AI230">
        <v>848640</v>
      </c>
      <c r="AJ230">
        <v>103904.43</v>
      </c>
      <c r="AK230">
        <v>0</v>
      </c>
      <c r="AL230">
        <v>952544.43</v>
      </c>
      <c r="AM230" t="s">
        <v>2707</v>
      </c>
      <c r="AN230" t="s">
        <v>2708</v>
      </c>
      <c r="AO230" t="s">
        <v>184</v>
      </c>
      <c r="AP230" t="s">
        <v>112</v>
      </c>
      <c r="AQ230" t="s">
        <v>82</v>
      </c>
      <c r="AR230" t="s">
        <v>3082</v>
      </c>
      <c r="AS230" s="3">
        <v>46202.465223658182</v>
      </c>
      <c r="AT230" t="s">
        <v>89</v>
      </c>
      <c r="AU230" t="s">
        <v>90</v>
      </c>
      <c r="AV230" t="s">
        <v>2712</v>
      </c>
      <c r="AW230" t="s">
        <v>92</v>
      </c>
      <c r="AX230" t="s">
        <v>2713</v>
      </c>
      <c r="AY230" t="s">
        <v>94</v>
      </c>
      <c r="AZ230" t="s">
        <v>85</v>
      </c>
      <c r="BA230" t="s">
        <v>3083</v>
      </c>
      <c r="BB230" t="s">
        <v>3073</v>
      </c>
      <c r="BC230" t="s">
        <v>3075</v>
      </c>
      <c r="BD230" t="s">
        <v>2707</v>
      </c>
      <c r="BE230" t="s">
        <v>2708</v>
      </c>
      <c r="BF230" t="b">
        <f t="shared" si="3"/>
        <v>0</v>
      </c>
      <c r="BG230" t="b">
        <v>1</v>
      </c>
      <c r="BH230">
        <v>2013</v>
      </c>
      <c r="BI230" t="b">
        <v>0</v>
      </c>
      <c r="BJ230" t="s">
        <v>2715</v>
      </c>
      <c r="BK230" t="s">
        <v>2716</v>
      </c>
      <c r="BL230" t="b">
        <v>1</v>
      </c>
      <c r="BM230" t="b">
        <v>1</v>
      </c>
      <c r="BN230" t="b">
        <v>1</v>
      </c>
      <c r="BO230" t="s">
        <v>3084</v>
      </c>
      <c r="BP230" t="b">
        <f>IF(IFERROR(VLOOKUP(A230,[1]Planilha1!$A:$A,1,0),FALSE)=FALSE,FALSE,TRUE)</f>
        <v>0</v>
      </c>
    </row>
    <row r="231" spans="1:68" x14ac:dyDescent="0.25">
      <c r="A231" t="s">
        <v>3085</v>
      </c>
      <c r="B231" t="s">
        <v>68</v>
      </c>
      <c r="D231" s="1">
        <v>46204</v>
      </c>
      <c r="E231" s="1">
        <v>47664</v>
      </c>
      <c r="F231" t="s">
        <v>3086</v>
      </c>
      <c r="G231" t="s">
        <v>3087</v>
      </c>
      <c r="H231" s="2" t="s">
        <v>3088</v>
      </c>
      <c r="I231" t="s">
        <v>3087</v>
      </c>
      <c r="K231" t="s">
        <v>3089</v>
      </c>
      <c r="L231">
        <v>5116572</v>
      </c>
      <c r="M231" t="s">
        <v>3090</v>
      </c>
      <c r="N231" t="s">
        <v>295</v>
      </c>
      <c r="O231" t="s">
        <v>296</v>
      </c>
      <c r="P231" t="s">
        <v>129</v>
      </c>
      <c r="Q231" t="s">
        <v>3091</v>
      </c>
      <c r="R231" t="s">
        <v>2725</v>
      </c>
      <c r="S231" t="s">
        <v>2726</v>
      </c>
      <c r="T231" t="s">
        <v>184</v>
      </c>
      <c r="U231" t="s">
        <v>112</v>
      </c>
      <c r="V231" t="s">
        <v>82</v>
      </c>
      <c r="W231" t="s">
        <v>2725</v>
      </c>
      <c r="X231" t="s">
        <v>2726</v>
      </c>
      <c r="Y231" t="s">
        <v>184</v>
      </c>
      <c r="Z231" t="s">
        <v>112</v>
      </c>
      <c r="AA231" t="s">
        <v>82</v>
      </c>
      <c r="AB231" t="s">
        <v>83</v>
      </c>
      <c r="AC231" t="s">
        <v>135</v>
      </c>
      <c r="AD231" t="s">
        <v>149</v>
      </c>
      <c r="AE231" t="s">
        <v>3092</v>
      </c>
      <c r="AF231" t="s">
        <v>85</v>
      </c>
      <c r="AG231" t="s">
        <v>3093</v>
      </c>
      <c r="AH231">
        <v>5</v>
      </c>
      <c r="AI231">
        <v>1035840</v>
      </c>
      <c r="AJ231">
        <v>144000</v>
      </c>
      <c r="AK231">
        <v>0</v>
      </c>
      <c r="AL231">
        <v>1179840</v>
      </c>
      <c r="AM231" t="s">
        <v>2725</v>
      </c>
      <c r="AN231" t="s">
        <v>2726</v>
      </c>
      <c r="AO231" t="s">
        <v>184</v>
      </c>
      <c r="AP231" t="s">
        <v>112</v>
      </c>
      <c r="AQ231" t="s">
        <v>82</v>
      </c>
      <c r="AR231" t="s">
        <v>3094</v>
      </c>
      <c r="AS231" s="3">
        <v>46202.465223658182</v>
      </c>
      <c r="AT231" t="s">
        <v>89</v>
      </c>
      <c r="AU231" t="s">
        <v>90</v>
      </c>
      <c r="AV231" t="s">
        <v>2712</v>
      </c>
      <c r="AW231" t="s">
        <v>92</v>
      </c>
      <c r="AX231" t="s">
        <v>2713</v>
      </c>
      <c r="AY231" t="s">
        <v>94</v>
      </c>
      <c r="AZ231" t="s">
        <v>85</v>
      </c>
      <c r="BA231" t="s">
        <v>3095</v>
      </c>
      <c r="BB231" t="s">
        <v>3085</v>
      </c>
      <c r="BC231" t="s">
        <v>3087</v>
      </c>
      <c r="BD231" t="s">
        <v>2725</v>
      </c>
      <c r="BE231" t="s">
        <v>2726</v>
      </c>
      <c r="BF231" t="b">
        <f t="shared" si="3"/>
        <v>1</v>
      </c>
      <c r="BG231" t="b">
        <v>1</v>
      </c>
      <c r="BH231">
        <v>2007</v>
      </c>
      <c r="BI231" t="b">
        <v>1</v>
      </c>
      <c r="BJ231" t="s">
        <v>2715</v>
      </c>
      <c r="BK231" t="s">
        <v>2731</v>
      </c>
      <c r="BL231" t="b">
        <v>1</v>
      </c>
      <c r="BM231" t="b">
        <v>1</v>
      </c>
      <c r="BN231" t="b">
        <v>1</v>
      </c>
      <c r="BO231" t="s">
        <v>3096</v>
      </c>
      <c r="BP231" t="b">
        <f>IF(IFERROR(VLOOKUP(A231,[1]Planilha1!$A:$A,1,0),FALSE)=FALSE,FALSE,TRUE)</f>
        <v>1</v>
      </c>
    </row>
    <row r="232" spans="1:68" x14ac:dyDescent="0.25">
      <c r="A232" t="s">
        <v>3097</v>
      </c>
      <c r="B232" t="s">
        <v>68</v>
      </c>
      <c r="D232" s="1">
        <v>46204</v>
      </c>
      <c r="E232" s="1">
        <v>47664</v>
      </c>
      <c r="F232" t="s">
        <v>3098</v>
      </c>
      <c r="G232" t="s">
        <v>3099</v>
      </c>
      <c r="H232" s="2" t="s">
        <v>3100</v>
      </c>
      <c r="I232" t="s">
        <v>3099</v>
      </c>
      <c r="K232" t="s">
        <v>3101</v>
      </c>
      <c r="L232">
        <v>5116588</v>
      </c>
      <c r="M232" t="s">
        <v>3102</v>
      </c>
      <c r="N232" t="s">
        <v>389</v>
      </c>
      <c r="O232" t="s">
        <v>390</v>
      </c>
      <c r="P232" t="s">
        <v>107</v>
      </c>
      <c r="Q232" t="s">
        <v>3103</v>
      </c>
      <c r="R232" t="s">
        <v>2773</v>
      </c>
      <c r="S232" t="s">
        <v>2774</v>
      </c>
      <c r="T232" t="s">
        <v>184</v>
      </c>
      <c r="U232" t="s">
        <v>112</v>
      </c>
      <c r="V232" t="s">
        <v>82</v>
      </c>
      <c r="W232" t="s">
        <v>2773</v>
      </c>
      <c r="X232" t="s">
        <v>2774</v>
      </c>
      <c r="Y232" t="s">
        <v>184</v>
      </c>
      <c r="Z232" t="s">
        <v>112</v>
      </c>
      <c r="AA232" t="s">
        <v>82</v>
      </c>
      <c r="AB232" t="s">
        <v>83</v>
      </c>
      <c r="AC232" t="s">
        <v>202</v>
      </c>
      <c r="AD232" t="s">
        <v>149</v>
      </c>
      <c r="AE232" t="s">
        <v>3104</v>
      </c>
      <c r="AF232" t="s">
        <v>85</v>
      </c>
      <c r="AG232" t="s">
        <v>3105</v>
      </c>
      <c r="AH232">
        <v>3</v>
      </c>
      <c r="AI232">
        <v>333840</v>
      </c>
      <c r="AJ232">
        <v>33259.199999999997</v>
      </c>
      <c r="AK232">
        <v>0</v>
      </c>
      <c r="AL232">
        <v>367099.2</v>
      </c>
      <c r="AM232" t="s">
        <v>2773</v>
      </c>
      <c r="AN232" t="s">
        <v>2774</v>
      </c>
      <c r="AO232" t="s">
        <v>184</v>
      </c>
      <c r="AP232" t="s">
        <v>112</v>
      </c>
      <c r="AQ232" t="s">
        <v>82</v>
      </c>
      <c r="AR232" t="s">
        <v>3106</v>
      </c>
      <c r="AS232" s="3">
        <v>46202.465223658182</v>
      </c>
      <c r="AT232" t="s">
        <v>89</v>
      </c>
      <c r="AU232" t="s">
        <v>90</v>
      </c>
      <c r="AV232" t="s">
        <v>2712</v>
      </c>
      <c r="AW232" t="s">
        <v>92</v>
      </c>
      <c r="AX232" t="s">
        <v>2713</v>
      </c>
      <c r="AY232" t="s">
        <v>94</v>
      </c>
      <c r="AZ232" t="s">
        <v>85</v>
      </c>
      <c r="BA232" t="s">
        <v>3107</v>
      </c>
      <c r="BB232" t="s">
        <v>3097</v>
      </c>
      <c r="BC232" t="s">
        <v>3099</v>
      </c>
      <c r="BD232" t="s">
        <v>2773</v>
      </c>
      <c r="BE232" t="s">
        <v>2774</v>
      </c>
      <c r="BF232" t="b">
        <f t="shared" si="3"/>
        <v>1</v>
      </c>
      <c r="BG232" t="b">
        <v>1</v>
      </c>
      <c r="BH232">
        <v>2019</v>
      </c>
      <c r="BI232" t="b">
        <v>1</v>
      </c>
      <c r="BJ232" t="s">
        <v>2715</v>
      </c>
      <c r="BK232" t="s">
        <v>2779</v>
      </c>
      <c r="BL232" t="b">
        <v>1</v>
      </c>
      <c r="BM232" t="b">
        <v>1</v>
      </c>
      <c r="BN232" t="b">
        <v>1</v>
      </c>
      <c r="BO232" t="s">
        <v>2909</v>
      </c>
      <c r="BP232" t="b">
        <f>IF(IFERROR(VLOOKUP(A232,[1]Planilha1!$A:$A,1,0),FALSE)=FALSE,FALSE,TRUE)</f>
        <v>1</v>
      </c>
    </row>
    <row r="233" spans="1:68" x14ac:dyDescent="0.25">
      <c r="A233" t="s">
        <v>3108</v>
      </c>
      <c r="B233" t="s">
        <v>68</v>
      </c>
      <c r="D233" s="1">
        <v>46204</v>
      </c>
      <c r="E233" s="1">
        <v>47664</v>
      </c>
      <c r="F233" t="s">
        <v>3109</v>
      </c>
      <c r="G233" t="s">
        <v>3110</v>
      </c>
      <c r="H233" s="2" t="s">
        <v>3111</v>
      </c>
      <c r="I233" t="s">
        <v>3110</v>
      </c>
      <c r="K233" t="s">
        <v>3112</v>
      </c>
      <c r="L233">
        <v>5116720</v>
      </c>
      <c r="M233" t="s">
        <v>3113</v>
      </c>
      <c r="N233" t="s">
        <v>714</v>
      </c>
      <c r="O233" t="s">
        <v>715</v>
      </c>
      <c r="P233" t="s">
        <v>107</v>
      </c>
      <c r="Q233" t="s">
        <v>716</v>
      </c>
      <c r="R233" t="s">
        <v>1905</v>
      </c>
      <c r="S233" t="s">
        <v>1906</v>
      </c>
      <c r="T233" t="s">
        <v>111</v>
      </c>
      <c r="U233" t="s">
        <v>112</v>
      </c>
      <c r="V233" t="s">
        <v>82</v>
      </c>
      <c r="W233" t="s">
        <v>1905</v>
      </c>
      <c r="X233" t="s">
        <v>1906</v>
      </c>
      <c r="Y233" t="s">
        <v>111</v>
      </c>
      <c r="Z233" t="s">
        <v>112</v>
      </c>
      <c r="AA233" t="s">
        <v>82</v>
      </c>
      <c r="AB233" t="s">
        <v>83</v>
      </c>
      <c r="AC233" t="s">
        <v>113</v>
      </c>
      <c r="AD233" t="s">
        <v>85</v>
      </c>
      <c r="AE233" t="s">
        <v>3114</v>
      </c>
      <c r="AF233" t="s">
        <v>85</v>
      </c>
      <c r="AG233" t="s">
        <v>3115</v>
      </c>
      <c r="AH233">
        <v>10</v>
      </c>
      <c r="AI233">
        <v>1345920</v>
      </c>
      <c r="AJ233">
        <v>150000</v>
      </c>
      <c r="AK233">
        <v>0</v>
      </c>
      <c r="AL233">
        <v>1495920</v>
      </c>
      <c r="AM233" t="s">
        <v>1905</v>
      </c>
      <c r="AN233" t="s">
        <v>1906</v>
      </c>
      <c r="AO233" t="s">
        <v>111</v>
      </c>
      <c r="AP233" t="s">
        <v>112</v>
      </c>
      <c r="AQ233" t="s">
        <v>82</v>
      </c>
      <c r="AR233" t="s">
        <v>3116</v>
      </c>
      <c r="AS233" s="3">
        <v>46202.465223658182</v>
      </c>
      <c r="AT233" t="s">
        <v>89</v>
      </c>
      <c r="AU233" t="s">
        <v>90</v>
      </c>
      <c r="AV233" t="s">
        <v>2712</v>
      </c>
      <c r="AW233" t="s">
        <v>92</v>
      </c>
      <c r="AX233" t="s">
        <v>2713</v>
      </c>
      <c r="AY233" t="s">
        <v>94</v>
      </c>
      <c r="AZ233" t="s">
        <v>85</v>
      </c>
      <c r="BA233" t="s">
        <v>3117</v>
      </c>
      <c r="BB233" t="s">
        <v>3108</v>
      </c>
      <c r="BC233" t="s">
        <v>3110</v>
      </c>
      <c r="BD233" t="s">
        <v>1905</v>
      </c>
      <c r="BE233" t="s">
        <v>1906</v>
      </c>
      <c r="BF233" t="b">
        <f t="shared" si="3"/>
        <v>0</v>
      </c>
      <c r="BG233" t="b">
        <v>0</v>
      </c>
      <c r="BH233">
        <v>2005</v>
      </c>
      <c r="BI233" t="b">
        <v>0</v>
      </c>
      <c r="BJ233" t="s">
        <v>2715</v>
      </c>
      <c r="BK233" t="s">
        <v>1911</v>
      </c>
      <c r="BL233" t="b">
        <v>1</v>
      </c>
      <c r="BM233" t="b">
        <v>1</v>
      </c>
      <c r="BN233" t="b">
        <v>1</v>
      </c>
      <c r="BO233" t="s">
        <v>3118</v>
      </c>
      <c r="BP233" t="b">
        <f>IF(IFERROR(VLOOKUP(A233,[1]Planilha1!$A:$A,1,0),FALSE)=FALSE,FALSE,TRUE)</f>
        <v>0</v>
      </c>
    </row>
    <row r="234" spans="1:68" x14ac:dyDescent="0.25">
      <c r="A234" t="s">
        <v>3119</v>
      </c>
      <c r="B234" t="s">
        <v>68</v>
      </c>
      <c r="D234" s="1">
        <v>46204</v>
      </c>
      <c r="E234" s="1">
        <v>47664</v>
      </c>
      <c r="F234" t="s">
        <v>3120</v>
      </c>
      <c r="G234" t="s">
        <v>3121</v>
      </c>
      <c r="H234" s="2" t="s">
        <v>3122</v>
      </c>
      <c r="I234" t="s">
        <v>3121</v>
      </c>
      <c r="K234" t="s">
        <v>3123</v>
      </c>
      <c r="L234">
        <v>5116878</v>
      </c>
      <c r="M234" t="s">
        <v>3124</v>
      </c>
      <c r="N234" t="s">
        <v>2109</v>
      </c>
      <c r="O234" t="s">
        <v>2018</v>
      </c>
      <c r="P234" t="s">
        <v>230</v>
      </c>
      <c r="Q234" t="s">
        <v>2110</v>
      </c>
      <c r="R234" t="s">
        <v>2972</v>
      </c>
      <c r="S234" t="s">
        <v>2973</v>
      </c>
      <c r="T234" t="s">
        <v>300</v>
      </c>
      <c r="U234" t="s">
        <v>301</v>
      </c>
      <c r="V234" t="s">
        <v>82</v>
      </c>
      <c r="W234" t="s">
        <v>2972</v>
      </c>
      <c r="X234" t="s">
        <v>2973</v>
      </c>
      <c r="Y234" t="s">
        <v>300</v>
      </c>
      <c r="Z234" t="s">
        <v>301</v>
      </c>
      <c r="AA234" t="s">
        <v>82</v>
      </c>
      <c r="AB234" t="s">
        <v>83</v>
      </c>
      <c r="AC234" t="s">
        <v>1013</v>
      </c>
      <c r="AD234" t="s">
        <v>85</v>
      </c>
      <c r="AE234" t="s">
        <v>3125</v>
      </c>
      <c r="AF234" t="s">
        <v>85</v>
      </c>
      <c r="AG234" t="s">
        <v>3126</v>
      </c>
      <c r="AH234">
        <v>11</v>
      </c>
      <c r="AI234">
        <v>1169040</v>
      </c>
      <c r="AJ234">
        <v>119424</v>
      </c>
      <c r="AK234">
        <v>0</v>
      </c>
      <c r="AL234">
        <v>1288464</v>
      </c>
      <c r="AM234" t="s">
        <v>3127</v>
      </c>
      <c r="AN234" t="s">
        <v>3128</v>
      </c>
      <c r="AO234" t="s">
        <v>184</v>
      </c>
      <c r="AP234" t="s">
        <v>112</v>
      </c>
      <c r="AQ234" t="s">
        <v>82</v>
      </c>
      <c r="AR234" t="s">
        <v>3129</v>
      </c>
      <c r="AS234" s="3">
        <v>46202.465223658182</v>
      </c>
      <c r="AT234" t="s">
        <v>89</v>
      </c>
      <c r="AU234" t="s">
        <v>90</v>
      </c>
      <c r="AV234" t="s">
        <v>2712</v>
      </c>
      <c r="AW234" t="s">
        <v>92</v>
      </c>
      <c r="AX234" t="s">
        <v>2713</v>
      </c>
      <c r="AY234" t="s">
        <v>94</v>
      </c>
      <c r="AZ234" t="s">
        <v>85</v>
      </c>
      <c r="BA234" t="s">
        <v>3130</v>
      </c>
      <c r="BB234" t="s">
        <v>3119</v>
      </c>
      <c r="BC234" t="s">
        <v>3121</v>
      </c>
      <c r="BD234" t="s">
        <v>2972</v>
      </c>
      <c r="BE234" t="s">
        <v>2973</v>
      </c>
      <c r="BF234" t="b">
        <f t="shared" si="3"/>
        <v>1</v>
      </c>
      <c r="BG234" t="b">
        <v>1</v>
      </c>
      <c r="BH234">
        <v>2019</v>
      </c>
      <c r="BI234" t="b">
        <v>1</v>
      </c>
      <c r="BJ234" t="s">
        <v>2715</v>
      </c>
      <c r="BK234" t="s">
        <v>2978</v>
      </c>
      <c r="BL234" t="b">
        <v>1</v>
      </c>
      <c r="BM234" t="b">
        <v>1</v>
      </c>
      <c r="BN234" t="b">
        <v>1</v>
      </c>
      <c r="BO234" t="s">
        <v>3131</v>
      </c>
      <c r="BP234" t="b">
        <f>IF(IFERROR(VLOOKUP(A234,[1]Planilha1!$A:$A,1,0),FALSE)=FALSE,FALSE,TRUE)</f>
        <v>1</v>
      </c>
    </row>
    <row r="235" spans="1:68" x14ac:dyDescent="0.25">
      <c r="A235" t="s">
        <v>3132</v>
      </c>
      <c r="B235" t="s">
        <v>68</v>
      </c>
      <c r="D235" s="1">
        <v>46204</v>
      </c>
      <c r="E235" s="1">
        <v>47664</v>
      </c>
      <c r="F235" t="s">
        <v>3133</v>
      </c>
      <c r="G235" t="s">
        <v>3134</v>
      </c>
      <c r="H235" s="2" t="s">
        <v>3135</v>
      </c>
      <c r="I235" t="s">
        <v>3134</v>
      </c>
      <c r="K235" t="s">
        <v>3136</v>
      </c>
      <c r="L235">
        <v>5116535</v>
      </c>
      <c r="M235" t="s">
        <v>3137</v>
      </c>
      <c r="N235" t="s">
        <v>389</v>
      </c>
      <c r="O235" t="s">
        <v>390</v>
      </c>
      <c r="P235" t="s">
        <v>107</v>
      </c>
      <c r="Q235" t="s">
        <v>605</v>
      </c>
      <c r="R235" t="s">
        <v>2707</v>
      </c>
      <c r="S235" t="s">
        <v>2708</v>
      </c>
      <c r="T235" t="s">
        <v>184</v>
      </c>
      <c r="U235" t="s">
        <v>112</v>
      </c>
      <c r="V235" t="s">
        <v>82</v>
      </c>
      <c r="W235" t="s">
        <v>2707</v>
      </c>
      <c r="X235" t="s">
        <v>2708</v>
      </c>
      <c r="Y235" t="s">
        <v>184</v>
      </c>
      <c r="Z235" t="s">
        <v>112</v>
      </c>
      <c r="AA235" t="s">
        <v>82</v>
      </c>
      <c r="AB235" t="s">
        <v>83</v>
      </c>
      <c r="AC235" t="s">
        <v>202</v>
      </c>
      <c r="AD235" t="s">
        <v>149</v>
      </c>
      <c r="AE235" t="s">
        <v>3138</v>
      </c>
      <c r="AF235" t="s">
        <v>85</v>
      </c>
      <c r="AG235" t="s">
        <v>3139</v>
      </c>
      <c r="AH235">
        <v>8</v>
      </c>
      <c r="AI235">
        <v>1187680</v>
      </c>
      <c r="AJ235">
        <v>118435</v>
      </c>
      <c r="AK235">
        <v>0</v>
      </c>
      <c r="AL235">
        <v>1306115</v>
      </c>
      <c r="AR235" t="s">
        <v>3140</v>
      </c>
      <c r="AS235" s="3">
        <v>46202.465223658182</v>
      </c>
      <c r="AT235" t="s">
        <v>89</v>
      </c>
      <c r="AU235" t="s">
        <v>90</v>
      </c>
      <c r="AV235" t="s">
        <v>2712</v>
      </c>
      <c r="AW235" t="s">
        <v>92</v>
      </c>
      <c r="AX235" t="s">
        <v>2713</v>
      </c>
      <c r="AY235" t="s">
        <v>94</v>
      </c>
      <c r="AZ235" t="s">
        <v>85</v>
      </c>
      <c r="BA235" t="s">
        <v>3141</v>
      </c>
      <c r="BB235" t="s">
        <v>3132</v>
      </c>
      <c r="BC235" t="s">
        <v>3134</v>
      </c>
      <c r="BD235" t="s">
        <v>2707</v>
      </c>
      <c r="BE235" t="s">
        <v>2708</v>
      </c>
      <c r="BF235" t="b">
        <f t="shared" si="3"/>
        <v>0</v>
      </c>
      <c r="BG235" t="b">
        <v>1</v>
      </c>
      <c r="BH235">
        <v>1999</v>
      </c>
      <c r="BI235" t="b">
        <v>0</v>
      </c>
      <c r="BJ235" t="s">
        <v>2715</v>
      </c>
      <c r="BK235" t="s">
        <v>2716</v>
      </c>
      <c r="BL235" t="b">
        <v>1</v>
      </c>
      <c r="BM235" t="b">
        <v>1</v>
      </c>
      <c r="BN235" t="b">
        <v>1</v>
      </c>
      <c r="BO235" t="s">
        <v>3142</v>
      </c>
      <c r="BP235" t="b">
        <f>IF(IFERROR(VLOOKUP(A235,[1]Planilha1!$A:$A,1,0),FALSE)=FALSE,FALSE,TRUE)</f>
        <v>0</v>
      </c>
    </row>
    <row r="236" spans="1:68" x14ac:dyDescent="0.25">
      <c r="A236" t="s">
        <v>3143</v>
      </c>
      <c r="B236" t="s">
        <v>68</v>
      </c>
      <c r="D236" s="1">
        <v>46204</v>
      </c>
      <c r="E236" s="1">
        <v>47664</v>
      </c>
      <c r="F236" t="s">
        <v>3144</v>
      </c>
      <c r="G236" t="s">
        <v>3145</v>
      </c>
      <c r="H236" s="2" t="s">
        <v>3146</v>
      </c>
      <c r="I236" t="s">
        <v>3145</v>
      </c>
      <c r="K236" t="s">
        <v>3147</v>
      </c>
      <c r="L236">
        <v>5116901</v>
      </c>
      <c r="M236" t="s">
        <v>3148</v>
      </c>
      <c r="N236" t="s">
        <v>2145</v>
      </c>
      <c r="O236" t="s">
        <v>2146</v>
      </c>
      <c r="P236" t="s">
        <v>129</v>
      </c>
      <c r="Q236" t="s">
        <v>2147</v>
      </c>
      <c r="R236" t="s">
        <v>2815</v>
      </c>
      <c r="S236" t="s">
        <v>2816</v>
      </c>
      <c r="T236" t="s">
        <v>184</v>
      </c>
      <c r="U236" t="s">
        <v>112</v>
      </c>
      <c r="V236" t="s">
        <v>82</v>
      </c>
      <c r="W236" t="s">
        <v>2815</v>
      </c>
      <c r="X236" t="s">
        <v>2816</v>
      </c>
      <c r="Y236" t="s">
        <v>184</v>
      </c>
      <c r="Z236" t="s">
        <v>112</v>
      </c>
      <c r="AA236" t="s">
        <v>82</v>
      </c>
      <c r="AB236" t="s">
        <v>83</v>
      </c>
      <c r="AC236" t="s">
        <v>185</v>
      </c>
      <c r="AD236" t="s">
        <v>85</v>
      </c>
      <c r="AE236" t="s">
        <v>3149</v>
      </c>
      <c r="AF236" t="s">
        <v>85</v>
      </c>
      <c r="AG236" t="s">
        <v>3150</v>
      </c>
      <c r="AH236">
        <v>12</v>
      </c>
      <c r="AI236">
        <v>1037280</v>
      </c>
      <c r="AJ236">
        <v>132000</v>
      </c>
      <c r="AK236">
        <v>0</v>
      </c>
      <c r="AL236">
        <v>1169280</v>
      </c>
      <c r="AM236" t="s">
        <v>2815</v>
      </c>
      <c r="AN236" t="s">
        <v>2816</v>
      </c>
      <c r="AO236" t="s">
        <v>184</v>
      </c>
      <c r="AP236" t="s">
        <v>112</v>
      </c>
      <c r="AQ236" t="s">
        <v>82</v>
      </c>
      <c r="AR236" t="s">
        <v>3151</v>
      </c>
      <c r="AS236" s="3">
        <v>46202.465223658182</v>
      </c>
      <c r="AT236" t="s">
        <v>89</v>
      </c>
      <c r="AU236" t="s">
        <v>90</v>
      </c>
      <c r="AV236" t="s">
        <v>2712</v>
      </c>
      <c r="AW236" t="s">
        <v>92</v>
      </c>
      <c r="AX236" t="s">
        <v>2713</v>
      </c>
      <c r="AY236" t="s">
        <v>94</v>
      </c>
      <c r="AZ236" t="s">
        <v>85</v>
      </c>
      <c r="BA236" t="s">
        <v>3152</v>
      </c>
      <c r="BB236" t="s">
        <v>3143</v>
      </c>
      <c r="BC236" t="s">
        <v>3145</v>
      </c>
      <c r="BD236" t="s">
        <v>2815</v>
      </c>
      <c r="BE236" t="s">
        <v>2816</v>
      </c>
      <c r="BF236" t="b">
        <f t="shared" si="3"/>
        <v>1</v>
      </c>
      <c r="BG236" t="b">
        <v>1</v>
      </c>
      <c r="BH236">
        <v>2023</v>
      </c>
      <c r="BI236" t="b">
        <v>1</v>
      </c>
      <c r="BJ236" t="s">
        <v>2715</v>
      </c>
      <c r="BK236" t="s">
        <v>2821</v>
      </c>
      <c r="BL236" t="b">
        <v>1</v>
      </c>
      <c r="BM236" t="b">
        <v>1</v>
      </c>
      <c r="BN236" t="b">
        <v>1</v>
      </c>
      <c r="BO236" t="s">
        <v>3153</v>
      </c>
      <c r="BP236" t="b">
        <f>IF(IFERROR(VLOOKUP(A236,[1]Planilha1!$A:$A,1,0),FALSE)=FALSE,FALSE,TRUE)</f>
        <v>1</v>
      </c>
    </row>
    <row r="237" spans="1:68" x14ac:dyDescent="0.25">
      <c r="A237" t="s">
        <v>3154</v>
      </c>
      <c r="B237" t="s">
        <v>68</v>
      </c>
      <c r="D237" s="1">
        <v>46204</v>
      </c>
      <c r="E237" s="1">
        <v>47664</v>
      </c>
      <c r="F237" t="s">
        <v>3155</v>
      </c>
      <c r="G237" t="s">
        <v>3156</v>
      </c>
      <c r="H237" s="2" t="s">
        <v>3157</v>
      </c>
      <c r="I237" t="s">
        <v>3156</v>
      </c>
      <c r="K237" t="s">
        <v>3158</v>
      </c>
      <c r="L237">
        <v>5116902</v>
      </c>
      <c r="M237" t="s">
        <v>3159</v>
      </c>
      <c r="N237" t="s">
        <v>2109</v>
      </c>
      <c r="O237" t="s">
        <v>2018</v>
      </c>
      <c r="P237" t="s">
        <v>230</v>
      </c>
      <c r="Q237" t="s">
        <v>3160</v>
      </c>
      <c r="R237" t="s">
        <v>2972</v>
      </c>
      <c r="S237" t="s">
        <v>2973</v>
      </c>
      <c r="T237" t="s">
        <v>300</v>
      </c>
      <c r="U237" t="s">
        <v>301</v>
      </c>
      <c r="V237" t="s">
        <v>82</v>
      </c>
      <c r="W237" t="s">
        <v>2972</v>
      </c>
      <c r="X237" t="s">
        <v>2973</v>
      </c>
      <c r="Y237" t="s">
        <v>300</v>
      </c>
      <c r="Z237" t="s">
        <v>301</v>
      </c>
      <c r="AA237" t="s">
        <v>82</v>
      </c>
      <c r="AB237" t="s">
        <v>83</v>
      </c>
      <c r="AC237" t="s">
        <v>1013</v>
      </c>
      <c r="AD237" t="s">
        <v>85</v>
      </c>
      <c r="AE237" t="s">
        <v>3161</v>
      </c>
      <c r="AF237" t="s">
        <v>85</v>
      </c>
      <c r="AG237" t="s">
        <v>3162</v>
      </c>
      <c r="AH237">
        <v>7</v>
      </c>
      <c r="AI237">
        <v>941280</v>
      </c>
      <c r="AJ237">
        <v>93000</v>
      </c>
      <c r="AK237">
        <v>0</v>
      </c>
      <c r="AL237">
        <v>1034280</v>
      </c>
      <c r="AM237" t="s">
        <v>3163</v>
      </c>
      <c r="AN237" t="s">
        <v>3164</v>
      </c>
      <c r="AO237" t="s">
        <v>133</v>
      </c>
      <c r="AP237" t="s">
        <v>134</v>
      </c>
      <c r="AQ237" t="s">
        <v>82</v>
      </c>
      <c r="AR237" t="s">
        <v>3165</v>
      </c>
      <c r="AS237" s="3">
        <v>46202.465223658182</v>
      </c>
      <c r="AT237" t="s">
        <v>89</v>
      </c>
      <c r="AU237" t="s">
        <v>90</v>
      </c>
      <c r="AV237" t="s">
        <v>2712</v>
      </c>
      <c r="AW237" t="s">
        <v>92</v>
      </c>
      <c r="AX237" t="s">
        <v>2713</v>
      </c>
      <c r="AY237" t="s">
        <v>94</v>
      </c>
      <c r="AZ237" t="s">
        <v>85</v>
      </c>
      <c r="BA237" t="s">
        <v>3166</v>
      </c>
      <c r="BB237" t="s">
        <v>3154</v>
      </c>
      <c r="BC237" t="s">
        <v>3156</v>
      </c>
      <c r="BD237" t="s">
        <v>2972</v>
      </c>
      <c r="BE237" t="s">
        <v>2973</v>
      </c>
      <c r="BF237" t="b">
        <f t="shared" si="3"/>
        <v>1</v>
      </c>
      <c r="BG237" t="b">
        <v>1</v>
      </c>
      <c r="BH237">
        <v>2022</v>
      </c>
      <c r="BI237" t="b">
        <v>1</v>
      </c>
      <c r="BJ237" t="s">
        <v>2715</v>
      </c>
      <c r="BK237" t="s">
        <v>2978</v>
      </c>
      <c r="BL237" t="b">
        <v>1</v>
      </c>
      <c r="BM237" t="b">
        <v>1</v>
      </c>
      <c r="BN237" t="b">
        <v>1</v>
      </c>
      <c r="BO237" t="s">
        <v>3167</v>
      </c>
      <c r="BP237" t="b">
        <f>IF(IFERROR(VLOOKUP(A237,[1]Planilha1!$A:$A,1,0),FALSE)=FALSE,FALSE,TRUE)</f>
        <v>1</v>
      </c>
    </row>
    <row r="238" spans="1:68" x14ac:dyDescent="0.25">
      <c r="A238" t="s">
        <v>3168</v>
      </c>
      <c r="B238" t="s">
        <v>68</v>
      </c>
      <c r="D238" s="1">
        <v>46204</v>
      </c>
      <c r="E238" s="1">
        <v>47664</v>
      </c>
      <c r="F238" t="s">
        <v>3169</v>
      </c>
      <c r="G238" t="s">
        <v>3170</v>
      </c>
      <c r="H238" s="2" t="s">
        <v>3171</v>
      </c>
      <c r="I238" t="s">
        <v>3170</v>
      </c>
      <c r="K238" t="s">
        <v>3172</v>
      </c>
      <c r="L238">
        <v>5116872</v>
      </c>
      <c r="M238" t="s">
        <v>3173</v>
      </c>
      <c r="N238" t="s">
        <v>228</v>
      </c>
      <c r="O238" t="s">
        <v>229</v>
      </c>
      <c r="P238" t="s">
        <v>230</v>
      </c>
      <c r="Q238" t="s">
        <v>3174</v>
      </c>
      <c r="R238" t="s">
        <v>2787</v>
      </c>
      <c r="S238" t="s">
        <v>2788</v>
      </c>
      <c r="T238" t="s">
        <v>111</v>
      </c>
      <c r="U238" t="s">
        <v>112</v>
      </c>
      <c r="V238" t="s">
        <v>82</v>
      </c>
      <c r="W238" t="s">
        <v>2787</v>
      </c>
      <c r="X238" t="s">
        <v>2788</v>
      </c>
      <c r="Y238" t="s">
        <v>111</v>
      </c>
      <c r="Z238" t="s">
        <v>112</v>
      </c>
      <c r="AA238" t="s">
        <v>82</v>
      </c>
      <c r="AB238" t="s">
        <v>83</v>
      </c>
      <c r="AC238" t="s">
        <v>235</v>
      </c>
      <c r="AD238" t="s">
        <v>85</v>
      </c>
      <c r="AE238" t="s">
        <v>3175</v>
      </c>
      <c r="AF238" t="s">
        <v>85</v>
      </c>
      <c r="AG238" t="s">
        <v>3176</v>
      </c>
      <c r="AH238">
        <v>6</v>
      </c>
      <c r="AI238">
        <v>1010880</v>
      </c>
      <c r="AJ238">
        <v>112320</v>
      </c>
      <c r="AK238">
        <v>0</v>
      </c>
      <c r="AL238">
        <v>1123200</v>
      </c>
      <c r="AM238" t="s">
        <v>2787</v>
      </c>
      <c r="AN238" t="s">
        <v>2788</v>
      </c>
      <c r="AO238" t="s">
        <v>111</v>
      </c>
      <c r="AP238" t="s">
        <v>112</v>
      </c>
      <c r="AQ238" t="s">
        <v>82</v>
      </c>
      <c r="AR238" t="s">
        <v>3177</v>
      </c>
      <c r="AS238" s="3">
        <v>46202.465223658182</v>
      </c>
      <c r="AT238" t="s">
        <v>89</v>
      </c>
      <c r="AU238" t="s">
        <v>90</v>
      </c>
      <c r="AV238" t="s">
        <v>2712</v>
      </c>
      <c r="AW238" t="s">
        <v>92</v>
      </c>
      <c r="AX238" t="s">
        <v>2713</v>
      </c>
      <c r="AY238" t="s">
        <v>94</v>
      </c>
      <c r="AZ238" t="s">
        <v>85</v>
      </c>
      <c r="BA238" t="s">
        <v>3178</v>
      </c>
      <c r="BB238" t="s">
        <v>3168</v>
      </c>
      <c r="BC238" t="s">
        <v>3170</v>
      </c>
      <c r="BD238" t="s">
        <v>2787</v>
      </c>
      <c r="BE238" t="s">
        <v>2788</v>
      </c>
      <c r="BF238" t="b">
        <f t="shared" si="3"/>
        <v>1</v>
      </c>
      <c r="BG238" t="b">
        <v>1</v>
      </c>
      <c r="BH238">
        <v>2024</v>
      </c>
      <c r="BI238" t="b">
        <v>1</v>
      </c>
      <c r="BJ238" t="s">
        <v>2715</v>
      </c>
      <c r="BK238" t="s">
        <v>2716</v>
      </c>
      <c r="BL238" t="b">
        <v>1</v>
      </c>
      <c r="BM238" t="b">
        <v>1</v>
      </c>
      <c r="BN238" t="b">
        <v>1</v>
      </c>
      <c r="BO238" t="s">
        <v>2793</v>
      </c>
      <c r="BP238" t="b">
        <f>IF(IFERROR(VLOOKUP(A238,[1]Planilha1!$A:$A,1,0),FALSE)=FALSE,FALSE,TRUE)</f>
        <v>1</v>
      </c>
    </row>
    <row r="239" spans="1:68" x14ac:dyDescent="0.25">
      <c r="A239" t="s">
        <v>3179</v>
      </c>
      <c r="B239" t="s">
        <v>68</v>
      </c>
      <c r="D239" s="1">
        <v>46204</v>
      </c>
      <c r="E239" s="1">
        <v>47664</v>
      </c>
      <c r="F239" t="s">
        <v>3180</v>
      </c>
      <c r="G239" t="s">
        <v>3181</v>
      </c>
      <c r="H239" s="2" t="s">
        <v>3182</v>
      </c>
      <c r="I239" t="s">
        <v>3181</v>
      </c>
      <c r="K239" t="s">
        <v>3183</v>
      </c>
      <c r="L239">
        <v>5116533</v>
      </c>
      <c r="M239" t="s">
        <v>3184</v>
      </c>
      <c r="N239" t="s">
        <v>179</v>
      </c>
      <c r="O239" t="s">
        <v>180</v>
      </c>
      <c r="P239" t="s">
        <v>129</v>
      </c>
      <c r="Q239" t="s">
        <v>3185</v>
      </c>
      <c r="R239" t="s">
        <v>1133</v>
      </c>
      <c r="S239" t="s">
        <v>1134</v>
      </c>
      <c r="T239" t="s">
        <v>184</v>
      </c>
      <c r="U239" t="s">
        <v>112</v>
      </c>
      <c r="V239" t="s">
        <v>82</v>
      </c>
      <c r="W239" t="s">
        <v>1133</v>
      </c>
      <c r="X239" t="s">
        <v>1134</v>
      </c>
      <c r="Y239" t="s">
        <v>184</v>
      </c>
      <c r="Z239" t="s">
        <v>112</v>
      </c>
      <c r="AA239" t="s">
        <v>82</v>
      </c>
      <c r="AB239" t="s">
        <v>83</v>
      </c>
      <c r="AC239" t="s">
        <v>185</v>
      </c>
      <c r="AD239" t="s">
        <v>149</v>
      </c>
      <c r="AE239" t="s">
        <v>3186</v>
      </c>
      <c r="AF239" t="s">
        <v>85</v>
      </c>
      <c r="AG239" t="s">
        <v>3187</v>
      </c>
      <c r="AH239">
        <v>9</v>
      </c>
      <c r="AI239">
        <v>1022320</v>
      </c>
      <c r="AJ239">
        <v>70000</v>
      </c>
      <c r="AK239">
        <v>0</v>
      </c>
      <c r="AL239">
        <v>1092320</v>
      </c>
      <c r="AM239" t="s">
        <v>3188</v>
      </c>
      <c r="AN239" t="s">
        <v>3189</v>
      </c>
      <c r="AO239" t="s">
        <v>300</v>
      </c>
      <c r="AP239" t="s">
        <v>301</v>
      </c>
      <c r="AQ239" t="s">
        <v>82</v>
      </c>
      <c r="AR239" t="s">
        <v>3190</v>
      </c>
      <c r="AS239" s="3">
        <v>46202.465223658182</v>
      </c>
      <c r="AT239" t="s">
        <v>89</v>
      </c>
      <c r="AU239" t="s">
        <v>90</v>
      </c>
      <c r="AV239" t="s">
        <v>2712</v>
      </c>
      <c r="AW239" t="s">
        <v>92</v>
      </c>
      <c r="AX239" t="s">
        <v>2713</v>
      </c>
      <c r="AY239" t="s">
        <v>94</v>
      </c>
      <c r="AZ239" t="s">
        <v>85</v>
      </c>
      <c r="BA239" t="s">
        <v>3191</v>
      </c>
      <c r="BB239" t="s">
        <v>3179</v>
      </c>
      <c r="BC239" t="s">
        <v>3181</v>
      </c>
      <c r="BD239" t="s">
        <v>1133</v>
      </c>
      <c r="BE239" t="s">
        <v>1134</v>
      </c>
      <c r="BF239" t="b">
        <f t="shared" si="3"/>
        <v>1</v>
      </c>
      <c r="BG239" t="b">
        <v>1</v>
      </c>
      <c r="BH239">
        <v>1983</v>
      </c>
      <c r="BI239" t="b">
        <v>1</v>
      </c>
      <c r="BJ239" t="s">
        <v>2715</v>
      </c>
      <c r="BK239" t="s">
        <v>1140</v>
      </c>
      <c r="BL239" t="b">
        <v>1</v>
      </c>
      <c r="BM239" t="b">
        <v>1</v>
      </c>
      <c r="BN239" t="b">
        <v>1</v>
      </c>
      <c r="BO239" t="s">
        <v>3192</v>
      </c>
      <c r="BP239" t="b">
        <f>IF(IFERROR(VLOOKUP(A239,[1]Planilha1!$A:$A,1,0),FALSE)=FALSE,FALSE,TRUE)</f>
        <v>1</v>
      </c>
    </row>
    <row r="240" spans="1:68" x14ac:dyDescent="0.25">
      <c r="A240" t="s">
        <v>3193</v>
      </c>
      <c r="B240" t="s">
        <v>68</v>
      </c>
      <c r="D240" s="1">
        <v>46204</v>
      </c>
      <c r="E240" s="1">
        <v>47664</v>
      </c>
      <c r="F240" t="s">
        <v>3194</v>
      </c>
      <c r="G240" t="s">
        <v>3195</v>
      </c>
      <c r="H240" s="2" t="s">
        <v>3196</v>
      </c>
      <c r="I240" t="s">
        <v>3195</v>
      </c>
      <c r="K240" t="s">
        <v>3197</v>
      </c>
      <c r="L240">
        <v>5116879</v>
      </c>
      <c r="M240" t="s">
        <v>3198</v>
      </c>
      <c r="N240" t="s">
        <v>359</v>
      </c>
      <c r="O240" t="s">
        <v>360</v>
      </c>
      <c r="P240" t="s">
        <v>129</v>
      </c>
      <c r="Q240" t="s">
        <v>361</v>
      </c>
      <c r="R240" t="s">
        <v>2972</v>
      </c>
      <c r="S240" t="s">
        <v>2973</v>
      </c>
      <c r="T240" t="s">
        <v>300</v>
      </c>
      <c r="U240" t="s">
        <v>301</v>
      </c>
      <c r="V240" t="s">
        <v>82</v>
      </c>
      <c r="W240" t="s">
        <v>2972</v>
      </c>
      <c r="X240" t="s">
        <v>2973</v>
      </c>
      <c r="Y240" t="s">
        <v>300</v>
      </c>
      <c r="Z240" t="s">
        <v>301</v>
      </c>
      <c r="AA240" t="s">
        <v>82</v>
      </c>
      <c r="AB240" t="s">
        <v>83</v>
      </c>
      <c r="AC240" t="s">
        <v>185</v>
      </c>
      <c r="AD240" t="s">
        <v>85</v>
      </c>
      <c r="AE240" t="s">
        <v>3199</v>
      </c>
      <c r="AF240" t="s">
        <v>85</v>
      </c>
      <c r="AG240" t="s">
        <v>3200</v>
      </c>
      <c r="AH240">
        <v>10</v>
      </c>
      <c r="AI240">
        <v>613920</v>
      </c>
      <c r="AJ240">
        <v>60000</v>
      </c>
      <c r="AK240">
        <v>0</v>
      </c>
      <c r="AL240">
        <v>673920</v>
      </c>
      <c r="AM240" t="s">
        <v>2972</v>
      </c>
      <c r="AN240" t="s">
        <v>2973</v>
      </c>
      <c r="AO240" t="s">
        <v>300</v>
      </c>
      <c r="AP240" t="s">
        <v>301</v>
      </c>
      <c r="AQ240" t="s">
        <v>82</v>
      </c>
      <c r="AR240" t="s">
        <v>3201</v>
      </c>
      <c r="AS240" s="3">
        <v>46202.465223658182</v>
      </c>
      <c r="AT240" t="s">
        <v>89</v>
      </c>
      <c r="AU240" t="s">
        <v>90</v>
      </c>
      <c r="AV240" t="s">
        <v>2712</v>
      </c>
      <c r="AW240" t="s">
        <v>92</v>
      </c>
      <c r="AX240" t="s">
        <v>2713</v>
      </c>
      <c r="AY240" t="s">
        <v>94</v>
      </c>
      <c r="AZ240" t="s">
        <v>85</v>
      </c>
      <c r="BA240" t="s">
        <v>3202</v>
      </c>
      <c r="BB240" t="s">
        <v>3193</v>
      </c>
      <c r="BC240" t="s">
        <v>3195</v>
      </c>
      <c r="BD240" t="s">
        <v>2972</v>
      </c>
      <c r="BE240" t="s">
        <v>2973</v>
      </c>
      <c r="BF240" t="b">
        <f t="shared" si="3"/>
        <v>1</v>
      </c>
      <c r="BG240" t="b">
        <v>1</v>
      </c>
      <c r="BH240">
        <v>2015</v>
      </c>
      <c r="BI240" t="b">
        <v>1</v>
      </c>
      <c r="BJ240" t="s">
        <v>2715</v>
      </c>
      <c r="BK240" t="s">
        <v>2978</v>
      </c>
      <c r="BL240" t="b">
        <v>1</v>
      </c>
      <c r="BM240" t="b">
        <v>1</v>
      </c>
      <c r="BN240" t="b">
        <v>1</v>
      </c>
      <c r="BO240" t="s">
        <v>3203</v>
      </c>
      <c r="BP240" t="b">
        <f>IF(IFERROR(VLOOKUP(A240,[1]Planilha1!$A:$A,1,0),FALSE)=FALSE,FALSE,TRUE)</f>
        <v>1</v>
      </c>
    </row>
    <row r="241" spans="1:68" x14ac:dyDescent="0.25">
      <c r="A241" t="s">
        <v>3204</v>
      </c>
      <c r="B241" t="s">
        <v>68</v>
      </c>
      <c r="D241" s="1">
        <v>46204</v>
      </c>
      <c r="E241" s="1">
        <v>47664</v>
      </c>
      <c r="F241" t="s">
        <v>3205</v>
      </c>
      <c r="G241" t="s">
        <v>3206</v>
      </c>
      <c r="H241" s="2" t="s">
        <v>3207</v>
      </c>
      <c r="I241" t="s">
        <v>3206</v>
      </c>
      <c r="K241" t="s">
        <v>3208</v>
      </c>
      <c r="L241">
        <v>5116429</v>
      </c>
      <c r="M241" t="s">
        <v>3209</v>
      </c>
      <c r="N241" t="s">
        <v>359</v>
      </c>
      <c r="O241" t="s">
        <v>360</v>
      </c>
      <c r="P241" t="s">
        <v>129</v>
      </c>
      <c r="Q241" t="s">
        <v>1767</v>
      </c>
      <c r="R241" t="s">
        <v>2815</v>
      </c>
      <c r="S241" t="s">
        <v>2816</v>
      </c>
      <c r="T241" t="s">
        <v>184</v>
      </c>
      <c r="U241" t="s">
        <v>112</v>
      </c>
      <c r="V241" t="s">
        <v>82</v>
      </c>
      <c r="W241" t="s">
        <v>2815</v>
      </c>
      <c r="X241" t="s">
        <v>2816</v>
      </c>
      <c r="Y241" t="s">
        <v>184</v>
      </c>
      <c r="Z241" t="s">
        <v>112</v>
      </c>
      <c r="AA241" t="s">
        <v>82</v>
      </c>
      <c r="AB241" t="s">
        <v>83</v>
      </c>
      <c r="AC241" t="s">
        <v>185</v>
      </c>
      <c r="AD241" t="s">
        <v>252</v>
      </c>
      <c r="AE241" t="s">
        <v>3210</v>
      </c>
      <c r="AF241" t="s">
        <v>252</v>
      </c>
      <c r="AG241" t="s">
        <v>3211</v>
      </c>
      <c r="AH241">
        <v>8</v>
      </c>
      <c r="AI241">
        <v>1450280</v>
      </c>
      <c r="AJ241">
        <v>48580</v>
      </c>
      <c r="AK241">
        <v>0</v>
      </c>
      <c r="AL241">
        <v>1498860</v>
      </c>
      <c r="AM241" t="s">
        <v>2815</v>
      </c>
      <c r="AN241" t="s">
        <v>2816</v>
      </c>
      <c r="AO241" t="s">
        <v>184</v>
      </c>
      <c r="AP241" t="s">
        <v>112</v>
      </c>
      <c r="AQ241" t="s">
        <v>82</v>
      </c>
      <c r="AR241" t="s">
        <v>3212</v>
      </c>
      <c r="AS241" s="3">
        <v>46202.465223658182</v>
      </c>
      <c r="AT241" t="s">
        <v>89</v>
      </c>
      <c r="AU241" t="s">
        <v>90</v>
      </c>
      <c r="AV241" t="s">
        <v>2712</v>
      </c>
      <c r="AW241" t="s">
        <v>92</v>
      </c>
      <c r="AX241" t="s">
        <v>2713</v>
      </c>
      <c r="AY241" t="s">
        <v>94</v>
      </c>
      <c r="AZ241" t="s">
        <v>85</v>
      </c>
      <c r="BA241" t="s">
        <v>3213</v>
      </c>
      <c r="BB241" t="s">
        <v>3204</v>
      </c>
      <c r="BC241" t="s">
        <v>3206</v>
      </c>
      <c r="BD241" t="s">
        <v>2815</v>
      </c>
      <c r="BE241" t="s">
        <v>2816</v>
      </c>
      <c r="BF241" t="b">
        <f t="shared" si="3"/>
        <v>1</v>
      </c>
      <c r="BG241" t="b">
        <v>1</v>
      </c>
      <c r="BH241">
        <v>2001</v>
      </c>
      <c r="BI241" t="b">
        <v>1</v>
      </c>
      <c r="BJ241" t="s">
        <v>2715</v>
      </c>
      <c r="BK241" t="s">
        <v>2821</v>
      </c>
      <c r="BL241" t="b">
        <v>1</v>
      </c>
      <c r="BM241" t="b">
        <v>1</v>
      </c>
      <c r="BN241" t="b">
        <v>1</v>
      </c>
      <c r="BO241" t="s">
        <v>3214</v>
      </c>
      <c r="BP241" t="b">
        <f>IF(IFERROR(VLOOKUP(A241,[1]Planilha1!$A:$A,1,0),FALSE)=FALSE,FALSE,TRUE)</f>
        <v>1</v>
      </c>
    </row>
    <row r="242" spans="1:68" x14ac:dyDescent="0.25">
      <c r="A242" t="s">
        <v>3215</v>
      </c>
      <c r="B242" t="s">
        <v>68</v>
      </c>
      <c r="D242" s="1">
        <v>46204</v>
      </c>
      <c r="E242" s="1">
        <v>47664</v>
      </c>
      <c r="F242" t="s">
        <v>3216</v>
      </c>
      <c r="G242" t="s">
        <v>3217</v>
      </c>
      <c r="H242" s="2" t="s">
        <v>3218</v>
      </c>
      <c r="I242" t="s">
        <v>3217</v>
      </c>
      <c r="K242" t="s">
        <v>3219</v>
      </c>
      <c r="L242">
        <v>5116341</v>
      </c>
      <c r="M242" t="s">
        <v>3220</v>
      </c>
      <c r="N242" t="s">
        <v>886</v>
      </c>
      <c r="O242" t="s">
        <v>887</v>
      </c>
      <c r="P242" t="s">
        <v>107</v>
      </c>
      <c r="Q242" t="s">
        <v>2452</v>
      </c>
      <c r="R242" t="s">
        <v>2707</v>
      </c>
      <c r="S242" t="s">
        <v>2708</v>
      </c>
      <c r="T242" t="s">
        <v>184</v>
      </c>
      <c r="U242" t="s">
        <v>112</v>
      </c>
      <c r="V242" t="s">
        <v>82</v>
      </c>
      <c r="W242" t="s">
        <v>2707</v>
      </c>
      <c r="X242" t="s">
        <v>2708</v>
      </c>
      <c r="Y242" t="s">
        <v>184</v>
      </c>
      <c r="Z242" t="s">
        <v>112</v>
      </c>
      <c r="AA242" t="s">
        <v>82</v>
      </c>
      <c r="AB242" t="s">
        <v>83</v>
      </c>
      <c r="AC242" t="s">
        <v>202</v>
      </c>
      <c r="AD242" t="s">
        <v>1396</v>
      </c>
      <c r="AE242" t="s">
        <v>560</v>
      </c>
      <c r="AF242" t="s">
        <v>1396</v>
      </c>
      <c r="AG242" t="s">
        <v>3221</v>
      </c>
      <c r="AH242">
        <v>6</v>
      </c>
      <c r="AI242">
        <v>1296750</v>
      </c>
      <c r="AJ242">
        <v>145383.32999999999</v>
      </c>
      <c r="AK242">
        <v>0</v>
      </c>
      <c r="AL242">
        <v>1442133.33</v>
      </c>
      <c r="AM242" t="s">
        <v>2707</v>
      </c>
      <c r="AN242" t="s">
        <v>2708</v>
      </c>
      <c r="AO242" t="s">
        <v>184</v>
      </c>
      <c r="AP242" t="s">
        <v>112</v>
      </c>
      <c r="AQ242" t="s">
        <v>82</v>
      </c>
      <c r="AR242" t="s">
        <v>3222</v>
      </c>
      <c r="AS242" s="3">
        <v>46202.465223658182</v>
      </c>
      <c r="AT242" t="s">
        <v>89</v>
      </c>
      <c r="AU242" t="s">
        <v>90</v>
      </c>
      <c r="AV242" t="s">
        <v>2712</v>
      </c>
      <c r="AW242" t="s">
        <v>92</v>
      </c>
      <c r="AX242" t="s">
        <v>2713</v>
      </c>
      <c r="AY242" t="s">
        <v>94</v>
      </c>
      <c r="AZ242" t="s">
        <v>85</v>
      </c>
      <c r="BA242" t="s">
        <v>3223</v>
      </c>
      <c r="BB242" t="s">
        <v>3215</v>
      </c>
      <c r="BC242" t="s">
        <v>3217</v>
      </c>
      <c r="BD242" t="s">
        <v>2707</v>
      </c>
      <c r="BE242" t="s">
        <v>2708</v>
      </c>
      <c r="BF242" t="b">
        <f t="shared" si="3"/>
        <v>1</v>
      </c>
      <c r="BG242" t="b">
        <v>1</v>
      </c>
      <c r="BH242">
        <v>1994</v>
      </c>
      <c r="BI242" t="b">
        <v>1</v>
      </c>
      <c r="BJ242" t="s">
        <v>2715</v>
      </c>
      <c r="BK242" t="s">
        <v>2716</v>
      </c>
      <c r="BL242" t="b">
        <v>1</v>
      </c>
      <c r="BM242" t="b">
        <v>1</v>
      </c>
      <c r="BN242" t="b">
        <v>1</v>
      </c>
      <c r="BO242" t="s">
        <v>3224</v>
      </c>
      <c r="BP242" t="b">
        <f>IF(IFERROR(VLOOKUP(A242,[1]Planilha1!$A:$A,1,0),FALSE)=FALSE,FALSE,TRUE)</f>
        <v>1</v>
      </c>
    </row>
    <row r="243" spans="1:68" x14ac:dyDescent="0.25">
      <c r="A243" t="s">
        <v>3225</v>
      </c>
      <c r="B243" t="s">
        <v>68</v>
      </c>
      <c r="D243" s="1">
        <v>46204</v>
      </c>
      <c r="E243" s="1">
        <v>47664</v>
      </c>
      <c r="F243" t="s">
        <v>3226</v>
      </c>
      <c r="G243" t="s">
        <v>3227</v>
      </c>
      <c r="H243" s="2" t="s">
        <v>3228</v>
      </c>
      <c r="I243" t="s">
        <v>3227</v>
      </c>
      <c r="K243" t="s">
        <v>3229</v>
      </c>
      <c r="L243">
        <v>5116869</v>
      </c>
      <c r="M243" t="s">
        <v>3230</v>
      </c>
      <c r="N243" t="s">
        <v>2109</v>
      </c>
      <c r="O243" t="s">
        <v>2018</v>
      </c>
      <c r="P243" t="s">
        <v>230</v>
      </c>
      <c r="Q243" t="s">
        <v>3231</v>
      </c>
      <c r="R243" t="s">
        <v>2972</v>
      </c>
      <c r="S243" t="s">
        <v>2973</v>
      </c>
      <c r="T243" t="s">
        <v>300</v>
      </c>
      <c r="U243" t="s">
        <v>301</v>
      </c>
      <c r="V243" t="s">
        <v>82</v>
      </c>
      <c r="W243" t="s">
        <v>2972</v>
      </c>
      <c r="X243" t="s">
        <v>2973</v>
      </c>
      <c r="Y243" t="s">
        <v>300</v>
      </c>
      <c r="Z243" t="s">
        <v>301</v>
      </c>
      <c r="AA243" t="s">
        <v>82</v>
      </c>
      <c r="AB243" t="s">
        <v>83</v>
      </c>
      <c r="AC243" t="s">
        <v>1013</v>
      </c>
      <c r="AD243" t="s">
        <v>85</v>
      </c>
      <c r="AE243" t="s">
        <v>3232</v>
      </c>
      <c r="AF243" t="s">
        <v>85</v>
      </c>
      <c r="AG243" t="s">
        <v>3233</v>
      </c>
      <c r="AH243">
        <v>15</v>
      </c>
      <c r="AI243">
        <v>1411560</v>
      </c>
      <c r="AJ243">
        <v>85000</v>
      </c>
      <c r="AK243">
        <v>0</v>
      </c>
      <c r="AL243">
        <v>1496560</v>
      </c>
      <c r="AM243" t="s">
        <v>2972</v>
      </c>
      <c r="AN243" t="s">
        <v>2973</v>
      </c>
      <c r="AO243" t="s">
        <v>300</v>
      </c>
      <c r="AP243" t="s">
        <v>301</v>
      </c>
      <c r="AQ243" t="s">
        <v>82</v>
      </c>
      <c r="AR243" t="s">
        <v>3234</v>
      </c>
      <c r="AS243" s="3">
        <v>46202.465223658182</v>
      </c>
      <c r="AT243" t="s">
        <v>89</v>
      </c>
      <c r="AU243" t="s">
        <v>90</v>
      </c>
      <c r="AV243" t="s">
        <v>2712</v>
      </c>
      <c r="AW243" t="s">
        <v>92</v>
      </c>
      <c r="AX243" t="s">
        <v>2713</v>
      </c>
      <c r="AY243" t="s">
        <v>94</v>
      </c>
      <c r="AZ243" t="s">
        <v>85</v>
      </c>
      <c r="BA243" t="s">
        <v>3235</v>
      </c>
      <c r="BB243" t="s">
        <v>3225</v>
      </c>
      <c r="BC243" t="s">
        <v>3227</v>
      </c>
      <c r="BD243" t="s">
        <v>2972</v>
      </c>
      <c r="BE243" t="s">
        <v>2973</v>
      </c>
      <c r="BF243" t="b">
        <f t="shared" si="3"/>
        <v>1</v>
      </c>
      <c r="BG243" t="b">
        <v>1</v>
      </c>
      <c r="BH243">
        <v>2007</v>
      </c>
      <c r="BI243" t="b">
        <v>1</v>
      </c>
      <c r="BJ243" t="s">
        <v>2715</v>
      </c>
      <c r="BK243" t="s">
        <v>2978</v>
      </c>
      <c r="BL243" t="b">
        <v>1</v>
      </c>
      <c r="BM243" t="b">
        <v>1</v>
      </c>
      <c r="BN243" t="b">
        <v>1</v>
      </c>
      <c r="BO243" t="s">
        <v>3236</v>
      </c>
      <c r="BP243" t="b">
        <f>IF(IFERROR(VLOOKUP(A243,[1]Planilha1!$A:$A,1,0),FALSE)=FALSE,FALSE,TRUE)</f>
        <v>1</v>
      </c>
    </row>
    <row r="244" spans="1:68" x14ac:dyDescent="0.25">
      <c r="A244" t="s">
        <v>3237</v>
      </c>
      <c r="B244" t="s">
        <v>68</v>
      </c>
      <c r="D244" s="1">
        <v>46204</v>
      </c>
      <c r="E244" s="1">
        <v>47664</v>
      </c>
      <c r="F244" t="s">
        <v>3238</v>
      </c>
      <c r="G244" t="s">
        <v>3239</v>
      </c>
      <c r="H244" s="2" t="s">
        <v>3240</v>
      </c>
      <c r="I244" t="s">
        <v>3239</v>
      </c>
      <c r="K244" t="s">
        <v>3241</v>
      </c>
      <c r="L244">
        <v>5116306</v>
      </c>
      <c r="M244" t="s">
        <v>3242</v>
      </c>
      <c r="N244" t="s">
        <v>2561</v>
      </c>
      <c r="O244" t="s">
        <v>229</v>
      </c>
      <c r="P244" t="s">
        <v>230</v>
      </c>
      <c r="Q244" t="s">
        <v>3243</v>
      </c>
      <c r="R244" t="s">
        <v>2773</v>
      </c>
      <c r="S244" t="s">
        <v>2774</v>
      </c>
      <c r="T244" t="s">
        <v>184</v>
      </c>
      <c r="U244" t="s">
        <v>112</v>
      </c>
      <c r="V244" t="s">
        <v>82</v>
      </c>
      <c r="W244" t="s">
        <v>2773</v>
      </c>
      <c r="X244" t="s">
        <v>2774</v>
      </c>
      <c r="Y244" t="s">
        <v>184</v>
      </c>
      <c r="Z244" t="s">
        <v>112</v>
      </c>
      <c r="AA244" t="s">
        <v>82</v>
      </c>
      <c r="AB244" t="s">
        <v>83</v>
      </c>
      <c r="AC244" t="s">
        <v>235</v>
      </c>
      <c r="AD244" t="s">
        <v>136</v>
      </c>
      <c r="AE244" t="s">
        <v>3244</v>
      </c>
      <c r="AF244" t="s">
        <v>136</v>
      </c>
      <c r="AG244" t="s">
        <v>3245</v>
      </c>
      <c r="AH244">
        <v>7</v>
      </c>
      <c r="AI244">
        <v>1301040</v>
      </c>
      <c r="AJ244">
        <v>153333</v>
      </c>
      <c r="AK244">
        <v>0</v>
      </c>
      <c r="AL244">
        <v>1454373</v>
      </c>
      <c r="AM244" t="s">
        <v>2773</v>
      </c>
      <c r="AN244" t="s">
        <v>2774</v>
      </c>
      <c r="AO244" t="s">
        <v>184</v>
      </c>
      <c r="AP244" t="s">
        <v>112</v>
      </c>
      <c r="AQ244" t="s">
        <v>82</v>
      </c>
      <c r="AR244" t="s">
        <v>3246</v>
      </c>
      <c r="AS244" s="3">
        <v>46202.465223658182</v>
      </c>
      <c r="AT244" t="s">
        <v>89</v>
      </c>
      <c r="AU244" t="s">
        <v>90</v>
      </c>
      <c r="AV244" t="s">
        <v>2712</v>
      </c>
      <c r="AW244" t="s">
        <v>92</v>
      </c>
      <c r="AX244" t="s">
        <v>2713</v>
      </c>
      <c r="AY244" t="s">
        <v>94</v>
      </c>
      <c r="AZ244" t="s">
        <v>85</v>
      </c>
      <c r="BA244" t="s">
        <v>3247</v>
      </c>
      <c r="BB244" t="s">
        <v>3237</v>
      </c>
      <c r="BC244" t="s">
        <v>3239</v>
      </c>
      <c r="BD244" t="s">
        <v>2773</v>
      </c>
      <c r="BE244" t="s">
        <v>2774</v>
      </c>
      <c r="BF244" t="b">
        <f t="shared" si="3"/>
        <v>1</v>
      </c>
      <c r="BG244" t="b">
        <v>1</v>
      </c>
      <c r="BH244">
        <v>2014</v>
      </c>
      <c r="BI244" t="b">
        <v>1</v>
      </c>
      <c r="BJ244" t="s">
        <v>2715</v>
      </c>
      <c r="BK244" t="s">
        <v>2779</v>
      </c>
      <c r="BL244" t="b">
        <v>1</v>
      </c>
      <c r="BM244" t="b">
        <v>1</v>
      </c>
      <c r="BN244" t="b">
        <v>1</v>
      </c>
      <c r="BO244" t="s">
        <v>3248</v>
      </c>
      <c r="BP244" t="b">
        <f>IF(IFERROR(VLOOKUP(A244,[1]Planilha1!$A:$A,1,0),FALSE)=FALSE,FALSE,TRUE)</f>
        <v>1</v>
      </c>
    </row>
    <row r="245" spans="1:68" x14ac:dyDescent="0.25">
      <c r="A245" t="s">
        <v>3249</v>
      </c>
      <c r="B245" t="s">
        <v>68</v>
      </c>
      <c r="D245" s="1">
        <v>46204</v>
      </c>
      <c r="E245" s="1">
        <v>47664</v>
      </c>
      <c r="F245" t="s">
        <v>3250</v>
      </c>
      <c r="G245" t="s">
        <v>3251</v>
      </c>
      <c r="H245" s="2" t="s">
        <v>3252</v>
      </c>
      <c r="I245" t="s">
        <v>3251</v>
      </c>
      <c r="K245" t="s">
        <v>3253</v>
      </c>
      <c r="L245">
        <v>5116555</v>
      </c>
      <c r="M245" t="s">
        <v>3254</v>
      </c>
      <c r="N245" t="s">
        <v>179</v>
      </c>
      <c r="O245" t="s">
        <v>180</v>
      </c>
      <c r="P245" t="s">
        <v>129</v>
      </c>
      <c r="Q245" t="s">
        <v>912</v>
      </c>
      <c r="R245" t="s">
        <v>1133</v>
      </c>
      <c r="S245" t="s">
        <v>1134</v>
      </c>
      <c r="T245" t="s">
        <v>184</v>
      </c>
      <c r="U245" t="s">
        <v>112</v>
      </c>
      <c r="V245" t="s">
        <v>82</v>
      </c>
      <c r="W245" t="s">
        <v>1133</v>
      </c>
      <c r="X245" t="s">
        <v>1134</v>
      </c>
      <c r="Y245" t="s">
        <v>184</v>
      </c>
      <c r="Z245" t="s">
        <v>112</v>
      </c>
      <c r="AA245" t="s">
        <v>82</v>
      </c>
      <c r="AB245" t="s">
        <v>83</v>
      </c>
      <c r="AC245" t="s">
        <v>185</v>
      </c>
      <c r="AD245" t="s">
        <v>252</v>
      </c>
      <c r="AE245" t="s">
        <v>3255</v>
      </c>
      <c r="AF245" t="s">
        <v>85</v>
      </c>
      <c r="AG245" t="s">
        <v>3256</v>
      </c>
      <c r="AH245">
        <v>3</v>
      </c>
      <c r="AI245">
        <v>300144</v>
      </c>
      <c r="AJ245">
        <v>33000</v>
      </c>
      <c r="AK245">
        <v>0</v>
      </c>
      <c r="AL245">
        <v>333144</v>
      </c>
      <c r="AM245" t="s">
        <v>606</v>
      </c>
      <c r="AN245" t="s">
        <v>607</v>
      </c>
      <c r="AO245" t="s">
        <v>184</v>
      </c>
      <c r="AP245" t="s">
        <v>112</v>
      </c>
      <c r="AQ245" t="s">
        <v>82</v>
      </c>
      <c r="AR245" t="s">
        <v>3257</v>
      </c>
      <c r="AS245" s="3">
        <v>46202.465223658182</v>
      </c>
      <c r="AT245" t="s">
        <v>89</v>
      </c>
      <c r="AU245" t="s">
        <v>90</v>
      </c>
      <c r="AV245" t="s">
        <v>2712</v>
      </c>
      <c r="AW245" t="s">
        <v>92</v>
      </c>
      <c r="AX245" t="s">
        <v>2713</v>
      </c>
      <c r="AY245" t="s">
        <v>94</v>
      </c>
      <c r="AZ245" t="s">
        <v>85</v>
      </c>
      <c r="BA245" t="s">
        <v>3258</v>
      </c>
      <c r="BB245" t="s">
        <v>3249</v>
      </c>
      <c r="BC245" t="s">
        <v>3251</v>
      </c>
      <c r="BD245" t="s">
        <v>1133</v>
      </c>
      <c r="BE245" t="s">
        <v>1134</v>
      </c>
      <c r="BF245" t="b">
        <f t="shared" si="3"/>
        <v>1</v>
      </c>
      <c r="BG245" t="b">
        <v>1</v>
      </c>
      <c r="BH245">
        <v>2023</v>
      </c>
      <c r="BI245" t="b">
        <v>1</v>
      </c>
      <c r="BJ245" t="s">
        <v>2715</v>
      </c>
      <c r="BK245" t="s">
        <v>1140</v>
      </c>
      <c r="BL245" t="b">
        <v>1</v>
      </c>
      <c r="BM245" t="b">
        <v>1</v>
      </c>
      <c r="BN245" t="b">
        <v>1</v>
      </c>
      <c r="BO245" t="s">
        <v>3259</v>
      </c>
      <c r="BP245" t="b">
        <f>IF(IFERROR(VLOOKUP(A245,[1]Planilha1!$A:$A,1,0),FALSE)=FALSE,FALSE,TRUE)</f>
        <v>1</v>
      </c>
    </row>
    <row r="246" spans="1:68" x14ac:dyDescent="0.25">
      <c r="A246" t="s">
        <v>3260</v>
      </c>
      <c r="B246" t="s">
        <v>68</v>
      </c>
      <c r="D246" s="1">
        <v>46204</v>
      </c>
      <c r="E246" s="1">
        <v>47664</v>
      </c>
      <c r="F246" t="s">
        <v>3261</v>
      </c>
      <c r="G246" t="s">
        <v>3262</v>
      </c>
      <c r="H246" s="2" t="s">
        <v>3263</v>
      </c>
      <c r="I246" t="s">
        <v>3262</v>
      </c>
      <c r="K246" t="s">
        <v>3264</v>
      </c>
      <c r="L246">
        <v>5116739</v>
      </c>
      <c r="M246" t="s">
        <v>3265</v>
      </c>
      <c r="N246" t="s">
        <v>389</v>
      </c>
      <c r="O246" t="s">
        <v>390</v>
      </c>
      <c r="P246" t="s">
        <v>107</v>
      </c>
      <c r="Q246" t="s">
        <v>1236</v>
      </c>
      <c r="R246" t="s">
        <v>2707</v>
      </c>
      <c r="S246" t="s">
        <v>2708</v>
      </c>
      <c r="T246" t="s">
        <v>184</v>
      </c>
      <c r="U246" t="s">
        <v>112</v>
      </c>
      <c r="V246" t="s">
        <v>82</v>
      </c>
      <c r="W246" t="s">
        <v>2707</v>
      </c>
      <c r="X246" t="s">
        <v>2708</v>
      </c>
      <c r="Y246" t="s">
        <v>184</v>
      </c>
      <c r="Z246" t="s">
        <v>112</v>
      </c>
      <c r="AA246" t="s">
        <v>82</v>
      </c>
      <c r="AB246" t="s">
        <v>83</v>
      </c>
      <c r="AC246" t="s">
        <v>202</v>
      </c>
      <c r="AD246" t="s">
        <v>85</v>
      </c>
      <c r="AE246" t="s">
        <v>3266</v>
      </c>
      <c r="AF246" t="s">
        <v>85</v>
      </c>
      <c r="AG246" t="s">
        <v>3267</v>
      </c>
      <c r="AH246">
        <v>6</v>
      </c>
      <c r="AI246">
        <v>1296620</v>
      </c>
      <c r="AJ246">
        <v>140000</v>
      </c>
      <c r="AK246">
        <v>0</v>
      </c>
      <c r="AL246">
        <v>1436620</v>
      </c>
      <c r="AM246" t="s">
        <v>2707</v>
      </c>
      <c r="AN246" t="s">
        <v>2708</v>
      </c>
      <c r="AO246" t="s">
        <v>184</v>
      </c>
      <c r="AP246" t="s">
        <v>112</v>
      </c>
      <c r="AQ246" t="s">
        <v>82</v>
      </c>
      <c r="AR246" t="s">
        <v>3268</v>
      </c>
      <c r="AS246" s="3">
        <v>46202.465223658182</v>
      </c>
      <c r="AT246" t="s">
        <v>89</v>
      </c>
      <c r="AU246" t="s">
        <v>90</v>
      </c>
      <c r="AV246" t="s">
        <v>2712</v>
      </c>
      <c r="AW246" t="s">
        <v>92</v>
      </c>
      <c r="AX246" t="s">
        <v>2713</v>
      </c>
      <c r="AY246" t="s">
        <v>94</v>
      </c>
      <c r="AZ246" t="s">
        <v>85</v>
      </c>
      <c r="BA246" t="s">
        <v>3269</v>
      </c>
      <c r="BB246" t="s">
        <v>3260</v>
      </c>
      <c r="BC246" t="s">
        <v>3262</v>
      </c>
      <c r="BD246" t="s">
        <v>2707</v>
      </c>
      <c r="BE246" t="s">
        <v>2708</v>
      </c>
      <c r="BF246" t="b">
        <f t="shared" si="3"/>
        <v>1</v>
      </c>
      <c r="BG246" t="b">
        <v>1</v>
      </c>
      <c r="BH246">
        <v>2003</v>
      </c>
      <c r="BI246" t="b">
        <v>1</v>
      </c>
      <c r="BJ246" t="s">
        <v>2715</v>
      </c>
      <c r="BK246" t="s">
        <v>2716</v>
      </c>
      <c r="BL246" t="b">
        <v>1</v>
      </c>
      <c r="BM246" t="b">
        <v>1</v>
      </c>
      <c r="BN246" t="b">
        <v>1</v>
      </c>
      <c r="BO246" t="s">
        <v>3270</v>
      </c>
      <c r="BP246" t="b">
        <f>IF(IFERROR(VLOOKUP(A246,[1]Planilha1!$A:$A,1,0),FALSE)=FALSE,FALSE,TRUE)</f>
        <v>1</v>
      </c>
    </row>
    <row r="247" spans="1:68" x14ac:dyDescent="0.25">
      <c r="A247" t="s">
        <v>3271</v>
      </c>
      <c r="B247" t="s">
        <v>68</v>
      </c>
      <c r="D247" s="1">
        <v>46204</v>
      </c>
      <c r="E247" s="1">
        <v>47664</v>
      </c>
      <c r="F247" t="s">
        <v>3272</v>
      </c>
      <c r="G247" t="s">
        <v>3273</v>
      </c>
      <c r="H247" s="2" t="s">
        <v>3274</v>
      </c>
      <c r="I247" t="s">
        <v>3273</v>
      </c>
      <c r="K247" t="s">
        <v>3275</v>
      </c>
      <c r="L247">
        <v>5116381</v>
      </c>
      <c r="M247" t="s">
        <v>3276</v>
      </c>
      <c r="N247" t="s">
        <v>886</v>
      </c>
      <c r="O247" t="s">
        <v>887</v>
      </c>
      <c r="P247" t="s">
        <v>107</v>
      </c>
      <c r="Q247" t="s">
        <v>2031</v>
      </c>
      <c r="R247" t="s">
        <v>2773</v>
      </c>
      <c r="S247" t="s">
        <v>2774</v>
      </c>
      <c r="T247" t="s">
        <v>184</v>
      </c>
      <c r="U247" t="s">
        <v>112</v>
      </c>
      <c r="V247" t="s">
        <v>82</v>
      </c>
      <c r="W247" t="s">
        <v>2773</v>
      </c>
      <c r="X247" t="s">
        <v>2774</v>
      </c>
      <c r="Y247" t="s">
        <v>184</v>
      </c>
      <c r="Z247" t="s">
        <v>112</v>
      </c>
      <c r="AA247" t="s">
        <v>82</v>
      </c>
      <c r="AB247" t="s">
        <v>83</v>
      </c>
      <c r="AC247" t="s">
        <v>202</v>
      </c>
      <c r="AD247" t="s">
        <v>252</v>
      </c>
      <c r="AE247" t="s">
        <v>2165</v>
      </c>
      <c r="AF247" t="s">
        <v>252</v>
      </c>
      <c r="AG247" t="s">
        <v>3277</v>
      </c>
      <c r="AH247">
        <v>8</v>
      </c>
      <c r="AI247">
        <v>973260</v>
      </c>
      <c r="AJ247">
        <v>83500</v>
      </c>
      <c r="AK247">
        <v>0</v>
      </c>
      <c r="AL247">
        <v>1056760</v>
      </c>
      <c r="AM247" t="s">
        <v>2773</v>
      </c>
      <c r="AN247" t="s">
        <v>2774</v>
      </c>
      <c r="AO247" t="s">
        <v>184</v>
      </c>
      <c r="AP247" t="s">
        <v>112</v>
      </c>
      <c r="AQ247" t="s">
        <v>82</v>
      </c>
      <c r="AR247" t="s">
        <v>3278</v>
      </c>
      <c r="AS247" s="3">
        <v>46202.465223658182</v>
      </c>
      <c r="AT247" t="s">
        <v>89</v>
      </c>
      <c r="AU247" t="s">
        <v>90</v>
      </c>
      <c r="AV247" t="s">
        <v>2712</v>
      </c>
      <c r="AW247" t="s">
        <v>92</v>
      </c>
      <c r="AX247" t="s">
        <v>2713</v>
      </c>
      <c r="AY247" t="s">
        <v>94</v>
      </c>
      <c r="AZ247" t="s">
        <v>85</v>
      </c>
      <c r="BA247" t="s">
        <v>3279</v>
      </c>
      <c r="BB247" t="s">
        <v>3271</v>
      </c>
      <c r="BC247" t="s">
        <v>3273</v>
      </c>
      <c r="BD247" t="s">
        <v>2773</v>
      </c>
      <c r="BE247" t="s">
        <v>2774</v>
      </c>
      <c r="BF247" t="b">
        <f t="shared" si="3"/>
        <v>1</v>
      </c>
      <c r="BG247" t="b">
        <v>1</v>
      </c>
      <c r="BH247">
        <v>2017</v>
      </c>
      <c r="BI247" t="b">
        <v>1</v>
      </c>
      <c r="BJ247" t="s">
        <v>2715</v>
      </c>
      <c r="BK247" t="s">
        <v>2779</v>
      </c>
      <c r="BL247" t="b">
        <v>1</v>
      </c>
      <c r="BM247" t="b">
        <v>1</v>
      </c>
      <c r="BN247" t="b">
        <v>1</v>
      </c>
      <c r="BO247" t="s">
        <v>3280</v>
      </c>
      <c r="BP247" t="b">
        <f>IF(IFERROR(VLOOKUP(A247,[1]Planilha1!$A:$A,1,0),FALSE)=FALSE,FALSE,TRUE)</f>
        <v>1</v>
      </c>
    </row>
    <row r="248" spans="1:68" x14ac:dyDescent="0.25">
      <c r="A248" t="s">
        <v>3281</v>
      </c>
      <c r="B248" t="s">
        <v>68</v>
      </c>
      <c r="D248" s="1">
        <v>46204</v>
      </c>
      <c r="E248" s="1">
        <v>47664</v>
      </c>
      <c r="F248" t="s">
        <v>3282</v>
      </c>
      <c r="G248" t="s">
        <v>3283</v>
      </c>
      <c r="H248" s="2" t="s">
        <v>3284</v>
      </c>
      <c r="I248" t="s">
        <v>3283</v>
      </c>
      <c r="K248" t="s">
        <v>3285</v>
      </c>
      <c r="L248">
        <v>5116544</v>
      </c>
      <c r="M248" t="s">
        <v>3286</v>
      </c>
      <c r="N248" t="s">
        <v>2853</v>
      </c>
      <c r="O248" t="s">
        <v>390</v>
      </c>
      <c r="P248" t="s">
        <v>107</v>
      </c>
      <c r="Q248" t="s">
        <v>3287</v>
      </c>
      <c r="R248" t="s">
        <v>2773</v>
      </c>
      <c r="S248" t="s">
        <v>2774</v>
      </c>
      <c r="T248" t="s">
        <v>184</v>
      </c>
      <c r="U248" t="s">
        <v>112</v>
      </c>
      <c r="V248" t="s">
        <v>82</v>
      </c>
      <c r="W248" t="s">
        <v>2773</v>
      </c>
      <c r="X248" t="s">
        <v>2774</v>
      </c>
      <c r="Y248" t="s">
        <v>184</v>
      </c>
      <c r="Z248" t="s">
        <v>112</v>
      </c>
      <c r="AA248" t="s">
        <v>82</v>
      </c>
      <c r="AB248" t="s">
        <v>83</v>
      </c>
      <c r="AC248" t="s">
        <v>202</v>
      </c>
      <c r="AD248" t="s">
        <v>149</v>
      </c>
      <c r="AE248" t="s">
        <v>3288</v>
      </c>
      <c r="AF248" t="s">
        <v>85</v>
      </c>
      <c r="AG248" t="s">
        <v>3289</v>
      </c>
      <c r="AH248">
        <v>6</v>
      </c>
      <c r="AI248">
        <v>421460</v>
      </c>
      <c r="AJ248">
        <v>46828.800000000003</v>
      </c>
      <c r="AK248">
        <v>0</v>
      </c>
      <c r="AL248">
        <v>468288.8</v>
      </c>
      <c r="AM248" t="s">
        <v>2773</v>
      </c>
      <c r="AN248" t="s">
        <v>2774</v>
      </c>
      <c r="AO248" t="s">
        <v>184</v>
      </c>
      <c r="AP248" t="s">
        <v>112</v>
      </c>
      <c r="AQ248" t="s">
        <v>82</v>
      </c>
      <c r="AR248" t="s">
        <v>3290</v>
      </c>
      <c r="AS248" s="3">
        <v>46202.465223658182</v>
      </c>
      <c r="AT248" t="s">
        <v>89</v>
      </c>
      <c r="AU248" t="s">
        <v>90</v>
      </c>
      <c r="AV248" t="s">
        <v>2712</v>
      </c>
      <c r="AW248" t="s">
        <v>92</v>
      </c>
      <c r="AX248" t="s">
        <v>2713</v>
      </c>
      <c r="AY248" t="s">
        <v>94</v>
      </c>
      <c r="AZ248" t="s">
        <v>85</v>
      </c>
      <c r="BA248" t="s">
        <v>3291</v>
      </c>
      <c r="BB248" t="s">
        <v>3281</v>
      </c>
      <c r="BC248" t="s">
        <v>3283</v>
      </c>
      <c r="BD248" t="s">
        <v>2773</v>
      </c>
      <c r="BE248" t="s">
        <v>2774</v>
      </c>
      <c r="BF248" t="b">
        <f t="shared" si="3"/>
        <v>1</v>
      </c>
      <c r="BG248" t="b">
        <v>1</v>
      </c>
      <c r="BH248">
        <v>2023</v>
      </c>
      <c r="BI248" t="b">
        <v>1</v>
      </c>
      <c r="BJ248" t="s">
        <v>2715</v>
      </c>
      <c r="BK248" t="s">
        <v>2779</v>
      </c>
      <c r="BL248" t="b">
        <v>1</v>
      </c>
      <c r="BM248" t="b">
        <v>1</v>
      </c>
      <c r="BN248" t="b">
        <v>1</v>
      </c>
      <c r="BO248" t="s">
        <v>3292</v>
      </c>
      <c r="BP248" t="b">
        <f>IF(IFERROR(VLOOKUP(A248,[1]Planilha1!$A:$A,1,0),FALSE)=FALSE,FALSE,TRUE)</f>
        <v>1</v>
      </c>
    </row>
    <row r="249" spans="1:68" x14ac:dyDescent="0.25">
      <c r="A249" t="s">
        <v>3293</v>
      </c>
      <c r="B249" t="s">
        <v>68</v>
      </c>
      <c r="D249" s="1">
        <v>46204</v>
      </c>
      <c r="E249" s="1">
        <v>47664</v>
      </c>
      <c r="F249" t="s">
        <v>3294</v>
      </c>
      <c r="G249" t="s">
        <v>3295</v>
      </c>
      <c r="H249" s="2" t="s">
        <v>3296</v>
      </c>
      <c r="I249" t="s">
        <v>3295</v>
      </c>
      <c r="K249" t="s">
        <v>3297</v>
      </c>
      <c r="L249">
        <v>5116822</v>
      </c>
      <c r="M249" t="s">
        <v>3298</v>
      </c>
      <c r="N249" t="s">
        <v>619</v>
      </c>
      <c r="O249" t="s">
        <v>200</v>
      </c>
      <c r="P249" t="s">
        <v>107</v>
      </c>
      <c r="Q249" t="s">
        <v>3299</v>
      </c>
      <c r="R249" t="s">
        <v>2787</v>
      </c>
      <c r="S249" t="s">
        <v>2788</v>
      </c>
      <c r="T249" t="s">
        <v>111</v>
      </c>
      <c r="U249" t="s">
        <v>112</v>
      </c>
      <c r="V249" t="s">
        <v>82</v>
      </c>
      <c r="W249" t="s">
        <v>2787</v>
      </c>
      <c r="X249" t="s">
        <v>2788</v>
      </c>
      <c r="Y249" t="s">
        <v>111</v>
      </c>
      <c r="Z249" t="s">
        <v>112</v>
      </c>
      <c r="AA249" t="s">
        <v>82</v>
      </c>
      <c r="AB249" t="s">
        <v>83</v>
      </c>
      <c r="AC249" t="s">
        <v>202</v>
      </c>
      <c r="AD249" t="s">
        <v>85</v>
      </c>
      <c r="AE249" t="s">
        <v>3300</v>
      </c>
      <c r="AF249" t="s">
        <v>85</v>
      </c>
      <c r="AG249" t="s">
        <v>3301</v>
      </c>
      <c r="AH249">
        <v>6</v>
      </c>
      <c r="AI249">
        <v>1232660</v>
      </c>
      <c r="AJ249">
        <v>123302.39999999999</v>
      </c>
      <c r="AK249">
        <v>0</v>
      </c>
      <c r="AL249">
        <v>1355962.4</v>
      </c>
      <c r="AM249" t="s">
        <v>2787</v>
      </c>
      <c r="AN249" t="s">
        <v>2788</v>
      </c>
      <c r="AO249" t="s">
        <v>111</v>
      </c>
      <c r="AP249" t="s">
        <v>112</v>
      </c>
      <c r="AQ249" t="s">
        <v>82</v>
      </c>
      <c r="AR249" t="s">
        <v>3302</v>
      </c>
      <c r="AS249" s="3">
        <v>46202.465223658182</v>
      </c>
      <c r="AT249" t="s">
        <v>89</v>
      </c>
      <c r="AU249" t="s">
        <v>90</v>
      </c>
      <c r="AV249" t="s">
        <v>2712</v>
      </c>
      <c r="AW249" t="s">
        <v>92</v>
      </c>
      <c r="AX249" t="s">
        <v>2713</v>
      </c>
      <c r="AY249" t="s">
        <v>94</v>
      </c>
      <c r="AZ249" t="s">
        <v>85</v>
      </c>
      <c r="BA249" t="s">
        <v>3303</v>
      </c>
      <c r="BB249" t="s">
        <v>3293</v>
      </c>
      <c r="BC249" t="s">
        <v>3295</v>
      </c>
      <c r="BD249" t="s">
        <v>2787</v>
      </c>
      <c r="BE249" t="s">
        <v>2788</v>
      </c>
      <c r="BF249" t="b">
        <f t="shared" si="3"/>
        <v>1</v>
      </c>
      <c r="BG249" t="b">
        <v>1</v>
      </c>
      <c r="BH249">
        <v>2004</v>
      </c>
      <c r="BI249" t="b">
        <v>1</v>
      </c>
      <c r="BJ249" t="s">
        <v>2715</v>
      </c>
      <c r="BK249" t="s">
        <v>2716</v>
      </c>
      <c r="BL249" t="b">
        <v>1</v>
      </c>
      <c r="BM249" t="b">
        <v>1</v>
      </c>
      <c r="BN249" t="b">
        <v>1</v>
      </c>
      <c r="BO249" t="s">
        <v>3304</v>
      </c>
      <c r="BP249" t="b">
        <f>IF(IFERROR(VLOOKUP(A249,[1]Planilha1!$A:$A,1,0),FALSE)=FALSE,FALSE,TRUE)</f>
        <v>1</v>
      </c>
    </row>
    <row r="250" spans="1:68" x14ac:dyDescent="0.25">
      <c r="A250" t="s">
        <v>3305</v>
      </c>
      <c r="B250" t="s">
        <v>68</v>
      </c>
      <c r="D250" s="1">
        <v>46204</v>
      </c>
      <c r="E250" s="1">
        <v>47664</v>
      </c>
      <c r="F250" t="s">
        <v>3306</v>
      </c>
      <c r="G250" t="s">
        <v>3307</v>
      </c>
      <c r="H250" s="2" t="s">
        <v>3308</v>
      </c>
      <c r="I250" t="s">
        <v>3307</v>
      </c>
      <c r="K250" t="s">
        <v>3309</v>
      </c>
      <c r="L250">
        <v>5116318</v>
      </c>
      <c r="M250" t="s">
        <v>3310</v>
      </c>
      <c r="N250" t="s">
        <v>414</v>
      </c>
      <c r="O250" t="s">
        <v>180</v>
      </c>
      <c r="P250" t="s">
        <v>129</v>
      </c>
      <c r="Q250" t="s">
        <v>3311</v>
      </c>
      <c r="R250" t="s">
        <v>2725</v>
      </c>
      <c r="S250" t="s">
        <v>2726</v>
      </c>
      <c r="T250" t="s">
        <v>184</v>
      </c>
      <c r="U250" t="s">
        <v>112</v>
      </c>
      <c r="V250" t="s">
        <v>82</v>
      </c>
      <c r="W250" t="s">
        <v>2725</v>
      </c>
      <c r="X250" t="s">
        <v>2726</v>
      </c>
      <c r="Y250" t="s">
        <v>184</v>
      </c>
      <c r="Z250" t="s">
        <v>112</v>
      </c>
      <c r="AA250" t="s">
        <v>82</v>
      </c>
      <c r="AB250" t="s">
        <v>83</v>
      </c>
      <c r="AC250" t="s">
        <v>185</v>
      </c>
      <c r="AD250" t="s">
        <v>136</v>
      </c>
      <c r="AE250" t="s">
        <v>3312</v>
      </c>
      <c r="AF250" t="s">
        <v>136</v>
      </c>
      <c r="AG250" t="s">
        <v>3313</v>
      </c>
      <c r="AH250">
        <v>7</v>
      </c>
      <c r="AI250">
        <v>1216800</v>
      </c>
      <c r="AJ250">
        <v>135200</v>
      </c>
      <c r="AK250">
        <v>0</v>
      </c>
      <c r="AL250">
        <v>1352000</v>
      </c>
      <c r="AM250" t="s">
        <v>2725</v>
      </c>
      <c r="AN250" t="s">
        <v>2726</v>
      </c>
      <c r="AO250" t="s">
        <v>184</v>
      </c>
      <c r="AP250" t="s">
        <v>112</v>
      </c>
      <c r="AQ250" t="s">
        <v>82</v>
      </c>
      <c r="AR250" t="s">
        <v>3314</v>
      </c>
      <c r="AS250" s="3">
        <v>46202.465223658182</v>
      </c>
      <c r="AT250" t="s">
        <v>89</v>
      </c>
      <c r="AU250" t="s">
        <v>90</v>
      </c>
      <c r="AV250" t="s">
        <v>2712</v>
      </c>
      <c r="AW250" t="s">
        <v>92</v>
      </c>
      <c r="AX250" t="s">
        <v>2713</v>
      </c>
      <c r="AY250" t="s">
        <v>94</v>
      </c>
      <c r="AZ250" t="s">
        <v>85</v>
      </c>
      <c r="BA250" t="s">
        <v>3315</v>
      </c>
      <c r="BB250" t="s">
        <v>3305</v>
      </c>
      <c r="BC250" t="s">
        <v>3307</v>
      </c>
      <c r="BD250" t="s">
        <v>2725</v>
      </c>
      <c r="BE250" t="s">
        <v>2726</v>
      </c>
      <c r="BF250" t="b">
        <f t="shared" si="3"/>
        <v>1</v>
      </c>
      <c r="BG250" t="b">
        <v>1</v>
      </c>
      <c r="BH250">
        <v>2001</v>
      </c>
      <c r="BI250" t="b">
        <v>1</v>
      </c>
      <c r="BJ250" t="s">
        <v>2715</v>
      </c>
      <c r="BK250" t="s">
        <v>2731</v>
      </c>
      <c r="BL250" t="b">
        <v>1</v>
      </c>
      <c r="BM250" t="b">
        <v>1</v>
      </c>
      <c r="BN250" t="b">
        <v>1</v>
      </c>
      <c r="BO250" t="s">
        <v>3316</v>
      </c>
      <c r="BP250" t="b">
        <f>IF(IFERROR(VLOOKUP(A250,[1]Planilha1!$A:$A,1,0),FALSE)=FALSE,FALSE,TRUE)</f>
        <v>1</v>
      </c>
    </row>
    <row r="251" spans="1:68" x14ac:dyDescent="0.25">
      <c r="A251" t="s">
        <v>3317</v>
      </c>
      <c r="B251" t="s">
        <v>68</v>
      </c>
      <c r="D251" s="1">
        <v>46204</v>
      </c>
      <c r="E251" s="1">
        <v>47664</v>
      </c>
      <c r="F251" t="s">
        <v>3318</v>
      </c>
      <c r="G251" t="s">
        <v>3319</v>
      </c>
      <c r="H251" s="2" t="s">
        <v>3320</v>
      </c>
      <c r="I251" t="s">
        <v>3319</v>
      </c>
      <c r="K251" t="s">
        <v>3321</v>
      </c>
      <c r="L251">
        <v>5116845</v>
      </c>
      <c r="M251" t="s">
        <v>3322</v>
      </c>
      <c r="N251" t="s">
        <v>179</v>
      </c>
      <c r="O251" t="s">
        <v>180</v>
      </c>
      <c r="P251" t="s">
        <v>129</v>
      </c>
      <c r="Q251" t="s">
        <v>1564</v>
      </c>
      <c r="R251" t="s">
        <v>1133</v>
      </c>
      <c r="S251" t="s">
        <v>1134</v>
      </c>
      <c r="T251" t="s">
        <v>184</v>
      </c>
      <c r="U251" t="s">
        <v>112</v>
      </c>
      <c r="V251" t="s">
        <v>82</v>
      </c>
      <c r="W251" t="s">
        <v>1133</v>
      </c>
      <c r="X251" t="s">
        <v>1134</v>
      </c>
      <c r="Y251" t="s">
        <v>184</v>
      </c>
      <c r="Z251" t="s">
        <v>112</v>
      </c>
      <c r="AA251" t="s">
        <v>82</v>
      </c>
      <c r="AB251" t="s">
        <v>83</v>
      </c>
      <c r="AC251" t="s">
        <v>185</v>
      </c>
      <c r="AD251" t="s">
        <v>85</v>
      </c>
      <c r="AE251" t="s">
        <v>3323</v>
      </c>
      <c r="AF251" t="s">
        <v>85</v>
      </c>
      <c r="AG251" t="s">
        <v>3324</v>
      </c>
      <c r="AH251">
        <v>18</v>
      </c>
      <c r="AI251">
        <v>1356420</v>
      </c>
      <c r="AJ251">
        <v>143580</v>
      </c>
      <c r="AK251">
        <v>0</v>
      </c>
      <c r="AL251">
        <v>1500000</v>
      </c>
      <c r="AM251" t="s">
        <v>1133</v>
      </c>
      <c r="AN251" t="s">
        <v>1134</v>
      </c>
      <c r="AO251" t="s">
        <v>184</v>
      </c>
      <c r="AP251" t="s">
        <v>112</v>
      </c>
      <c r="AQ251" t="s">
        <v>82</v>
      </c>
      <c r="AR251" t="s">
        <v>3325</v>
      </c>
      <c r="AS251" s="3">
        <v>46202.465223658182</v>
      </c>
      <c r="AT251" t="s">
        <v>89</v>
      </c>
      <c r="AU251" t="s">
        <v>90</v>
      </c>
      <c r="AV251" t="s">
        <v>2712</v>
      </c>
      <c r="AW251" t="s">
        <v>92</v>
      </c>
      <c r="AX251" t="s">
        <v>2713</v>
      </c>
      <c r="AY251" t="s">
        <v>94</v>
      </c>
      <c r="AZ251" t="s">
        <v>85</v>
      </c>
      <c r="BA251" t="s">
        <v>3326</v>
      </c>
      <c r="BB251" t="s">
        <v>3317</v>
      </c>
      <c r="BC251" t="s">
        <v>3319</v>
      </c>
      <c r="BD251" t="s">
        <v>1133</v>
      </c>
      <c r="BE251" t="s">
        <v>1134</v>
      </c>
      <c r="BF251" t="b">
        <f t="shared" si="3"/>
        <v>1</v>
      </c>
      <c r="BG251" t="b">
        <v>1</v>
      </c>
      <c r="BH251">
        <v>2000</v>
      </c>
      <c r="BI251" t="b">
        <v>1</v>
      </c>
      <c r="BJ251" t="s">
        <v>2715</v>
      </c>
      <c r="BK251" t="s">
        <v>1140</v>
      </c>
      <c r="BL251" t="b">
        <v>1</v>
      </c>
      <c r="BM251" t="b">
        <v>1</v>
      </c>
      <c r="BN251" t="b">
        <v>1</v>
      </c>
      <c r="BO251" t="s">
        <v>3327</v>
      </c>
      <c r="BP251" t="b">
        <f>IF(IFERROR(VLOOKUP(A251,[1]Planilha1!$A:$A,1,0),FALSE)=FALSE,FALSE,TRUE)</f>
        <v>1</v>
      </c>
    </row>
    <row r="252" spans="1:68" x14ac:dyDescent="0.25">
      <c r="A252" t="s">
        <v>3328</v>
      </c>
      <c r="B252" t="s">
        <v>68</v>
      </c>
      <c r="D252" s="1">
        <v>46204</v>
      </c>
      <c r="E252" s="1">
        <v>47664</v>
      </c>
      <c r="F252" t="s">
        <v>3329</v>
      </c>
      <c r="G252" t="s">
        <v>3330</v>
      </c>
      <c r="H252" s="2" t="s">
        <v>3331</v>
      </c>
      <c r="I252" t="s">
        <v>3330</v>
      </c>
      <c r="K252" t="s">
        <v>3332</v>
      </c>
      <c r="L252">
        <v>5116662</v>
      </c>
      <c r="M252" t="s">
        <v>3333</v>
      </c>
      <c r="N252" t="s">
        <v>389</v>
      </c>
      <c r="O252" t="s">
        <v>390</v>
      </c>
      <c r="P252" t="s">
        <v>107</v>
      </c>
      <c r="Q252" t="s">
        <v>3103</v>
      </c>
      <c r="R252" t="s">
        <v>2773</v>
      </c>
      <c r="S252" t="s">
        <v>2774</v>
      </c>
      <c r="T252" t="s">
        <v>184</v>
      </c>
      <c r="U252" t="s">
        <v>112</v>
      </c>
      <c r="V252" t="s">
        <v>82</v>
      </c>
      <c r="W252" t="s">
        <v>2773</v>
      </c>
      <c r="X252" t="s">
        <v>2774</v>
      </c>
      <c r="Y252" t="s">
        <v>184</v>
      </c>
      <c r="Z252" t="s">
        <v>112</v>
      </c>
      <c r="AA252" t="s">
        <v>82</v>
      </c>
      <c r="AB252" t="s">
        <v>83</v>
      </c>
      <c r="AC252" t="s">
        <v>202</v>
      </c>
      <c r="AD252" t="s">
        <v>149</v>
      </c>
      <c r="AE252" t="s">
        <v>3334</v>
      </c>
      <c r="AF252" t="s">
        <v>85</v>
      </c>
      <c r="AG252" t="s">
        <v>3335</v>
      </c>
      <c r="AH252">
        <v>2</v>
      </c>
      <c r="AI252">
        <v>255840</v>
      </c>
      <c r="AJ252">
        <v>36954.67</v>
      </c>
      <c r="AK252">
        <v>0</v>
      </c>
      <c r="AL252">
        <v>292794.67</v>
      </c>
      <c r="AM252" t="s">
        <v>2773</v>
      </c>
      <c r="AN252" t="s">
        <v>2774</v>
      </c>
      <c r="AO252" t="s">
        <v>184</v>
      </c>
      <c r="AP252" t="s">
        <v>112</v>
      </c>
      <c r="AQ252" t="s">
        <v>82</v>
      </c>
      <c r="AR252" t="s">
        <v>3336</v>
      </c>
      <c r="AS252" s="3">
        <v>46202.465223658182</v>
      </c>
      <c r="AT252" t="s">
        <v>89</v>
      </c>
      <c r="AU252" t="s">
        <v>90</v>
      </c>
      <c r="AV252" t="s">
        <v>2712</v>
      </c>
      <c r="AW252" t="s">
        <v>92</v>
      </c>
      <c r="AX252" t="s">
        <v>2713</v>
      </c>
      <c r="AY252" t="s">
        <v>94</v>
      </c>
      <c r="AZ252" t="s">
        <v>85</v>
      </c>
      <c r="BA252" t="s">
        <v>3337</v>
      </c>
      <c r="BB252" t="s">
        <v>3328</v>
      </c>
      <c r="BC252" t="s">
        <v>3330</v>
      </c>
      <c r="BD252" t="s">
        <v>2773</v>
      </c>
      <c r="BE252" t="s">
        <v>2774</v>
      </c>
      <c r="BF252" t="b">
        <f t="shared" si="3"/>
        <v>1</v>
      </c>
      <c r="BG252" t="b">
        <v>1</v>
      </c>
      <c r="BH252">
        <v>2023</v>
      </c>
      <c r="BI252" t="b">
        <v>1</v>
      </c>
      <c r="BJ252" t="s">
        <v>2715</v>
      </c>
      <c r="BK252" t="s">
        <v>2779</v>
      </c>
      <c r="BL252" t="b">
        <v>1</v>
      </c>
      <c r="BM252" t="b">
        <v>1</v>
      </c>
      <c r="BN252" t="b">
        <v>1</v>
      </c>
      <c r="BO252" t="s">
        <v>2909</v>
      </c>
      <c r="BP252" t="b">
        <f>IF(IFERROR(VLOOKUP(A252,[1]Planilha1!$A:$A,1,0),FALSE)=FALSE,FALSE,TRUE)</f>
        <v>1</v>
      </c>
    </row>
    <row r="253" spans="1:68" x14ac:dyDescent="0.25">
      <c r="A253" t="s">
        <v>3338</v>
      </c>
      <c r="B253" t="s">
        <v>68</v>
      </c>
      <c r="D253" s="1">
        <v>46204</v>
      </c>
      <c r="E253" s="1">
        <v>47664</v>
      </c>
      <c r="F253" t="s">
        <v>3339</v>
      </c>
      <c r="G253" t="s">
        <v>3340</v>
      </c>
      <c r="H253" s="2" t="s">
        <v>3341</v>
      </c>
      <c r="I253" t="s">
        <v>3340</v>
      </c>
      <c r="K253" t="s">
        <v>3342</v>
      </c>
      <c r="L253">
        <v>5116682</v>
      </c>
      <c r="M253" t="s">
        <v>3343</v>
      </c>
      <c r="N253" t="s">
        <v>179</v>
      </c>
      <c r="O253" t="s">
        <v>180</v>
      </c>
      <c r="P253" t="s">
        <v>129</v>
      </c>
      <c r="Q253" t="s">
        <v>3344</v>
      </c>
      <c r="R253" t="s">
        <v>2787</v>
      </c>
      <c r="S253" t="s">
        <v>2788</v>
      </c>
      <c r="T253" t="s">
        <v>111</v>
      </c>
      <c r="U253" t="s">
        <v>112</v>
      </c>
      <c r="V253" t="s">
        <v>82</v>
      </c>
      <c r="W253" t="s">
        <v>2787</v>
      </c>
      <c r="X253" t="s">
        <v>2788</v>
      </c>
      <c r="Y253" t="s">
        <v>111</v>
      </c>
      <c r="Z253" t="s">
        <v>112</v>
      </c>
      <c r="AA253" t="s">
        <v>82</v>
      </c>
      <c r="AB253" t="s">
        <v>83</v>
      </c>
      <c r="AC253" t="s">
        <v>185</v>
      </c>
      <c r="AD253" t="s">
        <v>149</v>
      </c>
      <c r="AE253" t="s">
        <v>3345</v>
      </c>
      <c r="AF253" t="s">
        <v>85</v>
      </c>
      <c r="AG253" t="s">
        <v>3346</v>
      </c>
      <c r="AH253">
        <v>6</v>
      </c>
      <c r="AI253">
        <v>1042080</v>
      </c>
      <c r="AJ253">
        <v>149020.44</v>
      </c>
      <c r="AK253">
        <v>0</v>
      </c>
      <c r="AL253">
        <v>1191100.44</v>
      </c>
      <c r="AM253" t="s">
        <v>2787</v>
      </c>
      <c r="AN253" t="s">
        <v>2788</v>
      </c>
      <c r="AO253" t="s">
        <v>111</v>
      </c>
      <c r="AP253" t="s">
        <v>112</v>
      </c>
      <c r="AQ253" t="s">
        <v>82</v>
      </c>
      <c r="AR253" t="s">
        <v>3347</v>
      </c>
      <c r="AS253" s="3">
        <v>46202.465223658182</v>
      </c>
      <c r="AT253" t="s">
        <v>89</v>
      </c>
      <c r="AU253" t="s">
        <v>90</v>
      </c>
      <c r="AV253" t="s">
        <v>2712</v>
      </c>
      <c r="AW253" t="s">
        <v>92</v>
      </c>
      <c r="AX253" t="s">
        <v>2713</v>
      </c>
      <c r="AY253" t="s">
        <v>94</v>
      </c>
      <c r="AZ253" t="s">
        <v>85</v>
      </c>
      <c r="BA253" t="s">
        <v>3348</v>
      </c>
      <c r="BB253" t="s">
        <v>3338</v>
      </c>
      <c r="BC253" t="s">
        <v>3340</v>
      </c>
      <c r="BD253" t="s">
        <v>2787</v>
      </c>
      <c r="BE253" t="s">
        <v>2788</v>
      </c>
      <c r="BF253" t="b">
        <f t="shared" si="3"/>
        <v>1</v>
      </c>
      <c r="BG253" t="b">
        <v>1</v>
      </c>
      <c r="BH253">
        <v>2012</v>
      </c>
      <c r="BI253" t="b">
        <v>1</v>
      </c>
      <c r="BJ253" t="s">
        <v>2715</v>
      </c>
      <c r="BK253" t="s">
        <v>2716</v>
      </c>
      <c r="BL253" t="b">
        <v>1</v>
      </c>
      <c r="BM253" t="b">
        <v>1</v>
      </c>
      <c r="BN253" t="b">
        <v>1</v>
      </c>
      <c r="BO253" t="s">
        <v>3349</v>
      </c>
      <c r="BP253" t="b">
        <f>IF(IFERROR(VLOOKUP(A253,[1]Planilha1!$A:$A,1,0),FALSE)=FALSE,FALSE,TRUE)</f>
        <v>1</v>
      </c>
    </row>
    <row r="254" spans="1:68" x14ac:dyDescent="0.25">
      <c r="A254" t="s">
        <v>3350</v>
      </c>
      <c r="B254" t="s">
        <v>68</v>
      </c>
      <c r="D254" s="1">
        <v>46204</v>
      </c>
      <c r="E254" s="1">
        <v>47664</v>
      </c>
      <c r="F254" t="s">
        <v>3351</v>
      </c>
      <c r="G254" t="s">
        <v>3352</v>
      </c>
      <c r="H254" s="2" t="s">
        <v>3353</v>
      </c>
      <c r="I254" t="s">
        <v>3352</v>
      </c>
      <c r="K254" t="s">
        <v>3354</v>
      </c>
      <c r="L254">
        <v>5116597</v>
      </c>
      <c r="M254" t="s">
        <v>3355</v>
      </c>
      <c r="N254" t="s">
        <v>2145</v>
      </c>
      <c r="O254" t="s">
        <v>2146</v>
      </c>
      <c r="P254" t="s">
        <v>129</v>
      </c>
      <c r="Q254" t="s">
        <v>2147</v>
      </c>
      <c r="R254" t="s">
        <v>2815</v>
      </c>
      <c r="S254" t="s">
        <v>2816</v>
      </c>
      <c r="T254" t="s">
        <v>184</v>
      </c>
      <c r="U254" t="s">
        <v>112</v>
      </c>
      <c r="V254" t="s">
        <v>82</v>
      </c>
      <c r="W254" t="s">
        <v>2815</v>
      </c>
      <c r="X254" t="s">
        <v>2816</v>
      </c>
      <c r="Y254" t="s">
        <v>184</v>
      </c>
      <c r="Z254" t="s">
        <v>112</v>
      </c>
      <c r="AA254" t="s">
        <v>82</v>
      </c>
      <c r="AB254" t="s">
        <v>83</v>
      </c>
      <c r="AC254" t="s">
        <v>185</v>
      </c>
      <c r="AD254" t="s">
        <v>252</v>
      </c>
      <c r="AE254" t="s">
        <v>3356</v>
      </c>
      <c r="AF254" t="s">
        <v>85</v>
      </c>
      <c r="AG254" t="s">
        <v>3357</v>
      </c>
      <c r="AH254">
        <v>8</v>
      </c>
      <c r="AI254">
        <v>1354080</v>
      </c>
      <c r="AJ254">
        <v>145800</v>
      </c>
      <c r="AK254">
        <v>0</v>
      </c>
      <c r="AL254">
        <v>1499880</v>
      </c>
      <c r="AM254" t="s">
        <v>2815</v>
      </c>
      <c r="AN254" t="s">
        <v>2816</v>
      </c>
      <c r="AO254" t="s">
        <v>184</v>
      </c>
      <c r="AP254" t="s">
        <v>112</v>
      </c>
      <c r="AQ254" t="s">
        <v>82</v>
      </c>
      <c r="AR254" t="s">
        <v>3358</v>
      </c>
      <c r="AS254" s="3">
        <v>46202.465223658182</v>
      </c>
      <c r="AT254" t="s">
        <v>89</v>
      </c>
      <c r="AU254" t="s">
        <v>90</v>
      </c>
      <c r="AV254" t="s">
        <v>2712</v>
      </c>
      <c r="AW254" t="s">
        <v>92</v>
      </c>
      <c r="AX254" t="s">
        <v>2713</v>
      </c>
      <c r="AY254" t="s">
        <v>94</v>
      </c>
      <c r="AZ254" t="s">
        <v>85</v>
      </c>
      <c r="BA254" t="s">
        <v>3359</v>
      </c>
      <c r="BB254" t="s">
        <v>3350</v>
      </c>
      <c r="BC254" t="s">
        <v>3352</v>
      </c>
      <c r="BD254" t="s">
        <v>2815</v>
      </c>
      <c r="BE254" t="s">
        <v>2816</v>
      </c>
      <c r="BF254" t="b">
        <f t="shared" si="3"/>
        <v>1</v>
      </c>
      <c r="BG254" t="b">
        <v>1</v>
      </c>
      <c r="BH254">
        <v>1998</v>
      </c>
      <c r="BI254" t="b">
        <v>1</v>
      </c>
      <c r="BJ254" t="s">
        <v>2715</v>
      </c>
      <c r="BK254" t="s">
        <v>2821</v>
      </c>
      <c r="BL254" t="b">
        <v>1</v>
      </c>
      <c r="BM254" t="b">
        <v>1</v>
      </c>
      <c r="BN254" t="b">
        <v>1</v>
      </c>
      <c r="BO254" t="s">
        <v>3360</v>
      </c>
      <c r="BP254" t="b">
        <f>IF(IFERROR(VLOOKUP(A254,[1]Planilha1!$A:$A,1,0),FALSE)=FALSE,FALSE,TRUE)</f>
        <v>1</v>
      </c>
    </row>
    <row r="255" spans="1:68" x14ac:dyDescent="0.25">
      <c r="A255" t="s">
        <v>3361</v>
      </c>
      <c r="B255" t="s">
        <v>68</v>
      </c>
      <c r="D255" s="1">
        <v>46204</v>
      </c>
      <c r="E255" s="1">
        <v>47664</v>
      </c>
      <c r="F255" t="s">
        <v>3362</v>
      </c>
      <c r="G255" t="s">
        <v>3363</v>
      </c>
      <c r="H255" s="2" t="s">
        <v>3364</v>
      </c>
      <c r="I255" t="s">
        <v>3363</v>
      </c>
      <c r="K255" t="s">
        <v>3365</v>
      </c>
      <c r="L255">
        <v>5116706</v>
      </c>
      <c r="M255" t="s">
        <v>3366</v>
      </c>
      <c r="N255" t="s">
        <v>3367</v>
      </c>
      <c r="O255" t="s">
        <v>3368</v>
      </c>
      <c r="P255" t="s">
        <v>107</v>
      </c>
      <c r="Q255" t="s">
        <v>3369</v>
      </c>
      <c r="R255" t="s">
        <v>2800</v>
      </c>
      <c r="S255" t="s">
        <v>2801</v>
      </c>
      <c r="T255" t="s">
        <v>111</v>
      </c>
      <c r="U255" t="s">
        <v>112</v>
      </c>
      <c r="V255" t="s">
        <v>82</v>
      </c>
      <c r="W255" t="s">
        <v>2800</v>
      </c>
      <c r="X255" t="s">
        <v>2801</v>
      </c>
      <c r="Y255" t="s">
        <v>111</v>
      </c>
      <c r="Z255" t="s">
        <v>112</v>
      </c>
      <c r="AA255" t="s">
        <v>82</v>
      </c>
      <c r="AB255" t="s">
        <v>83</v>
      </c>
      <c r="AC255" t="s">
        <v>113</v>
      </c>
      <c r="AD255" t="s">
        <v>149</v>
      </c>
      <c r="AE255" t="s">
        <v>3370</v>
      </c>
      <c r="AF255" t="s">
        <v>85</v>
      </c>
      <c r="AG255" t="s">
        <v>3371</v>
      </c>
      <c r="AH255">
        <v>3</v>
      </c>
      <c r="AI255">
        <v>1216800</v>
      </c>
      <c r="AJ255">
        <v>135000</v>
      </c>
      <c r="AK255">
        <v>0</v>
      </c>
      <c r="AL255">
        <v>1351800</v>
      </c>
      <c r="AM255" t="s">
        <v>2800</v>
      </c>
      <c r="AN255" t="s">
        <v>2801</v>
      </c>
      <c r="AO255" t="s">
        <v>111</v>
      </c>
      <c r="AP255" t="s">
        <v>112</v>
      </c>
      <c r="AQ255" t="s">
        <v>82</v>
      </c>
      <c r="AR255" t="s">
        <v>3372</v>
      </c>
      <c r="AS255" s="3">
        <v>46202.465223658182</v>
      </c>
      <c r="AT255" t="s">
        <v>89</v>
      </c>
      <c r="AU255" t="s">
        <v>90</v>
      </c>
      <c r="AV255" t="s">
        <v>2712</v>
      </c>
      <c r="AW255" t="s">
        <v>92</v>
      </c>
      <c r="AX255" t="s">
        <v>2713</v>
      </c>
      <c r="AY255" t="s">
        <v>94</v>
      </c>
      <c r="AZ255" t="s">
        <v>85</v>
      </c>
      <c r="BA255" t="s">
        <v>3373</v>
      </c>
      <c r="BB255" t="s">
        <v>3361</v>
      </c>
      <c r="BC255" t="s">
        <v>3363</v>
      </c>
      <c r="BD255" t="s">
        <v>2800</v>
      </c>
      <c r="BE255" t="s">
        <v>2801</v>
      </c>
      <c r="BF255" t="b">
        <f t="shared" si="3"/>
        <v>1</v>
      </c>
      <c r="BG255" t="b">
        <v>1</v>
      </c>
      <c r="BH255">
        <v>2021</v>
      </c>
      <c r="BI255" t="b">
        <v>1</v>
      </c>
      <c r="BJ255" t="s">
        <v>2715</v>
      </c>
      <c r="BK255" t="s">
        <v>2806</v>
      </c>
      <c r="BL255" t="b">
        <v>1</v>
      </c>
      <c r="BM255" t="b">
        <v>1</v>
      </c>
      <c r="BN255" t="b">
        <v>1</v>
      </c>
      <c r="BO255" t="s">
        <v>3374</v>
      </c>
      <c r="BP255" t="b">
        <f>IF(IFERROR(VLOOKUP(A255,[1]Planilha1!$A:$A,1,0),FALSE)=FALSE,FALSE,TRUE)</f>
        <v>1</v>
      </c>
    </row>
    <row r="256" spans="1:68" x14ac:dyDescent="0.25">
      <c r="A256" t="s">
        <v>3375</v>
      </c>
      <c r="B256" t="s">
        <v>68</v>
      </c>
      <c r="D256" s="1">
        <v>46204</v>
      </c>
      <c r="E256" s="1">
        <v>47664</v>
      </c>
      <c r="F256" t="s">
        <v>3376</v>
      </c>
      <c r="G256" t="s">
        <v>3377</v>
      </c>
      <c r="H256" s="2" t="s">
        <v>3378</v>
      </c>
      <c r="I256" t="s">
        <v>3377</v>
      </c>
      <c r="K256" t="s">
        <v>3379</v>
      </c>
      <c r="L256">
        <v>5116762</v>
      </c>
      <c r="M256" t="s">
        <v>3380</v>
      </c>
      <c r="N256" t="s">
        <v>2109</v>
      </c>
      <c r="O256" t="s">
        <v>2018</v>
      </c>
      <c r="P256" t="s">
        <v>230</v>
      </c>
      <c r="Q256" t="s">
        <v>2110</v>
      </c>
      <c r="R256" t="s">
        <v>2972</v>
      </c>
      <c r="S256" t="s">
        <v>2973</v>
      </c>
      <c r="T256" t="s">
        <v>300</v>
      </c>
      <c r="U256" t="s">
        <v>301</v>
      </c>
      <c r="V256" t="s">
        <v>82</v>
      </c>
      <c r="W256" t="s">
        <v>2972</v>
      </c>
      <c r="X256" t="s">
        <v>2973</v>
      </c>
      <c r="Y256" t="s">
        <v>300</v>
      </c>
      <c r="Z256" t="s">
        <v>301</v>
      </c>
      <c r="AA256" t="s">
        <v>82</v>
      </c>
      <c r="AB256" t="s">
        <v>83</v>
      </c>
      <c r="AC256" t="s">
        <v>1013</v>
      </c>
      <c r="AD256" t="s">
        <v>149</v>
      </c>
      <c r="AE256" t="s">
        <v>3381</v>
      </c>
      <c r="AF256" t="s">
        <v>85</v>
      </c>
      <c r="AG256" t="s">
        <v>3382</v>
      </c>
      <c r="AH256">
        <v>9</v>
      </c>
      <c r="AI256">
        <v>1349790</v>
      </c>
      <c r="AJ256">
        <v>134920</v>
      </c>
      <c r="AK256">
        <v>0</v>
      </c>
      <c r="AL256">
        <v>1484710</v>
      </c>
      <c r="AM256" t="s">
        <v>2972</v>
      </c>
      <c r="AN256" t="s">
        <v>2973</v>
      </c>
      <c r="AO256" t="s">
        <v>300</v>
      </c>
      <c r="AP256" t="s">
        <v>301</v>
      </c>
      <c r="AQ256" t="s">
        <v>82</v>
      </c>
      <c r="AR256" t="s">
        <v>3383</v>
      </c>
      <c r="AS256" s="3">
        <v>46202.465223658182</v>
      </c>
      <c r="AT256" t="s">
        <v>89</v>
      </c>
      <c r="AU256" t="s">
        <v>90</v>
      </c>
      <c r="AV256" t="s">
        <v>2712</v>
      </c>
      <c r="AW256" t="s">
        <v>92</v>
      </c>
      <c r="AX256" t="s">
        <v>2713</v>
      </c>
      <c r="AY256" t="s">
        <v>94</v>
      </c>
      <c r="AZ256" t="s">
        <v>85</v>
      </c>
      <c r="BA256" t="s">
        <v>3384</v>
      </c>
      <c r="BB256" t="s">
        <v>3375</v>
      </c>
      <c r="BC256" t="s">
        <v>3377</v>
      </c>
      <c r="BD256" t="s">
        <v>2972</v>
      </c>
      <c r="BE256" t="s">
        <v>2973</v>
      </c>
      <c r="BF256" t="b">
        <f t="shared" si="3"/>
        <v>1</v>
      </c>
      <c r="BG256" t="b">
        <v>1</v>
      </c>
      <c r="BH256">
        <v>2023</v>
      </c>
      <c r="BI256" t="b">
        <v>1</v>
      </c>
      <c r="BJ256" t="s">
        <v>2715</v>
      </c>
      <c r="BK256" t="s">
        <v>2978</v>
      </c>
      <c r="BL256" t="b">
        <v>1</v>
      </c>
      <c r="BM256" t="b">
        <v>1</v>
      </c>
      <c r="BN256" t="b">
        <v>1</v>
      </c>
      <c r="BO256" t="s">
        <v>3385</v>
      </c>
      <c r="BP256" t="b">
        <f>IF(IFERROR(VLOOKUP(A256,[1]Planilha1!$A:$A,1,0),FALSE)=FALSE,FALSE,TRUE)</f>
        <v>1</v>
      </c>
    </row>
    <row r="257" spans="1:68" x14ac:dyDescent="0.25">
      <c r="A257" t="s">
        <v>3386</v>
      </c>
      <c r="B257" t="s">
        <v>68</v>
      </c>
      <c r="D257" s="1">
        <v>46204</v>
      </c>
      <c r="E257" s="1">
        <v>47664</v>
      </c>
      <c r="F257" t="s">
        <v>3387</v>
      </c>
      <c r="G257" t="s">
        <v>3388</v>
      </c>
      <c r="H257" s="2" t="s">
        <v>3389</v>
      </c>
      <c r="I257" t="s">
        <v>3388</v>
      </c>
      <c r="K257" t="s">
        <v>3390</v>
      </c>
      <c r="L257">
        <v>5116655</v>
      </c>
      <c r="M257" t="s">
        <v>3391</v>
      </c>
      <c r="N257" t="s">
        <v>295</v>
      </c>
      <c r="O257" t="s">
        <v>296</v>
      </c>
      <c r="P257" t="s">
        <v>129</v>
      </c>
      <c r="Q257" t="s">
        <v>297</v>
      </c>
      <c r="R257" t="s">
        <v>2773</v>
      </c>
      <c r="S257" t="s">
        <v>2774</v>
      </c>
      <c r="T257" t="s">
        <v>184</v>
      </c>
      <c r="U257" t="s">
        <v>112</v>
      </c>
      <c r="V257" t="s">
        <v>82</v>
      </c>
      <c r="W257" t="s">
        <v>2773</v>
      </c>
      <c r="X257" t="s">
        <v>2774</v>
      </c>
      <c r="Y257" t="s">
        <v>184</v>
      </c>
      <c r="Z257" t="s">
        <v>112</v>
      </c>
      <c r="AA257" t="s">
        <v>82</v>
      </c>
      <c r="AB257" t="s">
        <v>83</v>
      </c>
      <c r="AC257" t="s">
        <v>135</v>
      </c>
      <c r="AD257" t="s">
        <v>149</v>
      </c>
      <c r="AE257" t="s">
        <v>3392</v>
      </c>
      <c r="AF257" t="s">
        <v>85</v>
      </c>
      <c r="AG257" t="s">
        <v>3393</v>
      </c>
      <c r="AH257">
        <v>3</v>
      </c>
      <c r="AI257">
        <v>300300</v>
      </c>
      <c r="AJ257">
        <v>30030</v>
      </c>
      <c r="AK257">
        <v>0</v>
      </c>
      <c r="AL257">
        <v>330330</v>
      </c>
      <c r="AM257" t="s">
        <v>2773</v>
      </c>
      <c r="AN257" t="s">
        <v>2774</v>
      </c>
      <c r="AO257" t="s">
        <v>184</v>
      </c>
      <c r="AP257" t="s">
        <v>112</v>
      </c>
      <c r="AQ257" t="s">
        <v>82</v>
      </c>
      <c r="AR257" t="s">
        <v>3394</v>
      </c>
      <c r="AS257" s="3">
        <v>46202.465223658182</v>
      </c>
      <c r="AT257" t="s">
        <v>89</v>
      </c>
      <c r="AU257" t="s">
        <v>90</v>
      </c>
      <c r="AV257" t="s">
        <v>2712</v>
      </c>
      <c r="AW257" t="s">
        <v>92</v>
      </c>
      <c r="AX257" t="s">
        <v>2713</v>
      </c>
      <c r="AY257" t="s">
        <v>94</v>
      </c>
      <c r="AZ257" t="s">
        <v>85</v>
      </c>
      <c r="BA257" t="s">
        <v>3395</v>
      </c>
      <c r="BB257" t="s">
        <v>3386</v>
      </c>
      <c r="BC257" t="s">
        <v>3388</v>
      </c>
      <c r="BD257" t="s">
        <v>2773</v>
      </c>
      <c r="BE257" t="s">
        <v>2774</v>
      </c>
      <c r="BF257" t="b">
        <f t="shared" si="3"/>
        <v>1</v>
      </c>
      <c r="BG257" t="b">
        <v>1</v>
      </c>
      <c r="BH257">
        <v>2023</v>
      </c>
      <c r="BI257" t="b">
        <v>1</v>
      </c>
      <c r="BJ257" t="s">
        <v>2715</v>
      </c>
      <c r="BK257" t="s">
        <v>2779</v>
      </c>
      <c r="BL257" t="b">
        <v>1</v>
      </c>
      <c r="BM257" t="b">
        <v>1</v>
      </c>
      <c r="BN257" t="b">
        <v>1</v>
      </c>
      <c r="BO257" t="s">
        <v>3396</v>
      </c>
      <c r="BP257" t="b">
        <f>IF(IFERROR(VLOOKUP(A257,[1]Planilha1!$A:$A,1,0),FALSE)=FALSE,FALSE,TRUE)</f>
        <v>1</v>
      </c>
    </row>
    <row r="258" spans="1:68" x14ac:dyDescent="0.25">
      <c r="A258" t="s">
        <v>3397</v>
      </c>
      <c r="B258" t="s">
        <v>68</v>
      </c>
      <c r="D258" s="1">
        <v>46204</v>
      </c>
      <c r="E258" s="1">
        <v>47664</v>
      </c>
      <c r="F258" t="s">
        <v>3398</v>
      </c>
      <c r="G258" t="s">
        <v>3399</v>
      </c>
      <c r="H258" s="2" t="s">
        <v>3400</v>
      </c>
      <c r="I258" t="s">
        <v>3399</v>
      </c>
      <c r="K258" t="s">
        <v>3401</v>
      </c>
      <c r="L258">
        <v>5111224</v>
      </c>
      <c r="M258" t="s">
        <v>3402</v>
      </c>
      <c r="N258" t="s">
        <v>359</v>
      </c>
      <c r="O258" t="s">
        <v>360</v>
      </c>
      <c r="P258" t="s">
        <v>129</v>
      </c>
      <c r="Q258" t="s">
        <v>1767</v>
      </c>
      <c r="R258" t="s">
        <v>2815</v>
      </c>
      <c r="S258" t="s">
        <v>2816</v>
      </c>
      <c r="T258" t="s">
        <v>184</v>
      </c>
      <c r="U258" t="s">
        <v>112</v>
      </c>
      <c r="V258" t="s">
        <v>82</v>
      </c>
      <c r="W258" t="s">
        <v>2815</v>
      </c>
      <c r="X258" t="s">
        <v>2816</v>
      </c>
      <c r="Y258" t="s">
        <v>184</v>
      </c>
      <c r="Z258" t="s">
        <v>112</v>
      </c>
      <c r="AA258" t="s">
        <v>82</v>
      </c>
      <c r="AB258" t="s">
        <v>83</v>
      </c>
      <c r="AC258" t="s">
        <v>185</v>
      </c>
      <c r="AD258" t="s">
        <v>167</v>
      </c>
      <c r="AE258" t="s">
        <v>3403</v>
      </c>
      <c r="AF258" t="s">
        <v>167</v>
      </c>
      <c r="AG258" t="s">
        <v>3404</v>
      </c>
      <c r="AH258">
        <v>3</v>
      </c>
      <c r="AI258">
        <v>373100</v>
      </c>
      <c r="AJ258">
        <v>36000</v>
      </c>
      <c r="AK258">
        <v>0</v>
      </c>
      <c r="AL258">
        <v>409100</v>
      </c>
      <c r="AM258" t="s">
        <v>2815</v>
      </c>
      <c r="AN258" t="s">
        <v>2816</v>
      </c>
      <c r="AO258" t="s">
        <v>184</v>
      </c>
      <c r="AP258" t="s">
        <v>112</v>
      </c>
      <c r="AQ258" t="s">
        <v>82</v>
      </c>
      <c r="AR258" t="s">
        <v>3405</v>
      </c>
      <c r="AS258" s="3">
        <v>46202.465223658182</v>
      </c>
      <c r="AT258" t="s">
        <v>89</v>
      </c>
      <c r="AU258" t="s">
        <v>90</v>
      </c>
      <c r="AV258" t="s">
        <v>2712</v>
      </c>
      <c r="AW258" t="s">
        <v>92</v>
      </c>
      <c r="AX258" t="s">
        <v>2713</v>
      </c>
      <c r="AY258" t="s">
        <v>94</v>
      </c>
      <c r="AZ258" t="s">
        <v>85</v>
      </c>
      <c r="BA258" t="s">
        <v>3406</v>
      </c>
      <c r="BB258" t="s">
        <v>3397</v>
      </c>
      <c r="BC258" t="s">
        <v>3399</v>
      </c>
      <c r="BD258" t="s">
        <v>2815</v>
      </c>
      <c r="BE258" t="s">
        <v>2816</v>
      </c>
      <c r="BF258" t="b">
        <f t="shared" si="3"/>
        <v>0</v>
      </c>
      <c r="BG258" t="b">
        <v>1</v>
      </c>
      <c r="BH258">
        <v>2000</v>
      </c>
      <c r="BI258" t="b">
        <v>0</v>
      </c>
      <c r="BJ258" t="s">
        <v>2715</v>
      </c>
      <c r="BK258" t="s">
        <v>2821</v>
      </c>
      <c r="BL258" t="b">
        <v>1</v>
      </c>
      <c r="BM258" t="b">
        <v>1</v>
      </c>
      <c r="BN258" t="b">
        <v>1</v>
      </c>
      <c r="BO258" t="s">
        <v>3407</v>
      </c>
      <c r="BP258" t="b">
        <f>IF(IFERROR(VLOOKUP(A258,[1]Planilha1!$A:$A,1,0),FALSE)=FALSE,FALSE,TRUE)</f>
        <v>0</v>
      </c>
    </row>
    <row r="259" spans="1:68" x14ac:dyDescent="0.25">
      <c r="A259" t="s">
        <v>3397</v>
      </c>
      <c r="B259" t="s">
        <v>68</v>
      </c>
      <c r="D259" s="1">
        <v>46204</v>
      </c>
      <c r="E259" s="1">
        <v>47664</v>
      </c>
      <c r="F259" t="s">
        <v>3398</v>
      </c>
      <c r="G259" t="s">
        <v>3399</v>
      </c>
      <c r="H259" s="2" t="s">
        <v>3400</v>
      </c>
      <c r="I259" t="s">
        <v>3399</v>
      </c>
      <c r="K259" t="s">
        <v>3401</v>
      </c>
      <c r="L259">
        <v>5111224</v>
      </c>
      <c r="M259" t="s">
        <v>3402</v>
      </c>
      <c r="N259" t="s">
        <v>359</v>
      </c>
      <c r="O259" t="s">
        <v>360</v>
      </c>
      <c r="P259" t="s">
        <v>129</v>
      </c>
      <c r="Q259" t="s">
        <v>1767</v>
      </c>
      <c r="R259" t="s">
        <v>2815</v>
      </c>
      <c r="S259" t="s">
        <v>2816</v>
      </c>
      <c r="T259" t="s">
        <v>184</v>
      </c>
      <c r="U259" t="s">
        <v>112</v>
      </c>
      <c r="V259" t="s">
        <v>82</v>
      </c>
      <c r="W259" t="s">
        <v>2815</v>
      </c>
      <c r="X259" t="s">
        <v>2816</v>
      </c>
      <c r="Y259" t="s">
        <v>184</v>
      </c>
      <c r="Z259" t="s">
        <v>112</v>
      </c>
      <c r="AA259" t="s">
        <v>82</v>
      </c>
      <c r="AB259" t="s">
        <v>83</v>
      </c>
      <c r="AC259" t="s">
        <v>185</v>
      </c>
      <c r="AD259" t="s">
        <v>167</v>
      </c>
      <c r="AE259" t="s">
        <v>3403</v>
      </c>
      <c r="AF259" t="s">
        <v>167</v>
      </c>
      <c r="AG259" t="s">
        <v>3404</v>
      </c>
      <c r="AH259">
        <v>3</v>
      </c>
      <c r="AI259">
        <v>373100</v>
      </c>
      <c r="AJ259">
        <v>36000</v>
      </c>
      <c r="AK259">
        <v>0</v>
      </c>
      <c r="AL259">
        <v>409100</v>
      </c>
      <c r="AM259" t="s">
        <v>2815</v>
      </c>
      <c r="AN259" t="s">
        <v>2816</v>
      </c>
      <c r="AO259" t="s">
        <v>184</v>
      </c>
      <c r="AP259" t="s">
        <v>112</v>
      </c>
      <c r="AQ259" t="s">
        <v>82</v>
      </c>
      <c r="AR259" t="s">
        <v>3405</v>
      </c>
      <c r="AS259" s="3">
        <v>46202.465223658182</v>
      </c>
      <c r="AT259" t="s">
        <v>89</v>
      </c>
      <c r="AU259" t="s">
        <v>90</v>
      </c>
      <c r="AV259" t="s">
        <v>2712</v>
      </c>
      <c r="AW259" t="s">
        <v>92</v>
      </c>
      <c r="AX259" t="s">
        <v>2713</v>
      </c>
      <c r="AY259" t="s">
        <v>94</v>
      </c>
      <c r="AZ259" t="s">
        <v>85</v>
      </c>
      <c r="BA259" t="s">
        <v>3406</v>
      </c>
      <c r="BB259" t="s">
        <v>3397</v>
      </c>
      <c r="BC259" t="s">
        <v>3408</v>
      </c>
      <c r="BD259" t="s">
        <v>2815</v>
      </c>
      <c r="BE259" t="s">
        <v>2816</v>
      </c>
      <c r="BF259" t="b">
        <f t="shared" ref="BF259:BF322" si="4">IF(AND(BG259,BI259,BL259,BM259),TRUE,FALSE)</f>
        <v>0</v>
      </c>
      <c r="BG259" t="b">
        <v>1</v>
      </c>
      <c r="BH259">
        <v>2020</v>
      </c>
      <c r="BI259" t="b">
        <v>0</v>
      </c>
      <c r="BJ259" t="s">
        <v>2715</v>
      </c>
      <c r="BK259" t="s">
        <v>2821</v>
      </c>
      <c r="BL259" t="b">
        <v>1</v>
      </c>
      <c r="BM259" t="b">
        <v>1</v>
      </c>
      <c r="BN259" t="b">
        <v>1</v>
      </c>
      <c r="BO259" t="s">
        <v>3409</v>
      </c>
      <c r="BP259" t="b">
        <f>IF(IFERROR(VLOOKUP(A259,[1]Planilha1!$A:$A,1,0),FALSE)=FALSE,FALSE,TRUE)</f>
        <v>0</v>
      </c>
    </row>
    <row r="260" spans="1:68" x14ac:dyDescent="0.25">
      <c r="A260" t="s">
        <v>3410</v>
      </c>
      <c r="B260" t="s">
        <v>68</v>
      </c>
      <c r="D260" s="1">
        <v>46204</v>
      </c>
      <c r="E260" s="1">
        <v>47664</v>
      </c>
      <c r="F260" t="s">
        <v>3411</v>
      </c>
      <c r="G260" t="s">
        <v>3412</v>
      </c>
      <c r="H260" s="2" t="s">
        <v>3413</v>
      </c>
      <c r="I260" t="s">
        <v>3412</v>
      </c>
      <c r="K260" t="s">
        <v>3414</v>
      </c>
      <c r="L260">
        <v>5116700</v>
      </c>
      <c r="M260" t="s">
        <v>3415</v>
      </c>
      <c r="N260" t="s">
        <v>359</v>
      </c>
      <c r="O260" t="s">
        <v>360</v>
      </c>
      <c r="P260" t="s">
        <v>129</v>
      </c>
      <c r="Q260" t="s">
        <v>1148</v>
      </c>
      <c r="R260" t="s">
        <v>2787</v>
      </c>
      <c r="S260" t="s">
        <v>2788</v>
      </c>
      <c r="T260" t="s">
        <v>111</v>
      </c>
      <c r="U260" t="s">
        <v>112</v>
      </c>
      <c r="V260" t="s">
        <v>82</v>
      </c>
      <c r="W260" t="s">
        <v>2787</v>
      </c>
      <c r="X260" t="s">
        <v>2788</v>
      </c>
      <c r="Y260" t="s">
        <v>111</v>
      </c>
      <c r="Z260" t="s">
        <v>112</v>
      </c>
      <c r="AA260" t="s">
        <v>82</v>
      </c>
      <c r="AB260" t="s">
        <v>83</v>
      </c>
      <c r="AC260" t="s">
        <v>185</v>
      </c>
      <c r="AD260" t="s">
        <v>149</v>
      </c>
      <c r="AE260" t="s">
        <v>3416</v>
      </c>
      <c r="AF260" t="s">
        <v>85</v>
      </c>
      <c r="AG260" t="s">
        <v>2480</v>
      </c>
      <c r="AH260">
        <v>3</v>
      </c>
      <c r="AI260">
        <v>748800</v>
      </c>
      <c r="AJ260">
        <v>98000</v>
      </c>
      <c r="AK260">
        <v>0</v>
      </c>
      <c r="AL260">
        <v>846800</v>
      </c>
      <c r="AM260" t="s">
        <v>2787</v>
      </c>
      <c r="AN260" t="s">
        <v>2788</v>
      </c>
      <c r="AO260" t="s">
        <v>111</v>
      </c>
      <c r="AP260" t="s">
        <v>112</v>
      </c>
      <c r="AQ260" t="s">
        <v>82</v>
      </c>
      <c r="AR260" t="s">
        <v>3417</v>
      </c>
      <c r="AS260" s="3">
        <v>46202.465223658182</v>
      </c>
      <c r="AT260" t="s">
        <v>89</v>
      </c>
      <c r="AU260" t="s">
        <v>90</v>
      </c>
      <c r="AV260" t="s">
        <v>2712</v>
      </c>
      <c r="AW260" t="s">
        <v>92</v>
      </c>
      <c r="AX260" t="s">
        <v>2713</v>
      </c>
      <c r="AY260" t="s">
        <v>94</v>
      </c>
      <c r="AZ260" t="s">
        <v>85</v>
      </c>
      <c r="BA260" t="s">
        <v>3418</v>
      </c>
      <c r="BB260" t="s">
        <v>3410</v>
      </c>
      <c r="BC260" t="s">
        <v>3412</v>
      </c>
      <c r="BD260" t="s">
        <v>2787</v>
      </c>
      <c r="BE260" t="s">
        <v>2788</v>
      </c>
      <c r="BF260" t="b">
        <f t="shared" si="4"/>
        <v>1</v>
      </c>
      <c r="BG260" t="b">
        <v>1</v>
      </c>
      <c r="BH260">
        <v>2021</v>
      </c>
      <c r="BI260" t="b">
        <v>1</v>
      </c>
      <c r="BJ260" t="s">
        <v>2715</v>
      </c>
      <c r="BK260" t="s">
        <v>2716</v>
      </c>
      <c r="BL260" t="b">
        <v>1</v>
      </c>
      <c r="BM260" t="b">
        <v>1</v>
      </c>
      <c r="BN260" t="b">
        <v>1</v>
      </c>
      <c r="BO260" t="s">
        <v>3419</v>
      </c>
      <c r="BP260" t="b">
        <f>IF(IFERROR(VLOOKUP(A260,[1]Planilha1!$A:$A,1,0),FALSE)=FALSE,FALSE,TRUE)</f>
        <v>1</v>
      </c>
    </row>
    <row r="261" spans="1:68" x14ac:dyDescent="0.25">
      <c r="A261" t="s">
        <v>3420</v>
      </c>
      <c r="B261" t="s">
        <v>68</v>
      </c>
      <c r="D261" s="1">
        <v>46204</v>
      </c>
      <c r="E261" s="1">
        <v>47664</v>
      </c>
      <c r="F261" t="s">
        <v>3421</v>
      </c>
      <c r="G261" t="s">
        <v>3422</v>
      </c>
      <c r="H261" s="2" t="s">
        <v>3423</v>
      </c>
      <c r="I261" t="s">
        <v>3422</v>
      </c>
      <c r="K261" t="s">
        <v>3424</v>
      </c>
      <c r="L261">
        <v>5116828</v>
      </c>
      <c r="M261" t="s">
        <v>3425</v>
      </c>
      <c r="N261" t="s">
        <v>179</v>
      </c>
      <c r="O261" t="s">
        <v>180</v>
      </c>
      <c r="P261" t="s">
        <v>129</v>
      </c>
      <c r="Q261" t="s">
        <v>3426</v>
      </c>
      <c r="R261" t="s">
        <v>1133</v>
      </c>
      <c r="S261" t="s">
        <v>1134</v>
      </c>
      <c r="T261" t="s">
        <v>184</v>
      </c>
      <c r="U261" t="s">
        <v>112</v>
      </c>
      <c r="V261" t="s">
        <v>82</v>
      </c>
      <c r="W261" t="s">
        <v>1133</v>
      </c>
      <c r="X261" t="s">
        <v>1134</v>
      </c>
      <c r="Y261" t="s">
        <v>184</v>
      </c>
      <c r="Z261" t="s">
        <v>112</v>
      </c>
      <c r="AA261" t="s">
        <v>82</v>
      </c>
      <c r="AB261" t="s">
        <v>83</v>
      </c>
      <c r="AC261" t="s">
        <v>185</v>
      </c>
      <c r="AD261" t="s">
        <v>85</v>
      </c>
      <c r="AE261" t="s">
        <v>3427</v>
      </c>
      <c r="AF261" t="s">
        <v>85</v>
      </c>
      <c r="AG261" t="s">
        <v>3428</v>
      </c>
      <c r="AH261">
        <v>11</v>
      </c>
      <c r="AI261">
        <v>1346800</v>
      </c>
      <c r="AJ261">
        <v>149396</v>
      </c>
      <c r="AK261">
        <v>0</v>
      </c>
      <c r="AL261">
        <v>1496196</v>
      </c>
      <c r="AM261" t="s">
        <v>1133</v>
      </c>
      <c r="AN261" t="s">
        <v>1134</v>
      </c>
      <c r="AO261" t="s">
        <v>184</v>
      </c>
      <c r="AP261" t="s">
        <v>112</v>
      </c>
      <c r="AQ261" t="s">
        <v>82</v>
      </c>
      <c r="AR261" t="s">
        <v>3429</v>
      </c>
      <c r="AS261" s="3">
        <v>46202.465223658182</v>
      </c>
      <c r="AT261" t="s">
        <v>89</v>
      </c>
      <c r="AU261" t="s">
        <v>90</v>
      </c>
      <c r="AV261" t="s">
        <v>2712</v>
      </c>
      <c r="AW261" t="s">
        <v>92</v>
      </c>
      <c r="AX261" t="s">
        <v>2713</v>
      </c>
      <c r="AY261" t="s">
        <v>94</v>
      </c>
      <c r="AZ261" t="s">
        <v>85</v>
      </c>
      <c r="BA261" t="s">
        <v>3430</v>
      </c>
      <c r="BB261" t="s">
        <v>3420</v>
      </c>
      <c r="BC261" t="s">
        <v>3422</v>
      </c>
      <c r="BD261" t="s">
        <v>1133</v>
      </c>
      <c r="BE261" t="s">
        <v>1134</v>
      </c>
      <c r="BF261" t="b">
        <f t="shared" si="4"/>
        <v>1</v>
      </c>
      <c r="BG261" t="b">
        <v>1</v>
      </c>
      <c r="BH261">
        <v>1992</v>
      </c>
      <c r="BI261" t="b">
        <v>1</v>
      </c>
      <c r="BJ261" t="s">
        <v>2715</v>
      </c>
      <c r="BK261" t="s">
        <v>1140</v>
      </c>
      <c r="BL261" t="b">
        <v>1</v>
      </c>
      <c r="BM261" t="b">
        <v>1</v>
      </c>
      <c r="BN261" t="b">
        <v>1</v>
      </c>
      <c r="BO261" t="s">
        <v>3431</v>
      </c>
      <c r="BP261" t="b">
        <f>IF(IFERROR(VLOOKUP(A261,[1]Planilha1!$A:$A,1,0),FALSE)=FALSE,FALSE,TRUE)</f>
        <v>1</v>
      </c>
    </row>
    <row r="262" spans="1:68" x14ac:dyDescent="0.25">
      <c r="A262" t="s">
        <v>3432</v>
      </c>
      <c r="B262" t="s">
        <v>68</v>
      </c>
      <c r="D262" s="1">
        <v>46204</v>
      </c>
      <c r="E262" s="1">
        <v>47664</v>
      </c>
      <c r="F262" t="s">
        <v>3433</v>
      </c>
      <c r="G262" t="s">
        <v>3434</v>
      </c>
      <c r="H262" s="2" t="s">
        <v>3435</v>
      </c>
      <c r="I262" t="s">
        <v>3434</v>
      </c>
      <c r="K262" t="s">
        <v>3436</v>
      </c>
      <c r="L262">
        <v>5116603</v>
      </c>
      <c r="M262" t="s">
        <v>3437</v>
      </c>
      <c r="N262" t="s">
        <v>249</v>
      </c>
      <c r="O262" t="s">
        <v>250</v>
      </c>
      <c r="P262" t="s">
        <v>76</v>
      </c>
      <c r="Q262" t="s">
        <v>3438</v>
      </c>
      <c r="R262" t="s">
        <v>1133</v>
      </c>
      <c r="S262" t="s">
        <v>1134</v>
      </c>
      <c r="T262" t="s">
        <v>184</v>
      </c>
      <c r="U262" t="s">
        <v>112</v>
      </c>
      <c r="V262" t="s">
        <v>82</v>
      </c>
      <c r="W262" t="s">
        <v>1133</v>
      </c>
      <c r="X262" t="s">
        <v>1134</v>
      </c>
      <c r="Y262" t="s">
        <v>184</v>
      </c>
      <c r="Z262" t="s">
        <v>112</v>
      </c>
      <c r="AA262" t="s">
        <v>82</v>
      </c>
      <c r="AB262" t="s">
        <v>83</v>
      </c>
      <c r="AC262" t="s">
        <v>202</v>
      </c>
      <c r="AD262" t="s">
        <v>149</v>
      </c>
      <c r="AE262" t="s">
        <v>3439</v>
      </c>
      <c r="AF262" t="s">
        <v>85</v>
      </c>
      <c r="AG262" t="s">
        <v>3440</v>
      </c>
      <c r="AH262">
        <v>8</v>
      </c>
      <c r="AI262">
        <v>895830</v>
      </c>
      <c r="AJ262">
        <v>67616</v>
      </c>
      <c r="AK262">
        <v>0</v>
      </c>
      <c r="AL262">
        <v>963446</v>
      </c>
      <c r="AM262" t="s">
        <v>1133</v>
      </c>
      <c r="AN262" t="s">
        <v>1134</v>
      </c>
      <c r="AO262" t="s">
        <v>184</v>
      </c>
      <c r="AP262" t="s">
        <v>112</v>
      </c>
      <c r="AQ262" t="s">
        <v>82</v>
      </c>
      <c r="AR262" t="s">
        <v>3441</v>
      </c>
      <c r="AS262" s="3">
        <v>46202.465223658182</v>
      </c>
      <c r="AT262" t="s">
        <v>89</v>
      </c>
      <c r="AU262" t="s">
        <v>90</v>
      </c>
      <c r="AV262" t="s">
        <v>2712</v>
      </c>
      <c r="AW262" t="s">
        <v>92</v>
      </c>
      <c r="AX262" t="s">
        <v>2713</v>
      </c>
      <c r="AY262" t="s">
        <v>94</v>
      </c>
      <c r="AZ262" t="s">
        <v>85</v>
      </c>
      <c r="BA262" t="s">
        <v>3442</v>
      </c>
      <c r="BB262" t="s">
        <v>3432</v>
      </c>
      <c r="BC262" t="s">
        <v>3434</v>
      </c>
      <c r="BD262" t="s">
        <v>1133</v>
      </c>
      <c r="BE262" t="s">
        <v>1134</v>
      </c>
      <c r="BF262" t="b">
        <f t="shared" si="4"/>
        <v>1</v>
      </c>
      <c r="BG262" t="b">
        <v>1</v>
      </c>
      <c r="BH262">
        <v>2015</v>
      </c>
      <c r="BI262" t="b">
        <v>1</v>
      </c>
      <c r="BJ262" t="s">
        <v>2715</v>
      </c>
      <c r="BK262" t="s">
        <v>1140</v>
      </c>
      <c r="BL262" t="b">
        <v>1</v>
      </c>
      <c r="BM262" t="b">
        <v>1</v>
      </c>
      <c r="BN262" t="b">
        <v>1</v>
      </c>
      <c r="BO262" t="s">
        <v>3443</v>
      </c>
      <c r="BP262" t="b">
        <f>IF(IFERROR(VLOOKUP(A262,[1]Planilha1!$A:$A,1,0),FALSE)=FALSE,FALSE,TRUE)</f>
        <v>1</v>
      </c>
    </row>
    <row r="263" spans="1:68" x14ac:dyDescent="0.25">
      <c r="A263" t="s">
        <v>3444</v>
      </c>
      <c r="B263" t="s">
        <v>68</v>
      </c>
      <c r="D263" s="1">
        <v>46204</v>
      </c>
      <c r="E263" s="1">
        <v>47664</v>
      </c>
      <c r="F263" t="s">
        <v>3445</v>
      </c>
      <c r="G263" t="s">
        <v>3446</v>
      </c>
      <c r="H263" s="2" t="s">
        <v>3447</v>
      </c>
      <c r="I263" t="s">
        <v>3446</v>
      </c>
      <c r="K263" t="s">
        <v>3448</v>
      </c>
      <c r="L263">
        <v>5116832</v>
      </c>
      <c r="M263" t="s">
        <v>3449</v>
      </c>
      <c r="N263" t="s">
        <v>1602</v>
      </c>
      <c r="O263" t="s">
        <v>106</v>
      </c>
      <c r="P263" t="s">
        <v>107</v>
      </c>
      <c r="Q263" t="s">
        <v>3450</v>
      </c>
      <c r="R263" t="s">
        <v>2787</v>
      </c>
      <c r="S263" t="s">
        <v>2788</v>
      </c>
      <c r="T263" t="s">
        <v>111</v>
      </c>
      <c r="U263" t="s">
        <v>112</v>
      </c>
      <c r="V263" t="s">
        <v>82</v>
      </c>
      <c r="W263" t="s">
        <v>2787</v>
      </c>
      <c r="X263" t="s">
        <v>2788</v>
      </c>
      <c r="Y263" t="s">
        <v>111</v>
      </c>
      <c r="Z263" t="s">
        <v>112</v>
      </c>
      <c r="AA263" t="s">
        <v>82</v>
      </c>
      <c r="AB263" t="s">
        <v>83</v>
      </c>
      <c r="AC263" t="s">
        <v>113</v>
      </c>
      <c r="AD263" t="s">
        <v>85</v>
      </c>
      <c r="AE263" t="s">
        <v>3451</v>
      </c>
      <c r="AF263" t="s">
        <v>85</v>
      </c>
      <c r="AG263" t="s">
        <v>3452</v>
      </c>
      <c r="AH263">
        <v>17</v>
      </c>
      <c r="AI263">
        <v>1329360</v>
      </c>
      <c r="AJ263">
        <v>147818.67000000001</v>
      </c>
      <c r="AK263">
        <v>0</v>
      </c>
      <c r="AL263">
        <v>1477178.67</v>
      </c>
      <c r="AM263" t="s">
        <v>2787</v>
      </c>
      <c r="AN263" t="s">
        <v>2788</v>
      </c>
      <c r="AO263" t="s">
        <v>111</v>
      </c>
      <c r="AP263" t="s">
        <v>112</v>
      </c>
      <c r="AQ263" t="s">
        <v>82</v>
      </c>
      <c r="AR263" t="s">
        <v>3453</v>
      </c>
      <c r="AS263" s="3">
        <v>46202.465223658182</v>
      </c>
      <c r="AT263" t="s">
        <v>89</v>
      </c>
      <c r="AU263" t="s">
        <v>90</v>
      </c>
      <c r="AV263" t="s">
        <v>2712</v>
      </c>
      <c r="AW263" t="s">
        <v>92</v>
      </c>
      <c r="AX263" t="s">
        <v>2713</v>
      </c>
      <c r="AY263" t="s">
        <v>94</v>
      </c>
      <c r="AZ263" t="s">
        <v>85</v>
      </c>
      <c r="BA263" t="s">
        <v>3454</v>
      </c>
      <c r="BB263" t="s">
        <v>3444</v>
      </c>
      <c r="BC263" t="s">
        <v>3446</v>
      </c>
      <c r="BD263" t="s">
        <v>2787</v>
      </c>
      <c r="BE263" t="s">
        <v>2788</v>
      </c>
      <c r="BF263" t="b">
        <f t="shared" si="4"/>
        <v>1</v>
      </c>
      <c r="BG263" t="b">
        <v>1</v>
      </c>
      <c r="BH263">
        <v>2019</v>
      </c>
      <c r="BI263" t="b">
        <v>1</v>
      </c>
      <c r="BJ263" t="s">
        <v>2715</v>
      </c>
      <c r="BK263" t="s">
        <v>2716</v>
      </c>
      <c r="BL263" t="b">
        <v>1</v>
      </c>
      <c r="BM263" t="b">
        <v>1</v>
      </c>
      <c r="BN263" t="b">
        <v>1</v>
      </c>
      <c r="BO263" t="s">
        <v>3455</v>
      </c>
      <c r="BP263" t="b">
        <f>IF(IFERROR(VLOOKUP(A263,[1]Planilha1!$A:$A,1,0),FALSE)=FALSE,FALSE,TRUE)</f>
        <v>1</v>
      </c>
    </row>
    <row r="264" spans="1:68" x14ac:dyDescent="0.25">
      <c r="A264" t="s">
        <v>3456</v>
      </c>
      <c r="B264" t="s">
        <v>68</v>
      </c>
      <c r="D264" s="1">
        <v>46204</v>
      </c>
      <c r="E264" s="1">
        <v>47664</v>
      </c>
      <c r="F264" t="s">
        <v>3457</v>
      </c>
      <c r="G264" t="s">
        <v>3458</v>
      </c>
      <c r="H264" s="2" t="s">
        <v>3459</v>
      </c>
      <c r="I264" t="s">
        <v>3458</v>
      </c>
      <c r="K264" t="s">
        <v>3460</v>
      </c>
      <c r="L264">
        <v>5116365</v>
      </c>
      <c r="M264" t="s">
        <v>3461</v>
      </c>
      <c r="N264" t="s">
        <v>793</v>
      </c>
      <c r="O264" t="s">
        <v>794</v>
      </c>
      <c r="P264" t="s">
        <v>647</v>
      </c>
      <c r="Q264" t="s">
        <v>2609</v>
      </c>
      <c r="R264" t="s">
        <v>2773</v>
      </c>
      <c r="S264" t="s">
        <v>2774</v>
      </c>
      <c r="T264" t="s">
        <v>184</v>
      </c>
      <c r="U264" t="s">
        <v>112</v>
      </c>
      <c r="V264" t="s">
        <v>82</v>
      </c>
      <c r="W264" t="s">
        <v>2773</v>
      </c>
      <c r="X264" t="s">
        <v>2774</v>
      </c>
      <c r="Y264" t="s">
        <v>184</v>
      </c>
      <c r="Z264" t="s">
        <v>112</v>
      </c>
      <c r="AA264" t="s">
        <v>82</v>
      </c>
      <c r="AB264" t="s">
        <v>83</v>
      </c>
      <c r="AC264" t="s">
        <v>649</v>
      </c>
      <c r="AD264" t="s">
        <v>252</v>
      </c>
      <c r="AE264" t="s">
        <v>3462</v>
      </c>
      <c r="AF264" t="s">
        <v>252</v>
      </c>
      <c r="AG264" t="s">
        <v>3463</v>
      </c>
      <c r="AH264">
        <v>6</v>
      </c>
      <c r="AI264">
        <v>826800</v>
      </c>
      <c r="AJ264">
        <v>91242.67</v>
      </c>
      <c r="AK264">
        <v>0</v>
      </c>
      <c r="AL264">
        <v>918042.67</v>
      </c>
      <c r="AM264" t="s">
        <v>2773</v>
      </c>
      <c r="AN264" t="s">
        <v>2774</v>
      </c>
      <c r="AO264" t="s">
        <v>184</v>
      </c>
      <c r="AP264" t="s">
        <v>112</v>
      </c>
      <c r="AQ264" t="s">
        <v>82</v>
      </c>
      <c r="AR264" t="s">
        <v>3464</v>
      </c>
      <c r="AS264" s="3">
        <v>46202.465223658182</v>
      </c>
      <c r="AT264" t="s">
        <v>89</v>
      </c>
      <c r="AU264" t="s">
        <v>90</v>
      </c>
      <c r="AV264" t="s">
        <v>2712</v>
      </c>
      <c r="AW264" t="s">
        <v>92</v>
      </c>
      <c r="AX264" t="s">
        <v>2713</v>
      </c>
      <c r="AY264" t="s">
        <v>94</v>
      </c>
      <c r="AZ264" t="s">
        <v>85</v>
      </c>
      <c r="BA264" t="s">
        <v>3465</v>
      </c>
      <c r="BB264" t="s">
        <v>3456</v>
      </c>
      <c r="BC264" t="s">
        <v>3458</v>
      </c>
      <c r="BD264" t="s">
        <v>2773</v>
      </c>
      <c r="BE264" t="s">
        <v>2774</v>
      </c>
      <c r="BF264" t="b">
        <f t="shared" si="4"/>
        <v>1</v>
      </c>
      <c r="BG264" t="b">
        <v>1</v>
      </c>
      <c r="BH264">
        <v>2019</v>
      </c>
      <c r="BI264" t="b">
        <v>1</v>
      </c>
      <c r="BJ264" t="s">
        <v>2715</v>
      </c>
      <c r="BK264" t="s">
        <v>2779</v>
      </c>
      <c r="BL264" t="b">
        <v>1</v>
      </c>
      <c r="BM264" t="b">
        <v>1</v>
      </c>
      <c r="BN264" t="b">
        <v>1</v>
      </c>
      <c r="BO264" t="s">
        <v>3466</v>
      </c>
      <c r="BP264" t="b">
        <f>IF(IFERROR(VLOOKUP(A264,[1]Planilha1!$A:$A,1,0),FALSE)=FALSE,FALSE,TRUE)</f>
        <v>1</v>
      </c>
    </row>
    <row r="265" spans="1:68" x14ac:dyDescent="0.25">
      <c r="A265" t="s">
        <v>3467</v>
      </c>
      <c r="B265" t="s">
        <v>68</v>
      </c>
      <c r="D265" s="1">
        <v>46204</v>
      </c>
      <c r="E265" s="1">
        <v>47664</v>
      </c>
      <c r="F265" t="s">
        <v>3468</v>
      </c>
      <c r="G265" t="s">
        <v>3469</v>
      </c>
      <c r="H265" s="2" t="s">
        <v>3470</v>
      </c>
      <c r="I265" t="s">
        <v>3469</v>
      </c>
      <c r="K265" t="s">
        <v>3471</v>
      </c>
      <c r="L265">
        <v>5116658</v>
      </c>
      <c r="M265" t="s">
        <v>3472</v>
      </c>
      <c r="N265" t="s">
        <v>2109</v>
      </c>
      <c r="O265" t="s">
        <v>2018</v>
      </c>
      <c r="P265" t="s">
        <v>230</v>
      </c>
      <c r="Q265" t="s">
        <v>3473</v>
      </c>
      <c r="R265" t="s">
        <v>2972</v>
      </c>
      <c r="S265" t="s">
        <v>2973</v>
      </c>
      <c r="T265" t="s">
        <v>300</v>
      </c>
      <c r="U265" t="s">
        <v>301</v>
      </c>
      <c r="V265" t="s">
        <v>82</v>
      </c>
      <c r="W265" t="s">
        <v>2972</v>
      </c>
      <c r="X265" t="s">
        <v>2973</v>
      </c>
      <c r="Y265" t="s">
        <v>300</v>
      </c>
      <c r="Z265" t="s">
        <v>301</v>
      </c>
      <c r="AA265" t="s">
        <v>82</v>
      </c>
      <c r="AB265" t="s">
        <v>83</v>
      </c>
      <c r="AC265" t="s">
        <v>1013</v>
      </c>
      <c r="AD265" t="s">
        <v>149</v>
      </c>
      <c r="AE265" t="s">
        <v>3474</v>
      </c>
      <c r="AF265" t="s">
        <v>85</v>
      </c>
      <c r="AG265" t="s">
        <v>3475</v>
      </c>
      <c r="AH265">
        <v>20</v>
      </c>
      <c r="AI265">
        <v>1398240</v>
      </c>
      <c r="AJ265">
        <v>90000</v>
      </c>
      <c r="AK265">
        <v>0</v>
      </c>
      <c r="AL265">
        <v>1488240</v>
      </c>
      <c r="AR265" t="s">
        <v>3476</v>
      </c>
      <c r="AS265" s="3">
        <v>46202.465223658182</v>
      </c>
      <c r="AT265" t="s">
        <v>89</v>
      </c>
      <c r="AU265" t="s">
        <v>90</v>
      </c>
      <c r="AV265" t="s">
        <v>2712</v>
      </c>
      <c r="AW265" t="s">
        <v>92</v>
      </c>
      <c r="AX265" t="s">
        <v>2713</v>
      </c>
      <c r="AY265" t="s">
        <v>94</v>
      </c>
      <c r="AZ265" t="s">
        <v>85</v>
      </c>
      <c r="BA265" t="s">
        <v>3477</v>
      </c>
      <c r="BB265" t="s">
        <v>3467</v>
      </c>
      <c r="BC265" t="s">
        <v>3469</v>
      </c>
      <c r="BD265" t="s">
        <v>2972</v>
      </c>
      <c r="BE265" t="s">
        <v>2973</v>
      </c>
      <c r="BF265" t="b">
        <f t="shared" si="4"/>
        <v>1</v>
      </c>
      <c r="BG265" t="b">
        <v>1</v>
      </c>
      <c r="BH265">
        <v>2012</v>
      </c>
      <c r="BI265" t="b">
        <v>1</v>
      </c>
      <c r="BJ265" t="s">
        <v>2715</v>
      </c>
      <c r="BK265" t="s">
        <v>2978</v>
      </c>
      <c r="BL265" t="b">
        <v>1</v>
      </c>
      <c r="BM265" t="b">
        <v>1</v>
      </c>
      <c r="BN265" t="b">
        <v>1</v>
      </c>
      <c r="BO265" t="s">
        <v>3478</v>
      </c>
      <c r="BP265" t="b">
        <f>IF(IFERROR(VLOOKUP(A265,[1]Planilha1!$A:$A,1,0),FALSE)=FALSE,FALSE,TRUE)</f>
        <v>1</v>
      </c>
    </row>
    <row r="266" spans="1:68" x14ac:dyDescent="0.25">
      <c r="A266" t="s">
        <v>3479</v>
      </c>
      <c r="B266" t="s">
        <v>68</v>
      </c>
      <c r="D266" s="1">
        <v>46204</v>
      </c>
      <c r="E266" s="1">
        <v>47664</v>
      </c>
      <c r="F266" t="s">
        <v>3480</v>
      </c>
      <c r="G266" t="s">
        <v>3481</v>
      </c>
      <c r="H266" s="2" t="s">
        <v>3482</v>
      </c>
      <c r="I266" t="s">
        <v>3481</v>
      </c>
      <c r="K266" t="s">
        <v>3483</v>
      </c>
      <c r="L266">
        <v>5116457</v>
      </c>
      <c r="M266" t="s">
        <v>3484</v>
      </c>
      <c r="N266" t="s">
        <v>2109</v>
      </c>
      <c r="O266" t="s">
        <v>2018</v>
      </c>
      <c r="P266" t="s">
        <v>230</v>
      </c>
      <c r="Q266" t="s">
        <v>3485</v>
      </c>
      <c r="R266" t="s">
        <v>2972</v>
      </c>
      <c r="S266" t="s">
        <v>2973</v>
      </c>
      <c r="T266" t="s">
        <v>300</v>
      </c>
      <c r="U266" t="s">
        <v>301</v>
      </c>
      <c r="V266" t="s">
        <v>82</v>
      </c>
      <c r="W266" t="s">
        <v>2972</v>
      </c>
      <c r="X266" t="s">
        <v>2973</v>
      </c>
      <c r="Y266" t="s">
        <v>300</v>
      </c>
      <c r="Z266" t="s">
        <v>301</v>
      </c>
      <c r="AA266" t="s">
        <v>82</v>
      </c>
      <c r="AB266" t="s">
        <v>83</v>
      </c>
      <c r="AC266" t="s">
        <v>1013</v>
      </c>
      <c r="AD266" t="s">
        <v>252</v>
      </c>
      <c r="AE266" t="s">
        <v>3486</v>
      </c>
      <c r="AF266" t="s">
        <v>252</v>
      </c>
      <c r="AG266" t="s">
        <v>3487</v>
      </c>
      <c r="AH266">
        <v>8</v>
      </c>
      <c r="AI266">
        <v>1349400</v>
      </c>
      <c r="AJ266">
        <v>134000</v>
      </c>
      <c r="AK266">
        <v>0</v>
      </c>
      <c r="AL266">
        <v>1483400</v>
      </c>
      <c r="AM266" t="s">
        <v>2972</v>
      </c>
      <c r="AN266" t="s">
        <v>2973</v>
      </c>
      <c r="AO266" t="s">
        <v>300</v>
      </c>
      <c r="AP266" t="s">
        <v>301</v>
      </c>
      <c r="AQ266" t="s">
        <v>82</v>
      </c>
      <c r="AR266" t="s">
        <v>3488</v>
      </c>
      <c r="AS266" s="3">
        <v>46202.465223658182</v>
      </c>
      <c r="AT266" t="s">
        <v>89</v>
      </c>
      <c r="AU266" t="s">
        <v>90</v>
      </c>
      <c r="AV266" t="s">
        <v>2712</v>
      </c>
      <c r="AW266" t="s">
        <v>92</v>
      </c>
      <c r="AX266" t="s">
        <v>2713</v>
      </c>
      <c r="AY266" t="s">
        <v>94</v>
      </c>
      <c r="AZ266" t="s">
        <v>85</v>
      </c>
      <c r="BA266" t="s">
        <v>3489</v>
      </c>
      <c r="BB266" t="s">
        <v>3479</v>
      </c>
      <c r="BC266" t="s">
        <v>3481</v>
      </c>
      <c r="BD266" t="s">
        <v>2972</v>
      </c>
      <c r="BE266" t="s">
        <v>2973</v>
      </c>
      <c r="BF266" t="b">
        <f t="shared" si="4"/>
        <v>1</v>
      </c>
      <c r="BG266" t="b">
        <v>1</v>
      </c>
      <c r="BH266">
        <v>2022</v>
      </c>
      <c r="BI266" t="b">
        <v>1</v>
      </c>
      <c r="BJ266" t="s">
        <v>2715</v>
      </c>
      <c r="BK266" t="s">
        <v>2978</v>
      </c>
      <c r="BL266" t="b">
        <v>1</v>
      </c>
      <c r="BM266" t="b">
        <v>1</v>
      </c>
      <c r="BN266" t="b">
        <v>1</v>
      </c>
      <c r="BO266" t="s">
        <v>3490</v>
      </c>
      <c r="BP266" t="b">
        <f>IF(IFERROR(VLOOKUP(A266,[1]Planilha1!$A:$A,1,0),FALSE)=FALSE,FALSE,TRUE)</f>
        <v>1</v>
      </c>
    </row>
    <row r="267" spans="1:68" x14ac:dyDescent="0.25">
      <c r="A267" t="s">
        <v>3491</v>
      </c>
      <c r="B267" t="s">
        <v>68</v>
      </c>
      <c r="D267" s="1">
        <v>46204</v>
      </c>
      <c r="E267" s="1">
        <v>47664</v>
      </c>
      <c r="F267" t="s">
        <v>3492</v>
      </c>
      <c r="G267" t="s">
        <v>3493</v>
      </c>
      <c r="H267" s="2" t="s">
        <v>3494</v>
      </c>
      <c r="I267" t="s">
        <v>3493</v>
      </c>
      <c r="K267" t="s">
        <v>3495</v>
      </c>
      <c r="L267">
        <v>5116549</v>
      </c>
      <c r="M267" t="s">
        <v>3496</v>
      </c>
      <c r="N267" t="s">
        <v>359</v>
      </c>
      <c r="O267" t="s">
        <v>360</v>
      </c>
      <c r="P267" t="s">
        <v>129</v>
      </c>
      <c r="Q267" t="s">
        <v>3497</v>
      </c>
      <c r="R267" t="s">
        <v>2815</v>
      </c>
      <c r="S267" t="s">
        <v>2816</v>
      </c>
      <c r="T267" t="s">
        <v>184</v>
      </c>
      <c r="U267" t="s">
        <v>112</v>
      </c>
      <c r="V267" t="s">
        <v>82</v>
      </c>
      <c r="W267" t="s">
        <v>2815</v>
      </c>
      <c r="X267" t="s">
        <v>2816</v>
      </c>
      <c r="Y267" t="s">
        <v>184</v>
      </c>
      <c r="Z267" t="s">
        <v>112</v>
      </c>
      <c r="AA267" t="s">
        <v>82</v>
      </c>
      <c r="AB267" t="s">
        <v>83</v>
      </c>
      <c r="AC267" t="s">
        <v>185</v>
      </c>
      <c r="AD267" t="s">
        <v>149</v>
      </c>
      <c r="AE267" t="s">
        <v>3498</v>
      </c>
      <c r="AF267" t="s">
        <v>85</v>
      </c>
      <c r="AG267" t="s">
        <v>3499</v>
      </c>
      <c r="AH267">
        <v>18</v>
      </c>
      <c r="AI267">
        <v>486720</v>
      </c>
      <c r="AJ267">
        <v>53090.31</v>
      </c>
      <c r="AK267">
        <v>0</v>
      </c>
      <c r="AL267">
        <v>539810.31000000006</v>
      </c>
      <c r="AM267" t="s">
        <v>2815</v>
      </c>
      <c r="AN267" t="s">
        <v>2816</v>
      </c>
      <c r="AO267" t="s">
        <v>184</v>
      </c>
      <c r="AP267" t="s">
        <v>112</v>
      </c>
      <c r="AQ267" t="s">
        <v>82</v>
      </c>
      <c r="AR267" t="s">
        <v>3500</v>
      </c>
      <c r="AS267" s="3">
        <v>46202.465223658182</v>
      </c>
      <c r="AT267" t="s">
        <v>89</v>
      </c>
      <c r="AU267" t="s">
        <v>90</v>
      </c>
      <c r="AV267" t="s">
        <v>2712</v>
      </c>
      <c r="AW267" t="s">
        <v>92</v>
      </c>
      <c r="AX267" t="s">
        <v>2713</v>
      </c>
      <c r="AY267" t="s">
        <v>94</v>
      </c>
      <c r="AZ267" t="s">
        <v>85</v>
      </c>
      <c r="BA267" t="s">
        <v>3501</v>
      </c>
      <c r="BB267" t="s">
        <v>3491</v>
      </c>
      <c r="BC267" t="s">
        <v>3493</v>
      </c>
      <c r="BD267" t="s">
        <v>2815</v>
      </c>
      <c r="BE267" t="s">
        <v>2816</v>
      </c>
      <c r="BF267" t="b">
        <f t="shared" si="4"/>
        <v>1</v>
      </c>
      <c r="BG267" t="b">
        <v>1</v>
      </c>
      <c r="BH267">
        <v>2024</v>
      </c>
      <c r="BI267" t="b">
        <v>1</v>
      </c>
      <c r="BJ267" t="s">
        <v>2715</v>
      </c>
      <c r="BK267" t="s">
        <v>2821</v>
      </c>
      <c r="BL267" t="b">
        <v>1</v>
      </c>
      <c r="BM267" t="b">
        <v>1</v>
      </c>
      <c r="BN267" t="b">
        <v>1</v>
      </c>
      <c r="BO267" t="s">
        <v>3502</v>
      </c>
      <c r="BP267" t="b">
        <f>IF(IFERROR(VLOOKUP(A267,[1]Planilha1!$A:$A,1,0),FALSE)=FALSE,FALSE,TRUE)</f>
        <v>1</v>
      </c>
    </row>
    <row r="268" spans="1:68" x14ac:dyDescent="0.25">
      <c r="A268" t="s">
        <v>3503</v>
      </c>
      <c r="B268" t="s">
        <v>68</v>
      </c>
      <c r="D268" s="1">
        <v>46204</v>
      </c>
      <c r="E268" s="1">
        <v>47664</v>
      </c>
      <c r="F268" t="s">
        <v>3492</v>
      </c>
      <c r="G268" t="s">
        <v>3493</v>
      </c>
      <c r="H268" s="2" t="s">
        <v>3494</v>
      </c>
      <c r="I268" t="s">
        <v>3493</v>
      </c>
      <c r="K268" t="s">
        <v>3495</v>
      </c>
      <c r="L268">
        <v>5116785</v>
      </c>
      <c r="M268" t="s">
        <v>3496</v>
      </c>
      <c r="N268" t="s">
        <v>359</v>
      </c>
      <c r="O268" t="s">
        <v>360</v>
      </c>
      <c r="P268" t="s">
        <v>129</v>
      </c>
      <c r="Q268" t="s">
        <v>3504</v>
      </c>
      <c r="R268" t="s">
        <v>2815</v>
      </c>
      <c r="S268" t="s">
        <v>2816</v>
      </c>
      <c r="T268" t="s">
        <v>184</v>
      </c>
      <c r="U268" t="s">
        <v>112</v>
      </c>
      <c r="V268" t="s">
        <v>82</v>
      </c>
      <c r="W268" t="s">
        <v>2815</v>
      </c>
      <c r="X268" t="s">
        <v>2816</v>
      </c>
      <c r="Y268" t="s">
        <v>184</v>
      </c>
      <c r="Z268" t="s">
        <v>112</v>
      </c>
      <c r="AA268" t="s">
        <v>82</v>
      </c>
      <c r="AB268" t="s">
        <v>83</v>
      </c>
      <c r="AC268" t="s">
        <v>185</v>
      </c>
      <c r="AD268" t="s">
        <v>149</v>
      </c>
      <c r="AE268" t="s">
        <v>3505</v>
      </c>
      <c r="AF268" t="s">
        <v>85</v>
      </c>
      <c r="AG268" t="s">
        <v>3506</v>
      </c>
      <c r="AH268">
        <v>18</v>
      </c>
      <c r="AI268">
        <v>486720</v>
      </c>
      <c r="AJ268">
        <v>53090.31</v>
      </c>
      <c r="AK268">
        <v>0</v>
      </c>
      <c r="AL268">
        <v>539810.31000000006</v>
      </c>
      <c r="AM268" t="s">
        <v>2815</v>
      </c>
      <c r="AN268" t="s">
        <v>2816</v>
      </c>
      <c r="AO268" t="s">
        <v>184</v>
      </c>
      <c r="AP268" t="s">
        <v>112</v>
      </c>
      <c r="AQ268" t="s">
        <v>82</v>
      </c>
      <c r="AR268" t="s">
        <v>3500</v>
      </c>
      <c r="AS268" s="3">
        <v>46202.465223658182</v>
      </c>
      <c r="AT268" t="s">
        <v>89</v>
      </c>
      <c r="AU268" t="s">
        <v>90</v>
      </c>
      <c r="AV268" t="s">
        <v>2712</v>
      </c>
      <c r="AW268" t="s">
        <v>92</v>
      </c>
      <c r="AX268" t="s">
        <v>2713</v>
      </c>
      <c r="AY268" t="s">
        <v>94</v>
      </c>
      <c r="AZ268" t="s">
        <v>85</v>
      </c>
      <c r="BA268" t="s">
        <v>3501</v>
      </c>
      <c r="BB268" t="s">
        <v>3503</v>
      </c>
      <c r="BC268" t="s">
        <v>3493</v>
      </c>
      <c r="BD268" t="s">
        <v>2815</v>
      </c>
      <c r="BE268" t="s">
        <v>2816</v>
      </c>
      <c r="BF268" t="b">
        <f t="shared" si="4"/>
        <v>1</v>
      </c>
      <c r="BG268" t="b">
        <v>1</v>
      </c>
      <c r="BH268">
        <v>2024</v>
      </c>
      <c r="BI268" t="b">
        <v>1</v>
      </c>
      <c r="BJ268" t="s">
        <v>2715</v>
      </c>
      <c r="BK268" t="s">
        <v>2821</v>
      </c>
      <c r="BL268" t="b">
        <v>1</v>
      </c>
      <c r="BM268" t="b">
        <v>1</v>
      </c>
      <c r="BN268" t="b">
        <v>1</v>
      </c>
      <c r="BO268" t="s">
        <v>3502</v>
      </c>
      <c r="BP268" t="b">
        <f>IF(IFERROR(VLOOKUP(A268,[1]Planilha1!$A:$A,1,0),FALSE)=FALSE,FALSE,TRUE)</f>
        <v>1</v>
      </c>
    </row>
    <row r="269" spans="1:68" x14ac:dyDescent="0.25">
      <c r="A269" t="s">
        <v>3507</v>
      </c>
      <c r="B269" t="s">
        <v>68</v>
      </c>
      <c r="D269" s="1">
        <v>46204</v>
      </c>
      <c r="E269" s="1">
        <v>47664</v>
      </c>
      <c r="F269" t="s">
        <v>3508</v>
      </c>
      <c r="G269" t="s">
        <v>3509</v>
      </c>
      <c r="H269" s="2" t="s">
        <v>3510</v>
      </c>
      <c r="I269" t="s">
        <v>3509</v>
      </c>
      <c r="K269" t="s">
        <v>3511</v>
      </c>
      <c r="L269">
        <v>5116659</v>
      </c>
      <c r="M269" t="s">
        <v>3512</v>
      </c>
      <c r="N269" t="s">
        <v>2853</v>
      </c>
      <c r="O269" t="s">
        <v>390</v>
      </c>
      <c r="P269" t="s">
        <v>107</v>
      </c>
      <c r="Q269" t="s">
        <v>3513</v>
      </c>
      <c r="R269" t="s">
        <v>2773</v>
      </c>
      <c r="S269" t="s">
        <v>2774</v>
      </c>
      <c r="T269" t="s">
        <v>184</v>
      </c>
      <c r="U269" t="s">
        <v>112</v>
      </c>
      <c r="V269" t="s">
        <v>82</v>
      </c>
      <c r="W269" t="s">
        <v>2773</v>
      </c>
      <c r="X269" t="s">
        <v>2774</v>
      </c>
      <c r="Y269" t="s">
        <v>184</v>
      </c>
      <c r="Z269" t="s">
        <v>112</v>
      </c>
      <c r="AA269" t="s">
        <v>82</v>
      </c>
      <c r="AB269" t="s">
        <v>83</v>
      </c>
      <c r="AC269" t="s">
        <v>202</v>
      </c>
      <c r="AD269" t="s">
        <v>149</v>
      </c>
      <c r="AE269" t="s">
        <v>3514</v>
      </c>
      <c r="AF269" t="s">
        <v>85</v>
      </c>
      <c r="AG269" t="s">
        <v>3515</v>
      </c>
      <c r="AH269">
        <v>5</v>
      </c>
      <c r="AI269">
        <v>567580</v>
      </c>
      <c r="AJ269">
        <v>60000</v>
      </c>
      <c r="AK269">
        <v>0</v>
      </c>
      <c r="AL269">
        <v>627580</v>
      </c>
      <c r="AM269" t="s">
        <v>3516</v>
      </c>
      <c r="AN269" t="s">
        <v>3517</v>
      </c>
      <c r="AO269" t="s">
        <v>184</v>
      </c>
      <c r="AP269" t="s">
        <v>112</v>
      </c>
      <c r="AQ269" t="s">
        <v>82</v>
      </c>
      <c r="AR269" t="s">
        <v>3518</v>
      </c>
      <c r="AS269" s="3">
        <v>46202.465223658182</v>
      </c>
      <c r="AT269" t="s">
        <v>89</v>
      </c>
      <c r="AU269" t="s">
        <v>90</v>
      </c>
      <c r="AV269" t="s">
        <v>2712</v>
      </c>
      <c r="AW269" t="s">
        <v>92</v>
      </c>
      <c r="AX269" t="s">
        <v>2713</v>
      </c>
      <c r="AY269" t="s">
        <v>94</v>
      </c>
      <c r="AZ269" t="s">
        <v>85</v>
      </c>
      <c r="BA269" t="s">
        <v>3519</v>
      </c>
      <c r="BB269" t="s">
        <v>3507</v>
      </c>
      <c r="BC269" t="s">
        <v>3509</v>
      </c>
      <c r="BD269" t="s">
        <v>2773</v>
      </c>
      <c r="BE269" t="s">
        <v>2774</v>
      </c>
      <c r="BF269" t="b">
        <f t="shared" si="4"/>
        <v>1</v>
      </c>
      <c r="BG269" t="b">
        <v>1</v>
      </c>
      <c r="BH269">
        <v>2007</v>
      </c>
      <c r="BI269" t="b">
        <v>1</v>
      </c>
      <c r="BJ269" t="s">
        <v>2715</v>
      </c>
      <c r="BK269" t="s">
        <v>2779</v>
      </c>
      <c r="BL269" t="b">
        <v>1</v>
      </c>
      <c r="BM269" t="b">
        <v>1</v>
      </c>
      <c r="BN269" t="b">
        <v>0</v>
      </c>
      <c r="BO269" t="s">
        <v>3520</v>
      </c>
      <c r="BP269" t="b">
        <f>IF(IFERROR(VLOOKUP(A269,[1]Planilha1!$A:$A,1,0),FALSE)=FALSE,FALSE,TRUE)</f>
        <v>1</v>
      </c>
    </row>
    <row r="270" spans="1:68" x14ac:dyDescent="0.25">
      <c r="A270" t="s">
        <v>3521</v>
      </c>
      <c r="B270" t="s">
        <v>68</v>
      </c>
      <c r="D270" s="1">
        <v>46204</v>
      </c>
      <c r="E270" s="1">
        <v>47664</v>
      </c>
      <c r="F270" t="s">
        <v>3522</v>
      </c>
      <c r="G270" t="s">
        <v>3408</v>
      </c>
      <c r="H270" s="2" t="s">
        <v>3523</v>
      </c>
      <c r="I270" t="s">
        <v>3408</v>
      </c>
      <c r="K270" t="s">
        <v>3524</v>
      </c>
      <c r="L270">
        <v>5116880</v>
      </c>
      <c r="M270" t="s">
        <v>3525</v>
      </c>
      <c r="N270" t="s">
        <v>1025</v>
      </c>
      <c r="O270" t="s">
        <v>715</v>
      </c>
      <c r="P270" t="s">
        <v>107</v>
      </c>
      <c r="Q270" t="s">
        <v>3526</v>
      </c>
      <c r="R270" t="s">
        <v>2815</v>
      </c>
      <c r="S270" t="s">
        <v>2816</v>
      </c>
      <c r="T270" t="s">
        <v>184</v>
      </c>
      <c r="U270" t="s">
        <v>112</v>
      </c>
      <c r="V270" t="s">
        <v>82</v>
      </c>
      <c r="W270" t="s">
        <v>2815</v>
      </c>
      <c r="X270" t="s">
        <v>2816</v>
      </c>
      <c r="Y270" t="s">
        <v>184</v>
      </c>
      <c r="Z270" t="s">
        <v>112</v>
      </c>
      <c r="AA270" t="s">
        <v>82</v>
      </c>
      <c r="AB270" t="s">
        <v>83</v>
      </c>
      <c r="AC270" t="s">
        <v>113</v>
      </c>
      <c r="AD270" t="s">
        <v>85</v>
      </c>
      <c r="AE270" t="s">
        <v>3527</v>
      </c>
      <c r="AF270" t="s">
        <v>85</v>
      </c>
      <c r="AG270" t="s">
        <v>3528</v>
      </c>
      <c r="AH270">
        <v>4</v>
      </c>
      <c r="AI270">
        <v>427440</v>
      </c>
      <c r="AJ270">
        <v>54000</v>
      </c>
      <c r="AK270">
        <v>0</v>
      </c>
      <c r="AL270">
        <v>481440</v>
      </c>
      <c r="AM270" t="s">
        <v>2815</v>
      </c>
      <c r="AN270" t="s">
        <v>2816</v>
      </c>
      <c r="AO270" t="s">
        <v>184</v>
      </c>
      <c r="AP270" t="s">
        <v>112</v>
      </c>
      <c r="AQ270" t="s">
        <v>82</v>
      </c>
      <c r="AR270" t="s">
        <v>3529</v>
      </c>
      <c r="AS270" s="3">
        <v>46202.465223658182</v>
      </c>
      <c r="AT270" t="s">
        <v>89</v>
      </c>
      <c r="AU270" t="s">
        <v>90</v>
      </c>
      <c r="AV270" t="s">
        <v>2712</v>
      </c>
      <c r="AW270" t="s">
        <v>92</v>
      </c>
      <c r="AX270" t="s">
        <v>2713</v>
      </c>
      <c r="AY270" t="s">
        <v>94</v>
      </c>
      <c r="AZ270" t="s">
        <v>85</v>
      </c>
      <c r="BA270" t="s">
        <v>3530</v>
      </c>
      <c r="BF270" t="e">
        <f t="shared" si="4"/>
        <v>#VALUE!</v>
      </c>
      <c r="BP270" t="b">
        <f>IF(IFERROR(VLOOKUP(A270,[1]Planilha1!$A:$A,1,0),FALSE)=FALSE,FALSE,TRUE)</f>
        <v>1</v>
      </c>
    </row>
    <row r="271" spans="1:68" x14ac:dyDescent="0.25">
      <c r="A271" t="s">
        <v>3531</v>
      </c>
      <c r="B271" t="s">
        <v>68</v>
      </c>
      <c r="D271" s="1">
        <v>46204</v>
      </c>
      <c r="E271" s="1">
        <v>47664</v>
      </c>
      <c r="F271" t="s">
        <v>3532</v>
      </c>
      <c r="G271" t="s">
        <v>3533</v>
      </c>
      <c r="H271" s="2" t="s">
        <v>3534</v>
      </c>
      <c r="I271" t="s">
        <v>3533</v>
      </c>
      <c r="K271" t="s">
        <v>3535</v>
      </c>
      <c r="L271">
        <v>5116825</v>
      </c>
      <c r="M271" t="s">
        <v>3536</v>
      </c>
      <c r="N271" t="s">
        <v>179</v>
      </c>
      <c r="O271" t="s">
        <v>180</v>
      </c>
      <c r="P271" t="s">
        <v>129</v>
      </c>
      <c r="Q271" t="s">
        <v>3426</v>
      </c>
      <c r="R271" t="s">
        <v>1133</v>
      </c>
      <c r="S271" t="s">
        <v>1134</v>
      </c>
      <c r="T271" t="s">
        <v>184</v>
      </c>
      <c r="U271" t="s">
        <v>112</v>
      </c>
      <c r="V271" t="s">
        <v>82</v>
      </c>
      <c r="W271" t="s">
        <v>1133</v>
      </c>
      <c r="X271" t="s">
        <v>1134</v>
      </c>
      <c r="Y271" t="s">
        <v>184</v>
      </c>
      <c r="Z271" t="s">
        <v>112</v>
      </c>
      <c r="AA271" t="s">
        <v>82</v>
      </c>
      <c r="AB271" t="s">
        <v>83</v>
      </c>
      <c r="AC271" t="s">
        <v>185</v>
      </c>
      <c r="AD271" t="s">
        <v>85</v>
      </c>
      <c r="AE271" t="s">
        <v>3537</v>
      </c>
      <c r="AF271" t="s">
        <v>85</v>
      </c>
      <c r="AG271" t="s">
        <v>3538</v>
      </c>
      <c r="AH271">
        <v>8</v>
      </c>
      <c r="AI271">
        <v>1349660</v>
      </c>
      <c r="AJ271">
        <v>149740</v>
      </c>
      <c r="AK271">
        <v>0</v>
      </c>
      <c r="AL271">
        <v>1499400</v>
      </c>
      <c r="AM271" t="s">
        <v>1133</v>
      </c>
      <c r="AN271" t="s">
        <v>1134</v>
      </c>
      <c r="AO271" t="s">
        <v>184</v>
      </c>
      <c r="AP271" t="s">
        <v>112</v>
      </c>
      <c r="AQ271" t="s">
        <v>82</v>
      </c>
      <c r="AR271" t="s">
        <v>3539</v>
      </c>
      <c r="AS271" s="3">
        <v>46202.465223658182</v>
      </c>
      <c r="AT271" t="s">
        <v>89</v>
      </c>
      <c r="AU271" t="s">
        <v>90</v>
      </c>
      <c r="AV271" t="s">
        <v>2712</v>
      </c>
      <c r="AW271" t="s">
        <v>92</v>
      </c>
      <c r="AX271" t="s">
        <v>2713</v>
      </c>
      <c r="AY271" t="s">
        <v>94</v>
      </c>
      <c r="AZ271" t="s">
        <v>85</v>
      </c>
      <c r="BA271" t="s">
        <v>3540</v>
      </c>
      <c r="BB271" t="s">
        <v>3531</v>
      </c>
      <c r="BC271" t="s">
        <v>3533</v>
      </c>
      <c r="BD271" t="s">
        <v>1133</v>
      </c>
      <c r="BE271" t="s">
        <v>1134</v>
      </c>
      <c r="BF271" t="b">
        <f t="shared" si="4"/>
        <v>1</v>
      </c>
      <c r="BG271" t="b">
        <v>1</v>
      </c>
      <c r="BH271">
        <v>1987</v>
      </c>
      <c r="BI271" t="b">
        <v>1</v>
      </c>
      <c r="BJ271" t="s">
        <v>2715</v>
      </c>
      <c r="BK271" t="s">
        <v>1140</v>
      </c>
      <c r="BL271" t="b">
        <v>1</v>
      </c>
      <c r="BM271" t="b">
        <v>1</v>
      </c>
      <c r="BN271" t="b">
        <v>1</v>
      </c>
      <c r="BO271" t="s">
        <v>3541</v>
      </c>
      <c r="BP271" t="b">
        <f>IF(IFERROR(VLOOKUP(A271,[1]Planilha1!$A:$A,1,0),FALSE)=FALSE,FALSE,TRUE)</f>
        <v>1</v>
      </c>
    </row>
    <row r="272" spans="1:68" x14ac:dyDescent="0.25">
      <c r="A272" t="s">
        <v>3542</v>
      </c>
      <c r="B272" t="s">
        <v>68</v>
      </c>
      <c r="D272" s="1">
        <v>46204</v>
      </c>
      <c r="E272" s="1">
        <v>47664</v>
      </c>
      <c r="F272" t="s">
        <v>3543</v>
      </c>
      <c r="G272" t="s">
        <v>3544</v>
      </c>
      <c r="H272" s="2" t="s">
        <v>3545</v>
      </c>
      <c r="I272" t="s">
        <v>3544</v>
      </c>
      <c r="K272" t="s">
        <v>3546</v>
      </c>
      <c r="L272">
        <v>5116547</v>
      </c>
      <c r="M272" t="s">
        <v>3547</v>
      </c>
      <c r="N272" t="s">
        <v>2109</v>
      </c>
      <c r="O272" t="s">
        <v>2018</v>
      </c>
      <c r="P272" t="s">
        <v>230</v>
      </c>
      <c r="Q272" t="s">
        <v>3473</v>
      </c>
      <c r="R272" t="s">
        <v>2972</v>
      </c>
      <c r="S272" t="s">
        <v>2973</v>
      </c>
      <c r="T272" t="s">
        <v>300</v>
      </c>
      <c r="U272" t="s">
        <v>301</v>
      </c>
      <c r="V272" t="s">
        <v>82</v>
      </c>
      <c r="W272" t="s">
        <v>2972</v>
      </c>
      <c r="X272" t="s">
        <v>2973</v>
      </c>
      <c r="Y272" t="s">
        <v>300</v>
      </c>
      <c r="Z272" t="s">
        <v>301</v>
      </c>
      <c r="AA272" t="s">
        <v>82</v>
      </c>
      <c r="AB272" t="s">
        <v>83</v>
      </c>
      <c r="AC272" t="s">
        <v>1013</v>
      </c>
      <c r="AD272" t="s">
        <v>149</v>
      </c>
      <c r="AE272" t="s">
        <v>3548</v>
      </c>
      <c r="AF272" t="s">
        <v>85</v>
      </c>
      <c r="AG272" t="s">
        <v>3549</v>
      </c>
      <c r="AH272">
        <v>8</v>
      </c>
      <c r="AI272">
        <v>984960</v>
      </c>
      <c r="AJ272">
        <v>139000</v>
      </c>
      <c r="AK272">
        <v>0</v>
      </c>
      <c r="AL272">
        <v>1123960</v>
      </c>
      <c r="AR272" t="s">
        <v>3550</v>
      </c>
      <c r="AS272" s="3">
        <v>46202.465223658182</v>
      </c>
      <c r="AT272" t="s">
        <v>89</v>
      </c>
      <c r="AU272" t="s">
        <v>90</v>
      </c>
      <c r="AV272" t="s">
        <v>2712</v>
      </c>
      <c r="AW272" t="s">
        <v>92</v>
      </c>
      <c r="AX272" t="s">
        <v>2713</v>
      </c>
      <c r="AY272" t="s">
        <v>94</v>
      </c>
      <c r="AZ272" t="s">
        <v>85</v>
      </c>
      <c r="BA272" t="s">
        <v>3551</v>
      </c>
      <c r="BB272" t="s">
        <v>3542</v>
      </c>
      <c r="BC272" t="s">
        <v>3544</v>
      </c>
      <c r="BD272" t="s">
        <v>2972</v>
      </c>
      <c r="BE272" t="s">
        <v>2973</v>
      </c>
      <c r="BF272" t="b">
        <f t="shared" si="4"/>
        <v>1</v>
      </c>
      <c r="BG272" t="b">
        <v>1</v>
      </c>
      <c r="BH272">
        <v>2018</v>
      </c>
      <c r="BI272" t="b">
        <v>1</v>
      </c>
      <c r="BJ272" t="s">
        <v>2715</v>
      </c>
      <c r="BK272" t="s">
        <v>2978</v>
      </c>
      <c r="BL272" t="b">
        <v>1</v>
      </c>
      <c r="BM272" t="b">
        <v>1</v>
      </c>
      <c r="BN272" t="b">
        <v>1</v>
      </c>
      <c r="BO272" t="s">
        <v>3552</v>
      </c>
      <c r="BP272" t="b">
        <f>IF(IFERROR(VLOOKUP(A272,[1]Planilha1!$A:$A,1,0),FALSE)=FALSE,FALSE,TRUE)</f>
        <v>1</v>
      </c>
    </row>
    <row r="273" spans="1:68" x14ac:dyDescent="0.25">
      <c r="A273" t="s">
        <v>3553</v>
      </c>
      <c r="B273" t="s">
        <v>68</v>
      </c>
      <c r="D273" s="1">
        <v>46204</v>
      </c>
      <c r="E273" s="1">
        <v>47664</v>
      </c>
      <c r="F273" t="s">
        <v>3554</v>
      </c>
      <c r="G273" t="s">
        <v>3555</v>
      </c>
      <c r="H273" s="2" t="s">
        <v>3556</v>
      </c>
      <c r="I273" t="s">
        <v>3555</v>
      </c>
      <c r="K273" t="s">
        <v>3557</v>
      </c>
      <c r="L273">
        <v>5116833</v>
      </c>
      <c r="M273" t="s">
        <v>3558</v>
      </c>
      <c r="N273" t="s">
        <v>179</v>
      </c>
      <c r="O273" t="s">
        <v>180</v>
      </c>
      <c r="P273" t="s">
        <v>129</v>
      </c>
      <c r="Q273" t="s">
        <v>2841</v>
      </c>
      <c r="R273" t="s">
        <v>1133</v>
      </c>
      <c r="S273" t="s">
        <v>1134</v>
      </c>
      <c r="T273" t="s">
        <v>184</v>
      </c>
      <c r="U273" t="s">
        <v>112</v>
      </c>
      <c r="V273" t="s">
        <v>82</v>
      </c>
      <c r="W273" t="s">
        <v>1133</v>
      </c>
      <c r="X273" t="s">
        <v>1134</v>
      </c>
      <c r="Y273" t="s">
        <v>184</v>
      </c>
      <c r="Z273" t="s">
        <v>112</v>
      </c>
      <c r="AA273" t="s">
        <v>82</v>
      </c>
      <c r="AB273" t="s">
        <v>83</v>
      </c>
      <c r="AC273" t="s">
        <v>185</v>
      </c>
      <c r="AD273" t="s">
        <v>85</v>
      </c>
      <c r="AE273" t="s">
        <v>3559</v>
      </c>
      <c r="AF273" t="s">
        <v>85</v>
      </c>
      <c r="AG273" t="s">
        <v>3560</v>
      </c>
      <c r="AH273">
        <v>19</v>
      </c>
      <c r="AI273">
        <v>1355400</v>
      </c>
      <c r="AJ273">
        <v>144000</v>
      </c>
      <c r="AK273">
        <v>0</v>
      </c>
      <c r="AL273">
        <v>1499400</v>
      </c>
      <c r="AM273" t="s">
        <v>1133</v>
      </c>
      <c r="AN273" t="s">
        <v>1134</v>
      </c>
      <c r="AO273" t="s">
        <v>184</v>
      </c>
      <c r="AP273" t="s">
        <v>112</v>
      </c>
      <c r="AQ273" t="s">
        <v>82</v>
      </c>
      <c r="AR273" t="s">
        <v>3561</v>
      </c>
      <c r="AS273" s="3">
        <v>46202.465223658182</v>
      </c>
      <c r="AT273" t="s">
        <v>89</v>
      </c>
      <c r="AU273" t="s">
        <v>90</v>
      </c>
      <c r="AV273" t="s">
        <v>2712</v>
      </c>
      <c r="AW273" t="s">
        <v>92</v>
      </c>
      <c r="AX273" t="s">
        <v>2713</v>
      </c>
      <c r="AY273" t="s">
        <v>94</v>
      </c>
      <c r="AZ273" t="s">
        <v>85</v>
      </c>
      <c r="BA273" t="s">
        <v>3562</v>
      </c>
      <c r="BB273" t="s">
        <v>3553</v>
      </c>
      <c r="BC273" t="s">
        <v>3555</v>
      </c>
      <c r="BD273" t="s">
        <v>1133</v>
      </c>
      <c r="BE273" t="s">
        <v>1134</v>
      </c>
      <c r="BF273" t="b">
        <f t="shared" si="4"/>
        <v>1</v>
      </c>
      <c r="BG273" t="b">
        <v>1</v>
      </c>
      <c r="BH273">
        <v>1993</v>
      </c>
      <c r="BI273" t="b">
        <v>1</v>
      </c>
      <c r="BJ273" t="s">
        <v>2715</v>
      </c>
      <c r="BK273" t="s">
        <v>1140</v>
      </c>
      <c r="BL273" t="b">
        <v>1</v>
      </c>
      <c r="BM273" t="b">
        <v>1</v>
      </c>
      <c r="BN273" t="b">
        <v>1</v>
      </c>
      <c r="BO273" t="s">
        <v>3563</v>
      </c>
      <c r="BP273" t="b">
        <f>IF(IFERROR(VLOOKUP(A273,[1]Planilha1!$A:$A,1,0),FALSE)=FALSE,FALSE,TRUE)</f>
        <v>1</v>
      </c>
    </row>
    <row r="274" spans="1:68" x14ac:dyDescent="0.25">
      <c r="A274" t="s">
        <v>3564</v>
      </c>
      <c r="B274" t="s">
        <v>68</v>
      </c>
      <c r="D274" s="1">
        <v>46204</v>
      </c>
      <c r="E274" s="1">
        <v>47664</v>
      </c>
      <c r="F274" t="s">
        <v>3565</v>
      </c>
      <c r="G274" t="s">
        <v>3566</v>
      </c>
      <c r="H274" s="2" t="s">
        <v>3567</v>
      </c>
      <c r="I274" t="s">
        <v>3566</v>
      </c>
      <c r="K274" t="s">
        <v>3568</v>
      </c>
      <c r="L274">
        <v>5116830</v>
      </c>
      <c r="M274" t="s">
        <v>3569</v>
      </c>
      <c r="N274" t="s">
        <v>2109</v>
      </c>
      <c r="O274" t="s">
        <v>2018</v>
      </c>
      <c r="P274" t="s">
        <v>230</v>
      </c>
      <c r="Q274" t="s">
        <v>3570</v>
      </c>
      <c r="R274" t="s">
        <v>2972</v>
      </c>
      <c r="S274" t="s">
        <v>2973</v>
      </c>
      <c r="T274" t="s">
        <v>300</v>
      </c>
      <c r="U274" t="s">
        <v>301</v>
      </c>
      <c r="V274" t="s">
        <v>82</v>
      </c>
      <c r="W274" t="s">
        <v>2972</v>
      </c>
      <c r="X274" t="s">
        <v>2973</v>
      </c>
      <c r="Y274" t="s">
        <v>300</v>
      </c>
      <c r="Z274" t="s">
        <v>301</v>
      </c>
      <c r="AA274" t="s">
        <v>82</v>
      </c>
      <c r="AB274" t="s">
        <v>83</v>
      </c>
      <c r="AC274" t="s">
        <v>1013</v>
      </c>
      <c r="AD274" t="s">
        <v>85</v>
      </c>
      <c r="AE274" t="s">
        <v>3104</v>
      </c>
      <c r="AF274" t="s">
        <v>85</v>
      </c>
      <c r="AG274" t="s">
        <v>3571</v>
      </c>
      <c r="AH274">
        <v>5</v>
      </c>
      <c r="AI274">
        <v>1060800</v>
      </c>
      <c r="AJ274">
        <v>100000</v>
      </c>
      <c r="AK274">
        <v>0</v>
      </c>
      <c r="AL274">
        <v>1160800</v>
      </c>
      <c r="AM274" t="s">
        <v>2972</v>
      </c>
      <c r="AN274" t="s">
        <v>2973</v>
      </c>
      <c r="AO274" t="s">
        <v>300</v>
      </c>
      <c r="AP274" t="s">
        <v>301</v>
      </c>
      <c r="AQ274" t="s">
        <v>82</v>
      </c>
      <c r="AR274" t="s">
        <v>3572</v>
      </c>
      <c r="AS274" s="3">
        <v>46202.465223658182</v>
      </c>
      <c r="AT274" t="s">
        <v>89</v>
      </c>
      <c r="AU274" t="s">
        <v>90</v>
      </c>
      <c r="AV274" t="s">
        <v>2712</v>
      </c>
      <c r="AW274" t="s">
        <v>92</v>
      </c>
      <c r="AX274" t="s">
        <v>2713</v>
      </c>
      <c r="AY274" t="s">
        <v>94</v>
      </c>
      <c r="AZ274" t="s">
        <v>85</v>
      </c>
      <c r="BA274" t="s">
        <v>3573</v>
      </c>
      <c r="BB274" t="s">
        <v>3564</v>
      </c>
      <c r="BC274" t="s">
        <v>3566</v>
      </c>
      <c r="BD274" t="s">
        <v>2972</v>
      </c>
      <c r="BE274" t="s">
        <v>2973</v>
      </c>
      <c r="BF274" t="b">
        <f t="shared" si="4"/>
        <v>0</v>
      </c>
      <c r="BG274" t="b">
        <v>1</v>
      </c>
      <c r="BH274">
        <v>2024</v>
      </c>
      <c r="BI274" t="b">
        <v>0</v>
      </c>
      <c r="BJ274" t="s">
        <v>2715</v>
      </c>
      <c r="BK274" t="s">
        <v>2978</v>
      </c>
      <c r="BL274" t="b">
        <v>1</v>
      </c>
      <c r="BM274" t="b">
        <v>1</v>
      </c>
      <c r="BN274" t="b">
        <v>1</v>
      </c>
      <c r="BO274" t="s">
        <v>3574</v>
      </c>
      <c r="BP274" t="b">
        <f>IF(IFERROR(VLOOKUP(A274,[1]Planilha1!$A:$A,1,0),FALSE)=FALSE,FALSE,TRUE)</f>
        <v>0</v>
      </c>
    </row>
    <row r="275" spans="1:68" x14ac:dyDescent="0.25">
      <c r="A275" t="s">
        <v>3575</v>
      </c>
      <c r="B275" t="s">
        <v>68</v>
      </c>
      <c r="D275" s="1">
        <v>46204</v>
      </c>
      <c r="E275" s="1">
        <v>47664</v>
      </c>
      <c r="F275" t="s">
        <v>3576</v>
      </c>
      <c r="G275" t="s">
        <v>3577</v>
      </c>
      <c r="H275" s="2" t="s">
        <v>3578</v>
      </c>
      <c r="I275" t="s">
        <v>3577</v>
      </c>
      <c r="K275" t="s">
        <v>3579</v>
      </c>
      <c r="L275">
        <v>5116617</v>
      </c>
      <c r="M275" t="s">
        <v>3580</v>
      </c>
      <c r="N275" t="s">
        <v>359</v>
      </c>
      <c r="O275" t="s">
        <v>360</v>
      </c>
      <c r="P275" t="s">
        <v>129</v>
      </c>
      <c r="Q275" t="s">
        <v>2273</v>
      </c>
      <c r="R275" t="s">
        <v>2815</v>
      </c>
      <c r="S275" t="s">
        <v>2816</v>
      </c>
      <c r="T275" t="s">
        <v>184</v>
      </c>
      <c r="U275" t="s">
        <v>112</v>
      </c>
      <c r="V275" t="s">
        <v>82</v>
      </c>
      <c r="W275" t="s">
        <v>2815</v>
      </c>
      <c r="X275" t="s">
        <v>2816</v>
      </c>
      <c r="Y275" t="s">
        <v>184</v>
      </c>
      <c r="Z275" t="s">
        <v>112</v>
      </c>
      <c r="AA275" t="s">
        <v>82</v>
      </c>
      <c r="AB275" t="s">
        <v>83</v>
      </c>
      <c r="AC275" t="s">
        <v>185</v>
      </c>
      <c r="AD275" t="s">
        <v>149</v>
      </c>
      <c r="AE275" t="s">
        <v>3581</v>
      </c>
      <c r="AF275" t="s">
        <v>85</v>
      </c>
      <c r="AG275" t="s">
        <v>3582</v>
      </c>
      <c r="AH275">
        <v>33</v>
      </c>
      <c r="AI275">
        <v>1303666</v>
      </c>
      <c r="AJ275">
        <v>144750</v>
      </c>
      <c r="AK275">
        <v>0</v>
      </c>
      <c r="AL275">
        <v>1448416</v>
      </c>
      <c r="AM275" t="s">
        <v>2815</v>
      </c>
      <c r="AN275" t="s">
        <v>2816</v>
      </c>
      <c r="AO275" t="s">
        <v>184</v>
      </c>
      <c r="AP275" t="s">
        <v>112</v>
      </c>
      <c r="AQ275" t="s">
        <v>82</v>
      </c>
      <c r="AR275" t="s">
        <v>3583</v>
      </c>
      <c r="AS275" s="3">
        <v>46202.465223658182</v>
      </c>
      <c r="AT275" t="s">
        <v>89</v>
      </c>
      <c r="AU275" t="s">
        <v>90</v>
      </c>
      <c r="AV275" t="s">
        <v>2712</v>
      </c>
      <c r="AW275" t="s">
        <v>92</v>
      </c>
      <c r="AX275" t="s">
        <v>2713</v>
      </c>
      <c r="AY275" t="s">
        <v>94</v>
      </c>
      <c r="AZ275" t="s">
        <v>85</v>
      </c>
      <c r="BA275" t="s">
        <v>3584</v>
      </c>
      <c r="BB275" t="s">
        <v>3575</v>
      </c>
      <c r="BC275" t="s">
        <v>3577</v>
      </c>
      <c r="BD275" t="s">
        <v>2815</v>
      </c>
      <c r="BE275" t="s">
        <v>2816</v>
      </c>
      <c r="BF275" t="b">
        <f t="shared" si="4"/>
        <v>1</v>
      </c>
      <c r="BG275" t="b">
        <v>1</v>
      </c>
      <c r="BH275">
        <v>2001</v>
      </c>
      <c r="BI275" t="b">
        <v>1</v>
      </c>
      <c r="BJ275" t="s">
        <v>2715</v>
      </c>
      <c r="BK275" t="s">
        <v>2821</v>
      </c>
      <c r="BL275" t="b">
        <v>1</v>
      </c>
      <c r="BM275" t="b">
        <v>1</v>
      </c>
      <c r="BN275" t="b">
        <v>0</v>
      </c>
      <c r="BO275" t="s">
        <v>3585</v>
      </c>
      <c r="BP275" t="b">
        <f>IF(IFERROR(VLOOKUP(A275,[1]Planilha1!$A:$A,1,0),FALSE)=FALSE,FALSE,TRUE)</f>
        <v>1</v>
      </c>
    </row>
    <row r="276" spans="1:68" x14ac:dyDescent="0.25">
      <c r="A276" t="s">
        <v>3586</v>
      </c>
      <c r="B276" t="s">
        <v>68</v>
      </c>
      <c r="D276" s="1">
        <v>46204</v>
      </c>
      <c r="E276" s="1">
        <v>47664</v>
      </c>
      <c r="F276" t="s">
        <v>3587</v>
      </c>
      <c r="G276" t="s">
        <v>3588</v>
      </c>
      <c r="H276" s="2" t="s">
        <v>3589</v>
      </c>
      <c r="I276" t="s">
        <v>3588</v>
      </c>
      <c r="K276" t="s">
        <v>3590</v>
      </c>
      <c r="L276">
        <v>5116767</v>
      </c>
      <c r="M276" t="s">
        <v>3591</v>
      </c>
      <c r="N276" t="s">
        <v>127</v>
      </c>
      <c r="O276" t="s">
        <v>128</v>
      </c>
      <c r="P276" t="s">
        <v>129</v>
      </c>
      <c r="Q276" t="s">
        <v>781</v>
      </c>
      <c r="R276" t="s">
        <v>2787</v>
      </c>
      <c r="S276" t="s">
        <v>2788</v>
      </c>
      <c r="T276" t="s">
        <v>111</v>
      </c>
      <c r="U276" t="s">
        <v>112</v>
      </c>
      <c r="V276" t="s">
        <v>82</v>
      </c>
      <c r="W276" t="s">
        <v>2787</v>
      </c>
      <c r="X276" t="s">
        <v>2788</v>
      </c>
      <c r="Y276" t="s">
        <v>111</v>
      </c>
      <c r="Z276" t="s">
        <v>112</v>
      </c>
      <c r="AA276" t="s">
        <v>82</v>
      </c>
      <c r="AB276" t="s">
        <v>83</v>
      </c>
      <c r="AC276" t="s">
        <v>135</v>
      </c>
      <c r="AD276" t="s">
        <v>149</v>
      </c>
      <c r="AE276" t="s">
        <v>3592</v>
      </c>
      <c r="AF276" t="s">
        <v>85</v>
      </c>
      <c r="AG276" t="s">
        <v>3593</v>
      </c>
      <c r="AH276">
        <v>6</v>
      </c>
      <c r="AI276">
        <v>1239680</v>
      </c>
      <c r="AJ276">
        <v>124000</v>
      </c>
      <c r="AK276">
        <v>0</v>
      </c>
      <c r="AL276">
        <v>1363680</v>
      </c>
      <c r="AM276" t="s">
        <v>2787</v>
      </c>
      <c r="AN276" t="s">
        <v>2788</v>
      </c>
      <c r="AO276" t="s">
        <v>111</v>
      </c>
      <c r="AP276" t="s">
        <v>112</v>
      </c>
      <c r="AQ276" t="s">
        <v>82</v>
      </c>
      <c r="AR276" t="s">
        <v>3594</v>
      </c>
      <c r="AS276" s="3">
        <v>46202.465223658182</v>
      </c>
      <c r="AT276" t="s">
        <v>89</v>
      </c>
      <c r="AU276" t="s">
        <v>90</v>
      </c>
      <c r="AV276" t="s">
        <v>2712</v>
      </c>
      <c r="AW276" t="s">
        <v>92</v>
      </c>
      <c r="AX276" t="s">
        <v>2713</v>
      </c>
      <c r="AY276" t="s">
        <v>94</v>
      </c>
      <c r="AZ276" t="s">
        <v>85</v>
      </c>
      <c r="BA276" t="s">
        <v>3595</v>
      </c>
      <c r="BB276" t="s">
        <v>3586</v>
      </c>
      <c r="BC276" t="s">
        <v>3588</v>
      </c>
      <c r="BD276" t="s">
        <v>2787</v>
      </c>
      <c r="BE276" t="s">
        <v>2788</v>
      </c>
      <c r="BF276" t="b">
        <f t="shared" si="4"/>
        <v>1</v>
      </c>
      <c r="BG276" t="b">
        <v>1</v>
      </c>
      <c r="BH276">
        <v>2009</v>
      </c>
      <c r="BI276" t="b">
        <v>1</v>
      </c>
      <c r="BJ276" t="s">
        <v>2715</v>
      </c>
      <c r="BK276" t="s">
        <v>2716</v>
      </c>
      <c r="BL276" t="b">
        <v>1</v>
      </c>
      <c r="BM276" t="b">
        <v>1</v>
      </c>
      <c r="BN276" t="b">
        <v>1</v>
      </c>
      <c r="BO276" t="s">
        <v>3596</v>
      </c>
      <c r="BP276" t="b">
        <f>IF(IFERROR(VLOOKUP(A276,[1]Planilha1!$A:$A,1,0),FALSE)=FALSE,FALSE,TRUE)</f>
        <v>1</v>
      </c>
    </row>
    <row r="277" spans="1:68" x14ac:dyDescent="0.25">
      <c r="A277" t="s">
        <v>3597</v>
      </c>
      <c r="B277" t="s">
        <v>68</v>
      </c>
      <c r="D277" s="1">
        <v>46204</v>
      </c>
      <c r="E277" s="1">
        <v>47664</v>
      </c>
      <c r="F277" t="s">
        <v>3598</v>
      </c>
      <c r="G277" t="s">
        <v>3599</v>
      </c>
      <c r="H277" s="2" t="s">
        <v>3600</v>
      </c>
      <c r="I277" t="s">
        <v>3599</v>
      </c>
      <c r="K277" t="s">
        <v>3601</v>
      </c>
      <c r="L277">
        <v>5116750</v>
      </c>
      <c r="M277" t="s">
        <v>3602</v>
      </c>
      <c r="N277" t="s">
        <v>179</v>
      </c>
      <c r="O277" t="s">
        <v>180</v>
      </c>
      <c r="P277" t="s">
        <v>129</v>
      </c>
      <c r="Q277" t="s">
        <v>2841</v>
      </c>
      <c r="R277" t="s">
        <v>1133</v>
      </c>
      <c r="S277" t="s">
        <v>1134</v>
      </c>
      <c r="T277" t="s">
        <v>184</v>
      </c>
      <c r="U277" t="s">
        <v>112</v>
      </c>
      <c r="V277" t="s">
        <v>82</v>
      </c>
      <c r="W277" t="s">
        <v>1133</v>
      </c>
      <c r="X277" t="s">
        <v>1134</v>
      </c>
      <c r="Y277" t="s">
        <v>184</v>
      </c>
      <c r="Z277" t="s">
        <v>112</v>
      </c>
      <c r="AA277" t="s">
        <v>82</v>
      </c>
      <c r="AB277" t="s">
        <v>83</v>
      </c>
      <c r="AC277" t="s">
        <v>185</v>
      </c>
      <c r="AD277" t="s">
        <v>149</v>
      </c>
      <c r="AE277" t="s">
        <v>3603</v>
      </c>
      <c r="AF277" t="s">
        <v>85</v>
      </c>
      <c r="AG277" t="s">
        <v>3604</v>
      </c>
      <c r="AH277">
        <v>14</v>
      </c>
      <c r="AI277">
        <v>1299380</v>
      </c>
      <c r="AJ277">
        <v>138622.22</v>
      </c>
      <c r="AK277">
        <v>0</v>
      </c>
      <c r="AL277">
        <v>1438002.22</v>
      </c>
      <c r="AM277" t="s">
        <v>1133</v>
      </c>
      <c r="AN277" t="s">
        <v>1134</v>
      </c>
      <c r="AO277" t="s">
        <v>184</v>
      </c>
      <c r="AP277" t="s">
        <v>112</v>
      </c>
      <c r="AQ277" t="s">
        <v>82</v>
      </c>
      <c r="AR277" t="s">
        <v>3605</v>
      </c>
      <c r="AS277" s="3">
        <v>46202.465223658182</v>
      </c>
      <c r="AT277" t="s">
        <v>89</v>
      </c>
      <c r="AU277" t="s">
        <v>90</v>
      </c>
      <c r="AV277" t="s">
        <v>2712</v>
      </c>
      <c r="AW277" t="s">
        <v>92</v>
      </c>
      <c r="AX277" t="s">
        <v>2713</v>
      </c>
      <c r="AY277" t="s">
        <v>94</v>
      </c>
      <c r="AZ277" t="s">
        <v>85</v>
      </c>
      <c r="BA277" t="s">
        <v>3606</v>
      </c>
      <c r="BB277" t="s">
        <v>3597</v>
      </c>
      <c r="BC277" t="s">
        <v>3599</v>
      </c>
      <c r="BD277" t="s">
        <v>1133</v>
      </c>
      <c r="BE277" t="s">
        <v>1134</v>
      </c>
      <c r="BF277" t="b">
        <f t="shared" si="4"/>
        <v>1</v>
      </c>
      <c r="BG277" t="b">
        <v>1</v>
      </c>
      <c r="BH277">
        <v>1995</v>
      </c>
      <c r="BI277" t="b">
        <v>1</v>
      </c>
      <c r="BJ277" t="s">
        <v>2715</v>
      </c>
      <c r="BK277" t="s">
        <v>1140</v>
      </c>
      <c r="BL277" t="b">
        <v>1</v>
      </c>
      <c r="BM277" t="b">
        <v>1</v>
      </c>
      <c r="BN277" t="b">
        <v>1</v>
      </c>
      <c r="BO277" t="s">
        <v>3607</v>
      </c>
      <c r="BP277" t="b">
        <f>IF(IFERROR(VLOOKUP(A277,[1]Planilha1!$A:$A,1,0),FALSE)=FALSE,FALSE,TRUE)</f>
        <v>1</v>
      </c>
    </row>
    <row r="278" spans="1:68" x14ac:dyDescent="0.25">
      <c r="A278" t="s">
        <v>3608</v>
      </c>
      <c r="B278" t="s">
        <v>68</v>
      </c>
      <c r="D278" s="1">
        <v>46204</v>
      </c>
      <c r="E278" s="1">
        <v>47664</v>
      </c>
      <c r="F278" t="s">
        <v>3609</v>
      </c>
      <c r="G278" t="s">
        <v>3610</v>
      </c>
      <c r="H278" s="2" t="s">
        <v>3611</v>
      </c>
      <c r="I278" t="s">
        <v>3610</v>
      </c>
      <c r="K278" t="s">
        <v>3612</v>
      </c>
      <c r="L278">
        <v>5116646</v>
      </c>
      <c r="M278" t="s">
        <v>3613</v>
      </c>
      <c r="N278" t="s">
        <v>619</v>
      </c>
      <c r="O278" t="s">
        <v>200</v>
      </c>
      <c r="P278" t="s">
        <v>107</v>
      </c>
      <c r="Q278" t="s">
        <v>2622</v>
      </c>
      <c r="R278" t="s">
        <v>2707</v>
      </c>
      <c r="S278" t="s">
        <v>2708</v>
      </c>
      <c r="T278" t="s">
        <v>184</v>
      </c>
      <c r="U278" t="s">
        <v>112</v>
      </c>
      <c r="V278" t="s">
        <v>82</v>
      </c>
      <c r="W278" t="s">
        <v>2707</v>
      </c>
      <c r="X278" t="s">
        <v>2708</v>
      </c>
      <c r="Y278" t="s">
        <v>184</v>
      </c>
      <c r="Z278" t="s">
        <v>112</v>
      </c>
      <c r="AA278" t="s">
        <v>82</v>
      </c>
      <c r="AB278" t="s">
        <v>83</v>
      </c>
      <c r="AC278" t="s">
        <v>202</v>
      </c>
      <c r="AD278" t="s">
        <v>149</v>
      </c>
      <c r="AE278" t="s">
        <v>3614</v>
      </c>
      <c r="AF278" t="s">
        <v>85</v>
      </c>
      <c r="AG278" t="s">
        <v>3615</v>
      </c>
      <c r="AH278">
        <v>9</v>
      </c>
      <c r="AI278">
        <v>1334400</v>
      </c>
      <c r="AJ278">
        <v>146544</v>
      </c>
      <c r="AK278">
        <v>0</v>
      </c>
      <c r="AL278">
        <v>1480944</v>
      </c>
      <c r="AR278" t="s">
        <v>3616</v>
      </c>
      <c r="AS278" s="3">
        <v>46202.465223658182</v>
      </c>
      <c r="AT278" t="s">
        <v>89</v>
      </c>
      <c r="AU278" t="s">
        <v>90</v>
      </c>
      <c r="AV278" t="s">
        <v>2712</v>
      </c>
      <c r="AW278" t="s">
        <v>92</v>
      </c>
      <c r="AX278" t="s">
        <v>2713</v>
      </c>
      <c r="AY278" t="s">
        <v>94</v>
      </c>
      <c r="AZ278" t="s">
        <v>85</v>
      </c>
      <c r="BA278" t="s">
        <v>3617</v>
      </c>
      <c r="BB278" t="s">
        <v>3608</v>
      </c>
      <c r="BC278" t="s">
        <v>3610</v>
      </c>
      <c r="BD278" t="s">
        <v>2707</v>
      </c>
      <c r="BE278" t="s">
        <v>2708</v>
      </c>
      <c r="BF278" t="b">
        <f t="shared" si="4"/>
        <v>1</v>
      </c>
      <c r="BG278" t="b">
        <v>1</v>
      </c>
      <c r="BH278">
        <v>2025</v>
      </c>
      <c r="BI278" t="b">
        <v>1</v>
      </c>
      <c r="BJ278" t="s">
        <v>2715</v>
      </c>
      <c r="BK278" t="s">
        <v>2716</v>
      </c>
      <c r="BL278" t="b">
        <v>1</v>
      </c>
      <c r="BM278" t="b">
        <v>1</v>
      </c>
      <c r="BN278" t="b">
        <v>0</v>
      </c>
      <c r="BO278" t="s">
        <v>3618</v>
      </c>
      <c r="BP278" t="b">
        <f>IF(IFERROR(VLOOKUP(A278,[1]Planilha1!$A:$A,1,0),FALSE)=FALSE,FALSE,TRUE)</f>
        <v>1</v>
      </c>
    </row>
    <row r="279" spans="1:68" x14ac:dyDescent="0.25">
      <c r="A279" t="s">
        <v>3619</v>
      </c>
      <c r="B279" t="s">
        <v>68</v>
      </c>
      <c r="D279" s="1">
        <v>46204</v>
      </c>
      <c r="E279" s="1">
        <v>47664</v>
      </c>
      <c r="F279" t="s">
        <v>3620</v>
      </c>
      <c r="G279" t="s">
        <v>3621</v>
      </c>
      <c r="H279" s="2" t="s">
        <v>3622</v>
      </c>
      <c r="I279" t="s">
        <v>3621</v>
      </c>
      <c r="K279" t="s">
        <v>3623</v>
      </c>
      <c r="L279">
        <v>5116903</v>
      </c>
      <c r="M279" t="s">
        <v>3624</v>
      </c>
      <c r="N279" t="s">
        <v>1130</v>
      </c>
      <c r="O279" t="s">
        <v>1131</v>
      </c>
      <c r="P279" t="s">
        <v>529</v>
      </c>
      <c r="Q279" t="s">
        <v>1132</v>
      </c>
      <c r="R279" t="s">
        <v>2725</v>
      </c>
      <c r="S279" t="s">
        <v>2726</v>
      </c>
      <c r="T279" t="s">
        <v>184</v>
      </c>
      <c r="U279" t="s">
        <v>112</v>
      </c>
      <c r="V279" t="s">
        <v>82</v>
      </c>
      <c r="W279" t="s">
        <v>2725</v>
      </c>
      <c r="X279" t="s">
        <v>2726</v>
      </c>
      <c r="Y279" t="s">
        <v>184</v>
      </c>
      <c r="Z279" t="s">
        <v>112</v>
      </c>
      <c r="AA279" t="s">
        <v>82</v>
      </c>
      <c r="AB279" t="s">
        <v>83</v>
      </c>
      <c r="AC279" t="s">
        <v>1135</v>
      </c>
      <c r="AD279" t="s">
        <v>85</v>
      </c>
      <c r="AE279" t="s">
        <v>3625</v>
      </c>
      <c r="AF279" t="s">
        <v>85</v>
      </c>
      <c r="AG279" t="s">
        <v>3626</v>
      </c>
      <c r="AH279">
        <v>7</v>
      </c>
      <c r="AI279">
        <v>1248000</v>
      </c>
      <c r="AJ279">
        <v>137904</v>
      </c>
      <c r="AK279">
        <v>0</v>
      </c>
      <c r="AL279">
        <v>1385904</v>
      </c>
      <c r="AM279" t="s">
        <v>2725</v>
      </c>
      <c r="AN279" t="s">
        <v>2726</v>
      </c>
      <c r="AO279" t="s">
        <v>184</v>
      </c>
      <c r="AP279" t="s">
        <v>112</v>
      </c>
      <c r="AQ279" t="s">
        <v>82</v>
      </c>
      <c r="AR279" t="s">
        <v>3627</v>
      </c>
      <c r="AS279" s="3">
        <v>46202.465223658182</v>
      </c>
      <c r="AT279" t="s">
        <v>89</v>
      </c>
      <c r="AU279" t="s">
        <v>90</v>
      </c>
      <c r="AV279" t="s">
        <v>2712</v>
      </c>
      <c r="AW279" t="s">
        <v>92</v>
      </c>
      <c r="AX279" t="s">
        <v>2713</v>
      </c>
      <c r="AY279" t="s">
        <v>94</v>
      </c>
      <c r="AZ279" t="s">
        <v>85</v>
      </c>
      <c r="BA279" t="s">
        <v>3628</v>
      </c>
      <c r="BB279" t="s">
        <v>3619</v>
      </c>
      <c r="BC279" t="s">
        <v>3621</v>
      </c>
      <c r="BD279" t="s">
        <v>2725</v>
      </c>
      <c r="BE279" t="s">
        <v>2726</v>
      </c>
      <c r="BF279" t="b">
        <f t="shared" si="4"/>
        <v>1</v>
      </c>
      <c r="BG279" t="b">
        <v>1</v>
      </c>
      <c r="BH279">
        <v>2023</v>
      </c>
      <c r="BI279" t="b">
        <v>1</v>
      </c>
      <c r="BJ279" t="s">
        <v>2715</v>
      </c>
      <c r="BK279" t="s">
        <v>2731</v>
      </c>
      <c r="BL279" t="b">
        <v>1</v>
      </c>
      <c r="BM279" t="b">
        <v>1</v>
      </c>
      <c r="BN279" t="b">
        <v>1</v>
      </c>
      <c r="BO279" t="s">
        <v>3629</v>
      </c>
      <c r="BP279" t="b">
        <f>IF(IFERROR(VLOOKUP(A279,[1]Planilha1!$A:$A,1,0),FALSE)=FALSE,FALSE,TRUE)</f>
        <v>1</v>
      </c>
    </row>
    <row r="280" spans="1:68" x14ac:dyDescent="0.25">
      <c r="A280" t="s">
        <v>3630</v>
      </c>
      <c r="B280" t="s">
        <v>68</v>
      </c>
      <c r="D280" s="1">
        <v>46204</v>
      </c>
      <c r="E280" s="1">
        <v>47664</v>
      </c>
      <c r="F280" t="s">
        <v>1125</v>
      </c>
      <c r="G280" t="s">
        <v>1126</v>
      </c>
      <c r="H280" s="2" t="s">
        <v>1127</v>
      </c>
      <c r="I280" t="s">
        <v>1126</v>
      </c>
      <c r="K280" t="s">
        <v>1126</v>
      </c>
      <c r="L280">
        <v>5116385</v>
      </c>
      <c r="M280" t="s">
        <v>3631</v>
      </c>
      <c r="N280" t="s">
        <v>179</v>
      </c>
      <c r="O280" t="s">
        <v>180</v>
      </c>
      <c r="P280" t="s">
        <v>129</v>
      </c>
      <c r="Q280" t="s">
        <v>3426</v>
      </c>
      <c r="R280" t="s">
        <v>1133</v>
      </c>
      <c r="S280" t="s">
        <v>1134</v>
      </c>
      <c r="T280" t="s">
        <v>184</v>
      </c>
      <c r="U280" t="s">
        <v>112</v>
      </c>
      <c r="V280" t="s">
        <v>82</v>
      </c>
      <c r="W280" t="s">
        <v>1133</v>
      </c>
      <c r="X280" t="s">
        <v>1134</v>
      </c>
      <c r="Y280" t="s">
        <v>184</v>
      </c>
      <c r="Z280" t="s">
        <v>112</v>
      </c>
      <c r="AA280" t="s">
        <v>82</v>
      </c>
      <c r="AB280" t="s">
        <v>83</v>
      </c>
      <c r="AC280" t="s">
        <v>185</v>
      </c>
      <c r="AD280" t="s">
        <v>252</v>
      </c>
      <c r="AE280" t="s">
        <v>3632</v>
      </c>
      <c r="AF280" t="s">
        <v>252</v>
      </c>
      <c r="AG280" t="s">
        <v>3633</v>
      </c>
      <c r="AH280">
        <v>3</v>
      </c>
      <c r="AI280">
        <v>399360</v>
      </c>
      <c r="AJ280">
        <v>55832</v>
      </c>
      <c r="AK280">
        <v>0</v>
      </c>
      <c r="AL280">
        <v>455192</v>
      </c>
      <c r="AM280" t="s">
        <v>1133</v>
      </c>
      <c r="AN280" t="s">
        <v>1134</v>
      </c>
      <c r="AO280" t="s">
        <v>184</v>
      </c>
      <c r="AP280" t="s">
        <v>112</v>
      </c>
      <c r="AQ280" t="s">
        <v>82</v>
      </c>
      <c r="AR280" t="s">
        <v>1138</v>
      </c>
      <c r="AS280" s="3">
        <v>46202.465223658182</v>
      </c>
      <c r="AT280" t="s">
        <v>89</v>
      </c>
      <c r="AU280" t="s">
        <v>90</v>
      </c>
      <c r="AV280" t="s">
        <v>2712</v>
      </c>
      <c r="AW280" t="s">
        <v>92</v>
      </c>
      <c r="AX280" t="s">
        <v>2713</v>
      </c>
      <c r="AY280" t="s">
        <v>94</v>
      </c>
      <c r="AZ280" t="s">
        <v>85</v>
      </c>
      <c r="BA280" t="s">
        <v>1139</v>
      </c>
      <c r="BB280" t="s">
        <v>3630</v>
      </c>
      <c r="BC280" t="s">
        <v>1126</v>
      </c>
      <c r="BD280" t="s">
        <v>1133</v>
      </c>
      <c r="BE280" t="s">
        <v>1134</v>
      </c>
      <c r="BF280" t="b">
        <f t="shared" si="4"/>
        <v>1</v>
      </c>
      <c r="BG280" t="b">
        <v>1</v>
      </c>
      <c r="BH280">
        <v>1983</v>
      </c>
      <c r="BI280" t="b">
        <v>1</v>
      </c>
      <c r="BJ280" t="s">
        <v>2715</v>
      </c>
      <c r="BK280" t="s">
        <v>1140</v>
      </c>
      <c r="BL280" t="b">
        <v>1</v>
      </c>
      <c r="BM280" t="b">
        <v>1</v>
      </c>
      <c r="BN280" t="b">
        <v>1</v>
      </c>
      <c r="BO280" t="s">
        <v>1141</v>
      </c>
      <c r="BP280" t="b">
        <f>IF(IFERROR(VLOOKUP(A280,[1]Planilha1!$A:$A,1,0),FALSE)=FALSE,FALSE,TRUE)</f>
        <v>1</v>
      </c>
    </row>
    <row r="281" spans="1:68" x14ac:dyDescent="0.25">
      <c r="A281" t="s">
        <v>3634</v>
      </c>
      <c r="B281" t="s">
        <v>68</v>
      </c>
      <c r="D281" s="1">
        <v>46204</v>
      </c>
      <c r="E281" s="1">
        <v>47664</v>
      </c>
      <c r="F281" t="s">
        <v>3635</v>
      </c>
      <c r="G281" t="s">
        <v>3636</v>
      </c>
      <c r="H281" s="2" t="s">
        <v>3637</v>
      </c>
      <c r="I281" t="s">
        <v>3636</v>
      </c>
      <c r="K281" t="s">
        <v>3638</v>
      </c>
      <c r="L281">
        <v>5116885</v>
      </c>
      <c r="M281" t="s">
        <v>3639</v>
      </c>
      <c r="N281" t="s">
        <v>359</v>
      </c>
      <c r="O281" t="s">
        <v>360</v>
      </c>
      <c r="P281" t="s">
        <v>129</v>
      </c>
      <c r="Q281" t="s">
        <v>2273</v>
      </c>
      <c r="R281" t="s">
        <v>2787</v>
      </c>
      <c r="S281" t="s">
        <v>2788</v>
      </c>
      <c r="T281" t="s">
        <v>111</v>
      </c>
      <c r="U281" t="s">
        <v>112</v>
      </c>
      <c r="V281" t="s">
        <v>82</v>
      </c>
      <c r="W281" t="s">
        <v>2787</v>
      </c>
      <c r="X281" t="s">
        <v>2788</v>
      </c>
      <c r="Y281" t="s">
        <v>111</v>
      </c>
      <c r="Z281" t="s">
        <v>112</v>
      </c>
      <c r="AA281" t="s">
        <v>82</v>
      </c>
      <c r="AB281" t="s">
        <v>83</v>
      </c>
      <c r="AC281" t="s">
        <v>185</v>
      </c>
      <c r="AD281" t="s">
        <v>85</v>
      </c>
      <c r="AE281" t="s">
        <v>3640</v>
      </c>
      <c r="AF281" t="s">
        <v>85</v>
      </c>
      <c r="AG281" t="s">
        <v>3641</v>
      </c>
      <c r="AH281">
        <v>5</v>
      </c>
      <c r="AI281">
        <v>1023360</v>
      </c>
      <c r="AJ281">
        <v>147818.67000000001</v>
      </c>
      <c r="AK281">
        <v>0</v>
      </c>
      <c r="AL281">
        <v>1171178.67</v>
      </c>
      <c r="AM281" t="s">
        <v>2787</v>
      </c>
      <c r="AN281" t="s">
        <v>2788</v>
      </c>
      <c r="AO281" t="s">
        <v>111</v>
      </c>
      <c r="AP281" t="s">
        <v>112</v>
      </c>
      <c r="AQ281" t="s">
        <v>82</v>
      </c>
      <c r="AR281" t="s">
        <v>3642</v>
      </c>
      <c r="AS281" s="3">
        <v>46202.465223658182</v>
      </c>
      <c r="AT281" t="s">
        <v>89</v>
      </c>
      <c r="AU281" t="s">
        <v>90</v>
      </c>
      <c r="AV281" t="s">
        <v>2712</v>
      </c>
      <c r="AW281" t="s">
        <v>92</v>
      </c>
      <c r="AX281" t="s">
        <v>2713</v>
      </c>
      <c r="AY281" t="s">
        <v>94</v>
      </c>
      <c r="AZ281" t="s">
        <v>85</v>
      </c>
      <c r="BA281" t="s">
        <v>3643</v>
      </c>
      <c r="BB281" t="s">
        <v>3634</v>
      </c>
      <c r="BC281" t="s">
        <v>3636</v>
      </c>
      <c r="BD281" t="s">
        <v>2787</v>
      </c>
      <c r="BE281" t="s">
        <v>2788</v>
      </c>
      <c r="BF281" t="b">
        <f t="shared" si="4"/>
        <v>1</v>
      </c>
      <c r="BG281" t="b">
        <v>1</v>
      </c>
      <c r="BH281">
        <v>2002</v>
      </c>
      <c r="BI281" t="b">
        <v>1</v>
      </c>
      <c r="BJ281" t="s">
        <v>2715</v>
      </c>
      <c r="BK281" t="s">
        <v>2716</v>
      </c>
      <c r="BL281" t="b">
        <v>1</v>
      </c>
      <c r="BM281" t="b">
        <v>1</v>
      </c>
      <c r="BN281" t="b">
        <v>1</v>
      </c>
      <c r="BO281" t="s">
        <v>3644</v>
      </c>
      <c r="BP281" t="b">
        <f>IF(IFERROR(VLOOKUP(A281,[1]Planilha1!$A:$A,1,0),FALSE)=FALSE,FALSE,TRUE)</f>
        <v>1</v>
      </c>
    </row>
    <row r="282" spans="1:68" x14ac:dyDescent="0.25">
      <c r="A282" t="s">
        <v>3645</v>
      </c>
      <c r="B282" t="s">
        <v>68</v>
      </c>
      <c r="D282" s="1">
        <v>46204</v>
      </c>
      <c r="E282" s="1">
        <v>47664</v>
      </c>
      <c r="F282" t="s">
        <v>3646</v>
      </c>
      <c r="G282" t="s">
        <v>3647</v>
      </c>
      <c r="H282" s="2" t="s">
        <v>3648</v>
      </c>
      <c r="I282" t="s">
        <v>3647</v>
      </c>
      <c r="K282" t="s">
        <v>3649</v>
      </c>
      <c r="L282">
        <v>5116783</v>
      </c>
      <c r="M282" t="s">
        <v>3650</v>
      </c>
      <c r="N282" t="s">
        <v>1602</v>
      </c>
      <c r="O282" t="s">
        <v>106</v>
      </c>
      <c r="P282" t="s">
        <v>107</v>
      </c>
      <c r="Q282" t="s">
        <v>3450</v>
      </c>
      <c r="R282" t="s">
        <v>2787</v>
      </c>
      <c r="S282" t="s">
        <v>2788</v>
      </c>
      <c r="T282" t="s">
        <v>111</v>
      </c>
      <c r="U282" t="s">
        <v>112</v>
      </c>
      <c r="V282" t="s">
        <v>82</v>
      </c>
      <c r="W282" t="s">
        <v>2787</v>
      </c>
      <c r="X282" t="s">
        <v>2788</v>
      </c>
      <c r="Y282" t="s">
        <v>111</v>
      </c>
      <c r="Z282" t="s">
        <v>112</v>
      </c>
      <c r="AA282" t="s">
        <v>82</v>
      </c>
      <c r="AB282" t="s">
        <v>83</v>
      </c>
      <c r="AC282" t="s">
        <v>113</v>
      </c>
      <c r="AD282" t="s">
        <v>149</v>
      </c>
      <c r="AE282" t="s">
        <v>3651</v>
      </c>
      <c r="AF282" t="s">
        <v>85</v>
      </c>
      <c r="AG282" t="s">
        <v>3652</v>
      </c>
      <c r="AH282">
        <v>8</v>
      </c>
      <c r="AI282">
        <v>1045200</v>
      </c>
      <c r="AJ282">
        <v>141240</v>
      </c>
      <c r="AK282">
        <v>0</v>
      </c>
      <c r="AL282">
        <v>1186440</v>
      </c>
      <c r="AM282" t="s">
        <v>2787</v>
      </c>
      <c r="AN282" t="s">
        <v>2788</v>
      </c>
      <c r="AO282" t="s">
        <v>111</v>
      </c>
      <c r="AP282" t="s">
        <v>112</v>
      </c>
      <c r="AQ282" t="s">
        <v>82</v>
      </c>
      <c r="AR282" t="s">
        <v>3653</v>
      </c>
      <c r="AS282" s="3">
        <v>46202.465223658182</v>
      </c>
      <c r="AT282" t="s">
        <v>89</v>
      </c>
      <c r="AU282" t="s">
        <v>90</v>
      </c>
      <c r="AV282" t="s">
        <v>2712</v>
      </c>
      <c r="AW282" t="s">
        <v>92</v>
      </c>
      <c r="AX282" t="s">
        <v>2713</v>
      </c>
      <c r="AY282" t="s">
        <v>94</v>
      </c>
      <c r="AZ282" t="s">
        <v>85</v>
      </c>
      <c r="BA282" t="s">
        <v>3654</v>
      </c>
      <c r="BB282" t="s">
        <v>3645</v>
      </c>
      <c r="BC282" t="s">
        <v>3647</v>
      </c>
      <c r="BD282" t="s">
        <v>2787</v>
      </c>
      <c r="BE282" t="s">
        <v>2788</v>
      </c>
      <c r="BF282" t="b">
        <f t="shared" si="4"/>
        <v>1</v>
      </c>
      <c r="BG282" t="b">
        <v>1</v>
      </c>
      <c r="BH282">
        <v>2010</v>
      </c>
      <c r="BI282" t="b">
        <v>1</v>
      </c>
      <c r="BJ282" t="s">
        <v>2715</v>
      </c>
      <c r="BK282" t="s">
        <v>2716</v>
      </c>
      <c r="BL282" t="b">
        <v>1</v>
      </c>
      <c r="BM282" t="b">
        <v>1</v>
      </c>
      <c r="BN282" t="b">
        <v>1</v>
      </c>
      <c r="BO282" t="s">
        <v>3655</v>
      </c>
      <c r="BP282" t="b">
        <f>IF(IFERROR(VLOOKUP(A282,[1]Planilha1!$A:$A,1,0),FALSE)=FALSE,FALSE,TRUE)</f>
        <v>1</v>
      </c>
    </row>
    <row r="283" spans="1:68" x14ac:dyDescent="0.25">
      <c r="A283" t="s">
        <v>3656</v>
      </c>
      <c r="B283" t="s">
        <v>68</v>
      </c>
      <c r="D283" s="1">
        <v>46204</v>
      </c>
      <c r="E283" s="1">
        <v>47664</v>
      </c>
      <c r="F283" t="s">
        <v>3657</v>
      </c>
      <c r="G283" t="s">
        <v>3658</v>
      </c>
      <c r="H283" s="2" t="s">
        <v>3659</v>
      </c>
      <c r="I283" t="s">
        <v>3658</v>
      </c>
      <c r="K283" t="s">
        <v>3660</v>
      </c>
      <c r="L283">
        <v>5116494</v>
      </c>
      <c r="M283" t="s">
        <v>3661</v>
      </c>
      <c r="N283" t="s">
        <v>886</v>
      </c>
      <c r="O283" t="s">
        <v>887</v>
      </c>
      <c r="P283" t="s">
        <v>107</v>
      </c>
      <c r="Q283" t="s">
        <v>3662</v>
      </c>
      <c r="R283" t="s">
        <v>2773</v>
      </c>
      <c r="S283" t="s">
        <v>2774</v>
      </c>
      <c r="T283" t="s">
        <v>184</v>
      </c>
      <c r="U283" t="s">
        <v>112</v>
      </c>
      <c r="V283" t="s">
        <v>82</v>
      </c>
      <c r="W283" t="s">
        <v>2773</v>
      </c>
      <c r="X283" t="s">
        <v>2774</v>
      </c>
      <c r="Y283" t="s">
        <v>184</v>
      </c>
      <c r="Z283" t="s">
        <v>112</v>
      </c>
      <c r="AA283" t="s">
        <v>82</v>
      </c>
      <c r="AB283" t="s">
        <v>83</v>
      </c>
      <c r="AC283" t="s">
        <v>202</v>
      </c>
      <c r="AD283" t="s">
        <v>252</v>
      </c>
      <c r="AE283" t="s">
        <v>3663</v>
      </c>
      <c r="AF283" t="s">
        <v>252</v>
      </c>
      <c r="AG283" t="s">
        <v>3664</v>
      </c>
      <c r="AH283">
        <v>6</v>
      </c>
      <c r="AI283">
        <v>1118520</v>
      </c>
      <c r="AJ283">
        <v>111945.60000000001</v>
      </c>
      <c r="AK283">
        <v>0</v>
      </c>
      <c r="AL283">
        <v>1230465.6000000001</v>
      </c>
      <c r="AM283" t="s">
        <v>2773</v>
      </c>
      <c r="AN283" t="s">
        <v>2774</v>
      </c>
      <c r="AO283" t="s">
        <v>184</v>
      </c>
      <c r="AP283" t="s">
        <v>112</v>
      </c>
      <c r="AQ283" t="s">
        <v>82</v>
      </c>
      <c r="AR283" t="s">
        <v>3665</v>
      </c>
      <c r="AS283" s="3">
        <v>46202.465223658182</v>
      </c>
      <c r="AT283" t="s">
        <v>89</v>
      </c>
      <c r="AU283" t="s">
        <v>90</v>
      </c>
      <c r="AV283" t="s">
        <v>2712</v>
      </c>
      <c r="AW283" t="s">
        <v>92</v>
      </c>
      <c r="AX283" t="s">
        <v>2713</v>
      </c>
      <c r="AY283" t="s">
        <v>94</v>
      </c>
      <c r="AZ283" t="s">
        <v>85</v>
      </c>
      <c r="BA283" t="s">
        <v>3666</v>
      </c>
      <c r="BB283" t="s">
        <v>3656</v>
      </c>
      <c r="BC283" t="s">
        <v>3658</v>
      </c>
      <c r="BD283" t="s">
        <v>2773</v>
      </c>
      <c r="BE283" t="s">
        <v>2774</v>
      </c>
      <c r="BF283" t="b">
        <f t="shared" si="4"/>
        <v>1</v>
      </c>
      <c r="BG283" t="b">
        <v>1</v>
      </c>
      <c r="BH283">
        <v>2001</v>
      </c>
      <c r="BI283" t="b">
        <v>1</v>
      </c>
      <c r="BJ283" t="s">
        <v>2715</v>
      </c>
      <c r="BK283" t="s">
        <v>2779</v>
      </c>
      <c r="BL283" t="b">
        <v>1</v>
      </c>
      <c r="BM283" t="b">
        <v>1</v>
      </c>
      <c r="BN283" t="b">
        <v>1</v>
      </c>
      <c r="BO283" t="s">
        <v>2780</v>
      </c>
      <c r="BP283" t="b">
        <f>IF(IFERROR(VLOOKUP(A283,[1]Planilha1!$A:$A,1,0),FALSE)=FALSE,FALSE,TRUE)</f>
        <v>1</v>
      </c>
    </row>
    <row r="284" spans="1:68" x14ac:dyDescent="0.25">
      <c r="A284" t="s">
        <v>3667</v>
      </c>
      <c r="B284" t="s">
        <v>68</v>
      </c>
      <c r="D284" s="1">
        <v>46204</v>
      </c>
      <c r="E284" s="1">
        <v>47664</v>
      </c>
      <c r="F284" t="s">
        <v>3668</v>
      </c>
      <c r="G284" t="s">
        <v>3669</v>
      </c>
      <c r="H284" s="2" t="s">
        <v>3670</v>
      </c>
      <c r="I284" t="s">
        <v>3669</v>
      </c>
      <c r="K284" t="s">
        <v>3671</v>
      </c>
      <c r="L284">
        <v>5116492</v>
      </c>
      <c r="M284" t="s">
        <v>3672</v>
      </c>
      <c r="N284" t="s">
        <v>3020</v>
      </c>
      <c r="O284" t="s">
        <v>3021</v>
      </c>
      <c r="P284" t="s">
        <v>230</v>
      </c>
      <c r="Q284" t="s">
        <v>3022</v>
      </c>
      <c r="R284" t="s">
        <v>2707</v>
      </c>
      <c r="S284" t="s">
        <v>2708</v>
      </c>
      <c r="T284" t="s">
        <v>184</v>
      </c>
      <c r="U284" t="s">
        <v>112</v>
      </c>
      <c r="V284" t="s">
        <v>82</v>
      </c>
      <c r="W284" t="s">
        <v>2707</v>
      </c>
      <c r="X284" t="s">
        <v>2708</v>
      </c>
      <c r="Y284" t="s">
        <v>184</v>
      </c>
      <c r="Z284" t="s">
        <v>112</v>
      </c>
      <c r="AA284" t="s">
        <v>82</v>
      </c>
      <c r="AB284" t="s">
        <v>83</v>
      </c>
      <c r="AC284" t="s">
        <v>113</v>
      </c>
      <c r="AD284" t="s">
        <v>252</v>
      </c>
      <c r="AE284" t="s">
        <v>3673</v>
      </c>
      <c r="AF284" t="s">
        <v>252</v>
      </c>
      <c r="AG284" t="s">
        <v>3674</v>
      </c>
      <c r="AH284">
        <v>7</v>
      </c>
      <c r="AI284">
        <v>836160</v>
      </c>
      <c r="AJ284">
        <v>104000</v>
      </c>
      <c r="AK284">
        <v>0</v>
      </c>
      <c r="AL284">
        <v>940160</v>
      </c>
      <c r="AM284" t="s">
        <v>2707</v>
      </c>
      <c r="AN284" t="s">
        <v>2708</v>
      </c>
      <c r="AO284" t="s">
        <v>184</v>
      </c>
      <c r="AP284" t="s">
        <v>112</v>
      </c>
      <c r="AQ284" t="s">
        <v>82</v>
      </c>
      <c r="AR284" t="s">
        <v>3675</v>
      </c>
      <c r="AS284" s="3">
        <v>46202.465223658182</v>
      </c>
      <c r="AT284" t="s">
        <v>89</v>
      </c>
      <c r="AU284" t="s">
        <v>90</v>
      </c>
      <c r="AV284" t="s">
        <v>2712</v>
      </c>
      <c r="AW284" t="s">
        <v>92</v>
      </c>
      <c r="AX284" t="s">
        <v>2713</v>
      </c>
      <c r="AY284" t="s">
        <v>94</v>
      </c>
      <c r="AZ284" t="s">
        <v>85</v>
      </c>
      <c r="BA284" t="s">
        <v>3676</v>
      </c>
      <c r="BB284" t="s">
        <v>3667</v>
      </c>
      <c r="BC284" t="s">
        <v>3669</v>
      </c>
      <c r="BD284" t="s">
        <v>2707</v>
      </c>
      <c r="BE284" t="s">
        <v>2708</v>
      </c>
      <c r="BF284" t="b">
        <f t="shared" si="4"/>
        <v>1</v>
      </c>
      <c r="BG284" t="b">
        <v>1</v>
      </c>
      <c r="BH284">
        <v>2009</v>
      </c>
      <c r="BI284" t="b">
        <v>1</v>
      </c>
      <c r="BJ284" t="s">
        <v>2715</v>
      </c>
      <c r="BK284" t="s">
        <v>2716</v>
      </c>
      <c r="BL284" t="b">
        <v>1</v>
      </c>
      <c r="BM284" t="b">
        <v>1</v>
      </c>
      <c r="BN284" t="b">
        <v>1</v>
      </c>
      <c r="BO284" t="s">
        <v>3677</v>
      </c>
      <c r="BP284" t="b">
        <f>IF(IFERROR(VLOOKUP(A284,[1]Planilha1!$A:$A,1,0),FALSE)=FALSE,FALSE,TRUE)</f>
        <v>1</v>
      </c>
    </row>
    <row r="285" spans="1:68" x14ac:dyDescent="0.25">
      <c r="A285" t="s">
        <v>3678</v>
      </c>
      <c r="B285" t="s">
        <v>68</v>
      </c>
      <c r="D285" s="1">
        <v>46204</v>
      </c>
      <c r="E285" s="1">
        <v>47664</v>
      </c>
      <c r="F285" t="s">
        <v>3679</v>
      </c>
      <c r="G285" t="s">
        <v>3680</v>
      </c>
      <c r="H285" s="2" t="s">
        <v>3681</v>
      </c>
      <c r="I285" t="s">
        <v>3680</v>
      </c>
      <c r="K285" t="s">
        <v>3682</v>
      </c>
      <c r="L285">
        <v>5116577</v>
      </c>
      <c r="M285" t="s">
        <v>3683</v>
      </c>
      <c r="N285" t="s">
        <v>199</v>
      </c>
      <c r="O285" t="s">
        <v>200</v>
      </c>
      <c r="P285" t="s">
        <v>107</v>
      </c>
      <c r="Q285" t="s">
        <v>313</v>
      </c>
      <c r="R285" t="s">
        <v>265</v>
      </c>
      <c r="S285" t="s">
        <v>266</v>
      </c>
      <c r="T285" t="s">
        <v>184</v>
      </c>
      <c r="U285" t="s">
        <v>112</v>
      </c>
      <c r="V285" t="s">
        <v>82</v>
      </c>
      <c r="W285" t="s">
        <v>265</v>
      </c>
      <c r="X285" t="s">
        <v>266</v>
      </c>
      <c r="Y285" t="s">
        <v>184</v>
      </c>
      <c r="Z285" t="s">
        <v>112</v>
      </c>
      <c r="AA285" t="s">
        <v>82</v>
      </c>
      <c r="AB285" t="s">
        <v>83</v>
      </c>
      <c r="AC285" t="s">
        <v>202</v>
      </c>
      <c r="AD285" t="s">
        <v>149</v>
      </c>
      <c r="AE285" t="s">
        <v>3684</v>
      </c>
      <c r="AF285" t="s">
        <v>85</v>
      </c>
      <c r="AG285" t="s">
        <v>3685</v>
      </c>
      <c r="AH285">
        <v>4</v>
      </c>
      <c r="AI285">
        <v>998400</v>
      </c>
      <c r="AJ285">
        <v>129792</v>
      </c>
      <c r="AK285">
        <v>0</v>
      </c>
      <c r="AL285">
        <v>1128192</v>
      </c>
      <c r="AR285" t="s">
        <v>3686</v>
      </c>
      <c r="AS285" s="3">
        <v>46202.465223658182</v>
      </c>
      <c r="AT285" t="s">
        <v>89</v>
      </c>
      <c r="AU285" t="s">
        <v>90</v>
      </c>
      <c r="AV285" t="s">
        <v>2712</v>
      </c>
      <c r="AW285" t="s">
        <v>92</v>
      </c>
      <c r="AX285" t="s">
        <v>2713</v>
      </c>
      <c r="AY285" t="s">
        <v>94</v>
      </c>
      <c r="AZ285" t="s">
        <v>85</v>
      </c>
      <c r="BA285" t="s">
        <v>3687</v>
      </c>
      <c r="BB285" t="s">
        <v>3678</v>
      </c>
      <c r="BC285" t="s">
        <v>3680</v>
      </c>
      <c r="BD285" t="s">
        <v>265</v>
      </c>
      <c r="BE285" t="s">
        <v>266</v>
      </c>
      <c r="BF285" t="b">
        <f t="shared" si="4"/>
        <v>0</v>
      </c>
      <c r="BG285" t="b">
        <v>1</v>
      </c>
      <c r="BH285">
        <v>1994</v>
      </c>
      <c r="BI285" t="b">
        <v>1</v>
      </c>
      <c r="BJ285" t="s">
        <v>2715</v>
      </c>
      <c r="BK285" t="s">
        <v>272</v>
      </c>
      <c r="BL285" t="b">
        <v>0</v>
      </c>
      <c r="BM285" t="b">
        <v>1</v>
      </c>
      <c r="BN285" t="b">
        <v>1</v>
      </c>
      <c r="BO285" t="s">
        <v>3688</v>
      </c>
      <c r="BP285" t="b">
        <f>IF(IFERROR(VLOOKUP(A285,[1]Planilha1!$A:$A,1,0),FALSE)=FALSE,FALSE,TRUE)</f>
        <v>0</v>
      </c>
    </row>
    <row r="286" spans="1:68" x14ac:dyDescent="0.25">
      <c r="A286" t="s">
        <v>3689</v>
      </c>
      <c r="B286" t="s">
        <v>68</v>
      </c>
      <c r="D286" s="1">
        <v>46204</v>
      </c>
      <c r="E286" s="1">
        <v>47664</v>
      </c>
      <c r="F286" t="s">
        <v>3690</v>
      </c>
      <c r="G286" t="s">
        <v>3691</v>
      </c>
      <c r="H286" s="2" t="s">
        <v>3692</v>
      </c>
      <c r="I286" t="s">
        <v>3691</v>
      </c>
      <c r="K286" t="s">
        <v>3693</v>
      </c>
      <c r="L286">
        <v>5116529</v>
      </c>
      <c r="M286" t="s">
        <v>3694</v>
      </c>
      <c r="N286" t="s">
        <v>414</v>
      </c>
      <c r="O286" t="s">
        <v>180</v>
      </c>
      <c r="P286" t="s">
        <v>129</v>
      </c>
      <c r="Q286" t="s">
        <v>2724</v>
      </c>
      <c r="R286" t="s">
        <v>1133</v>
      </c>
      <c r="S286" t="s">
        <v>1134</v>
      </c>
      <c r="T286" t="s">
        <v>184</v>
      </c>
      <c r="U286" t="s">
        <v>112</v>
      </c>
      <c r="V286" t="s">
        <v>82</v>
      </c>
      <c r="W286" t="s">
        <v>1133</v>
      </c>
      <c r="X286" t="s">
        <v>1134</v>
      </c>
      <c r="Y286" t="s">
        <v>184</v>
      </c>
      <c r="Z286" t="s">
        <v>112</v>
      </c>
      <c r="AA286" t="s">
        <v>82</v>
      </c>
      <c r="AB286" t="s">
        <v>83</v>
      </c>
      <c r="AC286" t="s">
        <v>185</v>
      </c>
      <c r="AD286" t="s">
        <v>149</v>
      </c>
      <c r="AE286" t="s">
        <v>3695</v>
      </c>
      <c r="AF286" t="s">
        <v>85</v>
      </c>
      <c r="AG286" t="s">
        <v>3696</v>
      </c>
      <c r="AH286">
        <v>10</v>
      </c>
      <c r="AI286">
        <v>1342640</v>
      </c>
      <c r="AJ286">
        <v>149150</v>
      </c>
      <c r="AK286">
        <v>0</v>
      </c>
      <c r="AL286">
        <v>1491790</v>
      </c>
      <c r="AM286" t="s">
        <v>1133</v>
      </c>
      <c r="AN286" t="s">
        <v>1134</v>
      </c>
      <c r="AO286" t="s">
        <v>184</v>
      </c>
      <c r="AP286" t="s">
        <v>112</v>
      </c>
      <c r="AQ286" t="s">
        <v>82</v>
      </c>
      <c r="AR286" t="s">
        <v>3697</v>
      </c>
      <c r="AS286" s="3">
        <v>46202.465223658182</v>
      </c>
      <c r="AT286" t="s">
        <v>89</v>
      </c>
      <c r="AU286" t="s">
        <v>90</v>
      </c>
      <c r="AV286" t="s">
        <v>2712</v>
      </c>
      <c r="AW286" t="s">
        <v>92</v>
      </c>
      <c r="AX286" t="s">
        <v>2713</v>
      </c>
      <c r="AY286" t="s">
        <v>94</v>
      </c>
      <c r="AZ286" t="s">
        <v>85</v>
      </c>
      <c r="BA286" t="s">
        <v>3698</v>
      </c>
      <c r="BB286" t="s">
        <v>3689</v>
      </c>
      <c r="BC286" t="s">
        <v>3691</v>
      </c>
      <c r="BD286" t="s">
        <v>1133</v>
      </c>
      <c r="BE286" t="s">
        <v>1134</v>
      </c>
      <c r="BF286" t="b">
        <f t="shared" si="4"/>
        <v>1</v>
      </c>
      <c r="BG286" t="b">
        <v>1</v>
      </c>
      <c r="BH286">
        <v>2008</v>
      </c>
      <c r="BI286" t="b">
        <v>1</v>
      </c>
      <c r="BJ286" t="s">
        <v>2715</v>
      </c>
      <c r="BK286" t="s">
        <v>1140</v>
      </c>
      <c r="BL286" t="b">
        <v>1</v>
      </c>
      <c r="BM286" t="b">
        <v>1</v>
      </c>
      <c r="BN286" t="b">
        <v>1</v>
      </c>
      <c r="BO286" t="s">
        <v>3699</v>
      </c>
      <c r="BP286" t="b">
        <f>IF(IFERROR(VLOOKUP(A286,[1]Planilha1!$A:$A,1,0),FALSE)=FALSE,FALSE,TRUE)</f>
        <v>1</v>
      </c>
    </row>
    <row r="287" spans="1:68" x14ac:dyDescent="0.25">
      <c r="A287" t="s">
        <v>3700</v>
      </c>
      <c r="B287" t="s">
        <v>68</v>
      </c>
      <c r="D287" s="1">
        <v>46204</v>
      </c>
      <c r="E287" s="1">
        <v>47664</v>
      </c>
      <c r="F287" t="s">
        <v>3701</v>
      </c>
      <c r="G287" t="s">
        <v>3702</v>
      </c>
      <c r="H287" s="2" t="s">
        <v>3703</v>
      </c>
      <c r="I287" t="s">
        <v>3702</v>
      </c>
      <c r="K287" t="s">
        <v>3702</v>
      </c>
      <c r="L287">
        <v>5116909</v>
      </c>
      <c r="M287" t="s">
        <v>3704</v>
      </c>
      <c r="N287" t="s">
        <v>2109</v>
      </c>
      <c r="O287" t="s">
        <v>2018</v>
      </c>
      <c r="P287" t="s">
        <v>230</v>
      </c>
      <c r="Q287" t="s">
        <v>3570</v>
      </c>
      <c r="R287" t="s">
        <v>2972</v>
      </c>
      <c r="S287" t="s">
        <v>2973</v>
      </c>
      <c r="T287" t="s">
        <v>300</v>
      </c>
      <c r="U287" t="s">
        <v>301</v>
      </c>
      <c r="V287" t="s">
        <v>82</v>
      </c>
      <c r="W287" t="s">
        <v>2972</v>
      </c>
      <c r="X287" t="s">
        <v>2973</v>
      </c>
      <c r="Y287" t="s">
        <v>300</v>
      </c>
      <c r="Z287" t="s">
        <v>301</v>
      </c>
      <c r="AA287" t="s">
        <v>82</v>
      </c>
      <c r="AB287" t="s">
        <v>83</v>
      </c>
      <c r="AC287" t="s">
        <v>1013</v>
      </c>
      <c r="AD287" t="s">
        <v>85</v>
      </c>
      <c r="AE287" t="s">
        <v>3705</v>
      </c>
      <c r="AF287" t="s">
        <v>85</v>
      </c>
      <c r="AG287" t="s">
        <v>3706</v>
      </c>
      <c r="AH287">
        <v>10</v>
      </c>
      <c r="AI287">
        <v>1108800</v>
      </c>
      <c r="AJ287">
        <v>174000</v>
      </c>
      <c r="AK287">
        <v>0</v>
      </c>
      <c r="AL287">
        <v>1282800</v>
      </c>
      <c r="AM287" t="s">
        <v>2972</v>
      </c>
      <c r="AN287" t="s">
        <v>2973</v>
      </c>
      <c r="AO287" t="s">
        <v>300</v>
      </c>
      <c r="AP287" t="s">
        <v>301</v>
      </c>
      <c r="AQ287" t="s">
        <v>82</v>
      </c>
      <c r="AR287" t="s">
        <v>3707</v>
      </c>
      <c r="AS287" s="3">
        <v>46202.465223658182</v>
      </c>
      <c r="AT287" t="s">
        <v>89</v>
      </c>
      <c r="AU287" t="s">
        <v>90</v>
      </c>
      <c r="AV287" t="s">
        <v>2712</v>
      </c>
      <c r="AW287" t="s">
        <v>92</v>
      </c>
      <c r="AX287" t="s">
        <v>2713</v>
      </c>
      <c r="AY287" t="s">
        <v>94</v>
      </c>
      <c r="AZ287" t="s">
        <v>85</v>
      </c>
      <c r="BA287" t="s">
        <v>3708</v>
      </c>
      <c r="BB287" t="s">
        <v>3700</v>
      </c>
      <c r="BC287" t="s">
        <v>3702</v>
      </c>
      <c r="BD287" t="s">
        <v>2972</v>
      </c>
      <c r="BE287" t="s">
        <v>2973</v>
      </c>
      <c r="BF287" t="b">
        <f t="shared" si="4"/>
        <v>0</v>
      </c>
      <c r="BG287" t="b">
        <v>1</v>
      </c>
      <c r="BH287">
        <v>2019</v>
      </c>
      <c r="BI287" t="b">
        <v>0</v>
      </c>
      <c r="BJ287" t="s">
        <v>2715</v>
      </c>
      <c r="BK287" t="s">
        <v>2978</v>
      </c>
      <c r="BL287" t="b">
        <v>1</v>
      </c>
      <c r="BM287" t="b">
        <v>1</v>
      </c>
      <c r="BN287" t="b">
        <v>1</v>
      </c>
      <c r="BO287" t="s">
        <v>3709</v>
      </c>
      <c r="BP287" t="b">
        <f>IF(IFERROR(VLOOKUP(A287,[1]Planilha1!$A:$A,1,0),FALSE)=FALSE,FALSE,TRUE)</f>
        <v>0</v>
      </c>
    </row>
    <row r="288" spans="1:68" x14ac:dyDescent="0.25">
      <c r="A288" t="s">
        <v>3710</v>
      </c>
      <c r="B288" t="s">
        <v>68</v>
      </c>
      <c r="D288" s="1">
        <v>46204</v>
      </c>
      <c r="E288" s="1">
        <v>47664</v>
      </c>
      <c r="F288" t="s">
        <v>3711</v>
      </c>
      <c r="G288" t="s">
        <v>3712</v>
      </c>
      <c r="H288" s="2" t="s">
        <v>3713</v>
      </c>
      <c r="I288" t="s">
        <v>3712</v>
      </c>
      <c r="K288" t="s">
        <v>3714</v>
      </c>
      <c r="L288">
        <v>5116881</v>
      </c>
      <c r="M288" t="s">
        <v>3715</v>
      </c>
      <c r="N288" t="s">
        <v>3716</v>
      </c>
      <c r="O288" t="s">
        <v>1484</v>
      </c>
      <c r="P288" t="s">
        <v>76</v>
      </c>
      <c r="Q288" t="s">
        <v>3717</v>
      </c>
      <c r="R288" t="s">
        <v>2815</v>
      </c>
      <c r="S288" t="s">
        <v>2816</v>
      </c>
      <c r="T288" t="s">
        <v>184</v>
      </c>
      <c r="U288" t="s">
        <v>112</v>
      </c>
      <c r="V288" t="s">
        <v>82</v>
      </c>
      <c r="W288" t="s">
        <v>2815</v>
      </c>
      <c r="X288" t="s">
        <v>2816</v>
      </c>
      <c r="Y288" t="s">
        <v>184</v>
      </c>
      <c r="Z288" t="s">
        <v>112</v>
      </c>
      <c r="AA288" t="s">
        <v>82</v>
      </c>
      <c r="AB288" t="s">
        <v>83</v>
      </c>
      <c r="AC288" t="s">
        <v>166</v>
      </c>
      <c r="AD288" t="s">
        <v>85</v>
      </c>
      <c r="AE288" t="s">
        <v>3718</v>
      </c>
      <c r="AF288" t="s">
        <v>85</v>
      </c>
      <c r="AG288" t="s">
        <v>3719</v>
      </c>
      <c r="AH288">
        <v>6</v>
      </c>
      <c r="AI288">
        <v>1223040</v>
      </c>
      <c r="AJ288">
        <v>130000</v>
      </c>
      <c r="AK288">
        <v>0</v>
      </c>
      <c r="AL288">
        <v>1353040</v>
      </c>
      <c r="AM288" t="s">
        <v>2815</v>
      </c>
      <c r="AN288" t="s">
        <v>2816</v>
      </c>
      <c r="AO288" t="s">
        <v>184</v>
      </c>
      <c r="AP288" t="s">
        <v>112</v>
      </c>
      <c r="AQ288" t="s">
        <v>82</v>
      </c>
      <c r="AR288" t="s">
        <v>3720</v>
      </c>
      <c r="AS288" s="3">
        <v>46202.465223658182</v>
      </c>
      <c r="AT288" t="s">
        <v>89</v>
      </c>
      <c r="AU288" t="s">
        <v>90</v>
      </c>
      <c r="AV288" t="s">
        <v>2712</v>
      </c>
      <c r="AW288" t="s">
        <v>92</v>
      </c>
      <c r="AX288" t="s">
        <v>2713</v>
      </c>
      <c r="AY288" t="s">
        <v>94</v>
      </c>
      <c r="AZ288" t="s">
        <v>85</v>
      </c>
      <c r="BA288" t="s">
        <v>3721</v>
      </c>
      <c r="BB288" t="s">
        <v>3710</v>
      </c>
      <c r="BC288" t="s">
        <v>3712</v>
      </c>
      <c r="BD288" t="s">
        <v>2815</v>
      </c>
      <c r="BE288" t="s">
        <v>2816</v>
      </c>
      <c r="BF288" t="b">
        <f t="shared" si="4"/>
        <v>1</v>
      </c>
      <c r="BG288" t="b">
        <v>1</v>
      </c>
      <c r="BH288">
        <v>2000</v>
      </c>
      <c r="BI288" t="b">
        <v>1</v>
      </c>
      <c r="BJ288" t="s">
        <v>2715</v>
      </c>
      <c r="BK288" t="s">
        <v>2821</v>
      </c>
      <c r="BL288" t="b">
        <v>1</v>
      </c>
      <c r="BM288" t="b">
        <v>1</v>
      </c>
      <c r="BN288" t="b">
        <v>1</v>
      </c>
      <c r="BO288" t="s">
        <v>3722</v>
      </c>
      <c r="BP288" t="b">
        <f>IF(IFERROR(VLOOKUP(A288,[1]Planilha1!$A:$A,1,0),FALSE)=FALSE,FALSE,TRUE)</f>
        <v>1</v>
      </c>
    </row>
    <row r="289" spans="1:68" x14ac:dyDescent="0.25">
      <c r="A289" t="s">
        <v>3723</v>
      </c>
      <c r="B289" t="s">
        <v>68</v>
      </c>
      <c r="D289" s="1">
        <v>46204</v>
      </c>
      <c r="E289" s="1">
        <v>47664</v>
      </c>
      <c r="F289" t="s">
        <v>3724</v>
      </c>
      <c r="G289" t="s">
        <v>3725</v>
      </c>
      <c r="H289" s="2" t="s">
        <v>3726</v>
      </c>
      <c r="I289" t="s">
        <v>3725</v>
      </c>
      <c r="K289" t="s">
        <v>3727</v>
      </c>
      <c r="L289">
        <v>5116441</v>
      </c>
      <c r="M289" t="s">
        <v>3728</v>
      </c>
      <c r="N289" t="s">
        <v>1576</v>
      </c>
      <c r="O289" t="s">
        <v>1577</v>
      </c>
      <c r="P289" t="s">
        <v>439</v>
      </c>
      <c r="Q289" t="s">
        <v>1578</v>
      </c>
      <c r="R289" t="s">
        <v>2972</v>
      </c>
      <c r="S289" t="s">
        <v>2973</v>
      </c>
      <c r="T289" t="s">
        <v>300</v>
      </c>
      <c r="U289" t="s">
        <v>301</v>
      </c>
      <c r="V289" t="s">
        <v>82</v>
      </c>
      <c r="W289" t="s">
        <v>2972</v>
      </c>
      <c r="X289" t="s">
        <v>2973</v>
      </c>
      <c r="Y289" t="s">
        <v>300</v>
      </c>
      <c r="Z289" t="s">
        <v>301</v>
      </c>
      <c r="AA289" t="s">
        <v>82</v>
      </c>
      <c r="AB289" t="s">
        <v>83</v>
      </c>
      <c r="AC289" t="s">
        <v>1135</v>
      </c>
      <c r="AD289" t="s">
        <v>252</v>
      </c>
      <c r="AE289" t="s">
        <v>3729</v>
      </c>
      <c r="AF289" t="s">
        <v>252</v>
      </c>
      <c r="AG289" t="s">
        <v>3730</v>
      </c>
      <c r="AH289">
        <v>4</v>
      </c>
      <c r="AI289">
        <v>641680</v>
      </c>
      <c r="AJ289">
        <v>69152</v>
      </c>
      <c r="AK289">
        <v>0</v>
      </c>
      <c r="AL289">
        <v>710832</v>
      </c>
      <c r="AM289" t="s">
        <v>2972</v>
      </c>
      <c r="AN289" t="s">
        <v>2973</v>
      </c>
      <c r="AO289" t="s">
        <v>300</v>
      </c>
      <c r="AP289" t="s">
        <v>301</v>
      </c>
      <c r="AQ289" t="s">
        <v>82</v>
      </c>
      <c r="AR289" t="s">
        <v>3731</v>
      </c>
      <c r="AS289" s="3">
        <v>46202.465223658182</v>
      </c>
      <c r="AT289" t="s">
        <v>89</v>
      </c>
      <c r="AU289" t="s">
        <v>90</v>
      </c>
      <c r="AV289" t="s">
        <v>2712</v>
      </c>
      <c r="AW289" t="s">
        <v>92</v>
      </c>
      <c r="AX289" t="s">
        <v>2713</v>
      </c>
      <c r="AY289" t="s">
        <v>94</v>
      </c>
      <c r="AZ289" t="s">
        <v>85</v>
      </c>
      <c r="BA289" t="s">
        <v>3732</v>
      </c>
      <c r="BB289" t="s">
        <v>3723</v>
      </c>
      <c r="BC289" t="s">
        <v>3725</v>
      </c>
      <c r="BD289" t="s">
        <v>2972</v>
      </c>
      <c r="BE289" t="s">
        <v>2973</v>
      </c>
      <c r="BF289" t="b">
        <f t="shared" si="4"/>
        <v>1</v>
      </c>
      <c r="BG289" t="b">
        <v>1</v>
      </c>
      <c r="BH289">
        <v>2007</v>
      </c>
      <c r="BI289" t="b">
        <v>1</v>
      </c>
      <c r="BJ289" t="s">
        <v>2715</v>
      </c>
      <c r="BK289" t="s">
        <v>2978</v>
      </c>
      <c r="BL289" t="b">
        <v>1</v>
      </c>
      <c r="BM289" t="b">
        <v>1</v>
      </c>
      <c r="BN289" t="b">
        <v>1</v>
      </c>
      <c r="BO289" t="s">
        <v>3733</v>
      </c>
      <c r="BP289" t="b">
        <f>IF(IFERROR(VLOOKUP(A289,[1]Planilha1!$A:$A,1,0),FALSE)=FALSE,FALSE,TRUE)</f>
        <v>1</v>
      </c>
    </row>
    <row r="290" spans="1:68" x14ac:dyDescent="0.25">
      <c r="A290" t="s">
        <v>3734</v>
      </c>
      <c r="B290" t="s">
        <v>68</v>
      </c>
      <c r="D290" s="1">
        <v>46204</v>
      </c>
      <c r="E290" s="1">
        <v>47664</v>
      </c>
      <c r="F290" t="s">
        <v>3735</v>
      </c>
      <c r="G290" t="s">
        <v>3736</v>
      </c>
      <c r="H290" s="2" t="s">
        <v>3737</v>
      </c>
      <c r="I290" t="s">
        <v>3736</v>
      </c>
      <c r="K290" t="s">
        <v>3738</v>
      </c>
      <c r="L290">
        <v>5116653</v>
      </c>
      <c r="M290" t="s">
        <v>3739</v>
      </c>
      <c r="N290" t="s">
        <v>328</v>
      </c>
      <c r="O290" t="s">
        <v>329</v>
      </c>
      <c r="P290" t="s">
        <v>439</v>
      </c>
      <c r="Q290" t="s">
        <v>440</v>
      </c>
      <c r="R290" t="s">
        <v>2800</v>
      </c>
      <c r="S290" t="s">
        <v>2801</v>
      </c>
      <c r="T290" t="s">
        <v>111</v>
      </c>
      <c r="U290" t="s">
        <v>112</v>
      </c>
      <c r="V290" t="s">
        <v>82</v>
      </c>
      <c r="W290" t="s">
        <v>2800</v>
      </c>
      <c r="X290" t="s">
        <v>2801</v>
      </c>
      <c r="Y290" t="s">
        <v>111</v>
      </c>
      <c r="Z290" t="s">
        <v>112</v>
      </c>
      <c r="AA290" t="s">
        <v>82</v>
      </c>
      <c r="AB290" t="s">
        <v>83</v>
      </c>
      <c r="AC290" t="s">
        <v>333</v>
      </c>
      <c r="AD290" t="s">
        <v>149</v>
      </c>
      <c r="AE290" t="s">
        <v>3740</v>
      </c>
      <c r="AF290" t="s">
        <v>85</v>
      </c>
      <c r="AG290" t="s">
        <v>3741</v>
      </c>
      <c r="AH290">
        <v>171</v>
      </c>
      <c r="AI290">
        <v>1347480</v>
      </c>
      <c r="AJ290">
        <v>134659.20000000001</v>
      </c>
      <c r="AK290">
        <v>0</v>
      </c>
      <c r="AL290">
        <v>1482139.2</v>
      </c>
      <c r="AR290" t="s">
        <v>3742</v>
      </c>
      <c r="AS290" s="3">
        <v>46202.465223658182</v>
      </c>
      <c r="AT290" t="s">
        <v>89</v>
      </c>
      <c r="AU290" t="s">
        <v>90</v>
      </c>
      <c r="AV290" t="s">
        <v>2712</v>
      </c>
      <c r="AW290" t="s">
        <v>92</v>
      </c>
      <c r="AX290" t="s">
        <v>2713</v>
      </c>
      <c r="AY290" t="s">
        <v>94</v>
      </c>
      <c r="AZ290" t="s">
        <v>85</v>
      </c>
      <c r="BA290" t="s">
        <v>3743</v>
      </c>
      <c r="BB290" t="s">
        <v>3734</v>
      </c>
      <c r="BC290" t="s">
        <v>3736</v>
      </c>
      <c r="BD290" t="s">
        <v>2800</v>
      </c>
      <c r="BE290" t="s">
        <v>2801</v>
      </c>
      <c r="BF290" t="b">
        <f t="shared" si="4"/>
        <v>1</v>
      </c>
      <c r="BG290" t="b">
        <v>1</v>
      </c>
      <c r="BH290">
        <v>2014</v>
      </c>
      <c r="BI290" t="b">
        <v>1</v>
      </c>
      <c r="BJ290" t="s">
        <v>2715</v>
      </c>
      <c r="BK290" t="s">
        <v>2806</v>
      </c>
      <c r="BL290" t="b">
        <v>1</v>
      </c>
      <c r="BM290" t="b">
        <v>1</v>
      </c>
      <c r="BN290" t="b">
        <v>0</v>
      </c>
      <c r="BO290" t="s">
        <v>3744</v>
      </c>
      <c r="BP290" t="b">
        <f>IF(IFERROR(VLOOKUP(A290,[1]Planilha1!$A:$A,1,0),FALSE)=FALSE,FALSE,TRUE)</f>
        <v>1</v>
      </c>
    </row>
    <row r="291" spans="1:68" x14ac:dyDescent="0.25">
      <c r="A291" t="s">
        <v>3745</v>
      </c>
      <c r="B291" t="s">
        <v>68</v>
      </c>
      <c r="D291" s="1">
        <v>46204</v>
      </c>
      <c r="E291" s="1">
        <v>47664</v>
      </c>
      <c r="F291" t="s">
        <v>3746</v>
      </c>
      <c r="G291" t="s">
        <v>3747</v>
      </c>
      <c r="H291" s="2" t="s">
        <v>3748</v>
      </c>
      <c r="I291" t="s">
        <v>3747</v>
      </c>
      <c r="K291" t="s">
        <v>3749</v>
      </c>
      <c r="L291">
        <v>5116784</v>
      </c>
      <c r="M291" t="s">
        <v>3750</v>
      </c>
      <c r="N291" t="s">
        <v>2017</v>
      </c>
      <c r="O291" t="s">
        <v>2018</v>
      </c>
      <c r="P291" t="s">
        <v>230</v>
      </c>
      <c r="Q291" t="s">
        <v>2019</v>
      </c>
      <c r="R291" t="s">
        <v>2972</v>
      </c>
      <c r="S291" t="s">
        <v>2973</v>
      </c>
      <c r="T291" t="s">
        <v>300</v>
      </c>
      <c r="U291" t="s">
        <v>301</v>
      </c>
      <c r="V291" t="s">
        <v>82</v>
      </c>
      <c r="W291" t="s">
        <v>2972</v>
      </c>
      <c r="X291" t="s">
        <v>2973</v>
      </c>
      <c r="Y291" t="s">
        <v>300</v>
      </c>
      <c r="Z291" t="s">
        <v>301</v>
      </c>
      <c r="AA291" t="s">
        <v>82</v>
      </c>
      <c r="AB291" t="s">
        <v>83</v>
      </c>
      <c r="AC291" t="s">
        <v>1013</v>
      </c>
      <c r="AD291" t="s">
        <v>149</v>
      </c>
      <c r="AE291" t="s">
        <v>3751</v>
      </c>
      <c r="AF291" t="s">
        <v>85</v>
      </c>
      <c r="AG291" t="s">
        <v>3752</v>
      </c>
      <c r="AH291">
        <v>13</v>
      </c>
      <c r="AI291">
        <v>632880</v>
      </c>
      <c r="AJ291">
        <v>63288</v>
      </c>
      <c r="AK291">
        <v>0</v>
      </c>
      <c r="AL291">
        <v>696168</v>
      </c>
      <c r="AM291" t="s">
        <v>2972</v>
      </c>
      <c r="AN291" t="s">
        <v>2973</v>
      </c>
      <c r="AO291" t="s">
        <v>300</v>
      </c>
      <c r="AP291" t="s">
        <v>301</v>
      </c>
      <c r="AQ291" t="s">
        <v>82</v>
      </c>
      <c r="AR291" t="s">
        <v>3753</v>
      </c>
      <c r="AS291" s="3">
        <v>46202.465223658182</v>
      </c>
      <c r="AT291" t="s">
        <v>89</v>
      </c>
      <c r="AU291" t="s">
        <v>90</v>
      </c>
      <c r="AV291" t="s">
        <v>2712</v>
      </c>
      <c r="AW291" t="s">
        <v>92</v>
      </c>
      <c r="AX291" t="s">
        <v>2713</v>
      </c>
      <c r="AY291" t="s">
        <v>94</v>
      </c>
      <c r="AZ291" t="s">
        <v>85</v>
      </c>
      <c r="BA291" t="s">
        <v>3754</v>
      </c>
      <c r="BB291" t="s">
        <v>3745</v>
      </c>
      <c r="BC291" t="s">
        <v>3747</v>
      </c>
      <c r="BD291" t="s">
        <v>2972</v>
      </c>
      <c r="BE291" t="s">
        <v>2973</v>
      </c>
      <c r="BF291" t="b">
        <f t="shared" si="4"/>
        <v>1</v>
      </c>
      <c r="BG291" t="b">
        <v>1</v>
      </c>
      <c r="BH291">
        <v>2024</v>
      </c>
      <c r="BI291" t="b">
        <v>1</v>
      </c>
      <c r="BJ291" t="s">
        <v>2715</v>
      </c>
      <c r="BK291" t="s">
        <v>2978</v>
      </c>
      <c r="BL291" t="b">
        <v>1</v>
      </c>
      <c r="BM291" t="b">
        <v>1</v>
      </c>
      <c r="BN291" t="b">
        <v>1</v>
      </c>
      <c r="BO291" t="s">
        <v>3755</v>
      </c>
      <c r="BP291" t="b">
        <f>IF(IFERROR(VLOOKUP(A291,[1]Planilha1!$A:$A,1,0),FALSE)=FALSE,FALSE,TRUE)</f>
        <v>1</v>
      </c>
    </row>
    <row r="292" spans="1:68" x14ac:dyDescent="0.25">
      <c r="A292" t="s">
        <v>3756</v>
      </c>
      <c r="B292" t="s">
        <v>68</v>
      </c>
      <c r="D292" s="1">
        <v>46204</v>
      </c>
      <c r="E292" s="1">
        <v>47664</v>
      </c>
      <c r="F292" t="s">
        <v>3757</v>
      </c>
      <c r="G292" t="s">
        <v>3758</v>
      </c>
      <c r="H292" s="2" t="s">
        <v>3759</v>
      </c>
      <c r="I292" t="s">
        <v>3758</v>
      </c>
      <c r="K292" t="s">
        <v>3760</v>
      </c>
      <c r="L292">
        <v>5116841</v>
      </c>
      <c r="M292" t="s">
        <v>3761</v>
      </c>
      <c r="N292" t="s">
        <v>2109</v>
      </c>
      <c r="O292" t="s">
        <v>2018</v>
      </c>
      <c r="P292" t="s">
        <v>230</v>
      </c>
      <c r="Q292" t="s">
        <v>3473</v>
      </c>
      <c r="R292" t="s">
        <v>2972</v>
      </c>
      <c r="S292" t="s">
        <v>2973</v>
      </c>
      <c r="T292" t="s">
        <v>300</v>
      </c>
      <c r="U292" t="s">
        <v>301</v>
      </c>
      <c r="V292" t="s">
        <v>82</v>
      </c>
      <c r="W292" t="s">
        <v>2972</v>
      </c>
      <c r="X292" t="s">
        <v>2973</v>
      </c>
      <c r="Y292" t="s">
        <v>300</v>
      </c>
      <c r="Z292" t="s">
        <v>301</v>
      </c>
      <c r="AA292" t="s">
        <v>82</v>
      </c>
      <c r="AB292" t="s">
        <v>83</v>
      </c>
      <c r="AC292" t="s">
        <v>1013</v>
      </c>
      <c r="AD292" t="s">
        <v>85</v>
      </c>
      <c r="AE292" t="s">
        <v>3762</v>
      </c>
      <c r="AF292" t="s">
        <v>85</v>
      </c>
      <c r="AG292" t="s">
        <v>3763</v>
      </c>
      <c r="AH292">
        <v>7</v>
      </c>
      <c r="AI292">
        <v>1353600</v>
      </c>
      <c r="AJ292">
        <v>145000</v>
      </c>
      <c r="AK292">
        <v>0</v>
      </c>
      <c r="AL292">
        <v>1498600</v>
      </c>
      <c r="AM292" t="s">
        <v>2972</v>
      </c>
      <c r="AN292" t="s">
        <v>2973</v>
      </c>
      <c r="AO292" t="s">
        <v>300</v>
      </c>
      <c r="AP292" t="s">
        <v>301</v>
      </c>
      <c r="AQ292" t="s">
        <v>82</v>
      </c>
      <c r="AR292" t="s">
        <v>3764</v>
      </c>
      <c r="AS292" s="3">
        <v>46202.465223658182</v>
      </c>
      <c r="AT292" t="s">
        <v>89</v>
      </c>
      <c r="AU292" t="s">
        <v>90</v>
      </c>
      <c r="AV292" t="s">
        <v>2712</v>
      </c>
      <c r="AW292" t="s">
        <v>92</v>
      </c>
      <c r="AX292" t="s">
        <v>2713</v>
      </c>
      <c r="AY292" t="s">
        <v>94</v>
      </c>
      <c r="AZ292" t="s">
        <v>85</v>
      </c>
      <c r="BA292" t="s">
        <v>3765</v>
      </c>
      <c r="BB292" t="s">
        <v>3756</v>
      </c>
      <c r="BC292" t="s">
        <v>3758</v>
      </c>
      <c r="BD292" t="s">
        <v>2972</v>
      </c>
      <c r="BE292" t="s">
        <v>2973</v>
      </c>
      <c r="BF292" t="b">
        <f t="shared" si="4"/>
        <v>1</v>
      </c>
      <c r="BG292" t="b">
        <v>1</v>
      </c>
      <c r="BH292">
        <v>2014</v>
      </c>
      <c r="BI292" t="b">
        <v>1</v>
      </c>
      <c r="BJ292" t="s">
        <v>2715</v>
      </c>
      <c r="BK292" t="s">
        <v>2978</v>
      </c>
      <c r="BL292" t="b">
        <v>1</v>
      </c>
      <c r="BM292" t="b">
        <v>1</v>
      </c>
      <c r="BN292" t="b">
        <v>1</v>
      </c>
      <c r="BO292" t="s">
        <v>3766</v>
      </c>
      <c r="BP292" t="b">
        <f>IF(IFERROR(VLOOKUP(A292,[1]Planilha1!$A:$A,1,0),FALSE)=FALSE,FALSE,TRUE)</f>
        <v>1</v>
      </c>
    </row>
    <row r="293" spans="1:68" x14ac:dyDescent="0.25">
      <c r="A293" t="s">
        <v>3767</v>
      </c>
      <c r="B293" t="s">
        <v>68</v>
      </c>
      <c r="D293" s="1">
        <v>46204</v>
      </c>
      <c r="E293" s="1">
        <v>47664</v>
      </c>
      <c r="F293" t="s">
        <v>3768</v>
      </c>
      <c r="G293" t="s">
        <v>3769</v>
      </c>
      <c r="H293" s="2" t="s">
        <v>3770</v>
      </c>
      <c r="I293" t="s">
        <v>3769</v>
      </c>
      <c r="K293" t="s">
        <v>3771</v>
      </c>
      <c r="L293">
        <v>5116801</v>
      </c>
      <c r="M293" t="s">
        <v>3772</v>
      </c>
      <c r="N293" t="s">
        <v>359</v>
      </c>
      <c r="O293" t="s">
        <v>360</v>
      </c>
      <c r="P293" t="s">
        <v>129</v>
      </c>
      <c r="Q293" t="s">
        <v>3497</v>
      </c>
      <c r="R293" t="s">
        <v>2972</v>
      </c>
      <c r="S293" t="s">
        <v>2973</v>
      </c>
      <c r="T293" t="s">
        <v>300</v>
      </c>
      <c r="U293" t="s">
        <v>301</v>
      </c>
      <c r="V293" t="s">
        <v>82</v>
      </c>
      <c r="W293" t="s">
        <v>2972</v>
      </c>
      <c r="X293" t="s">
        <v>2973</v>
      </c>
      <c r="Y293" t="s">
        <v>300</v>
      </c>
      <c r="Z293" t="s">
        <v>301</v>
      </c>
      <c r="AA293" t="s">
        <v>82</v>
      </c>
      <c r="AB293" t="s">
        <v>83</v>
      </c>
      <c r="AC293" t="s">
        <v>185</v>
      </c>
      <c r="AD293" t="s">
        <v>85</v>
      </c>
      <c r="AE293" t="s">
        <v>3773</v>
      </c>
      <c r="AF293" t="s">
        <v>85</v>
      </c>
      <c r="AG293" t="s">
        <v>3774</v>
      </c>
      <c r="AH293">
        <v>4</v>
      </c>
      <c r="AI293">
        <v>636480</v>
      </c>
      <c r="AJ293">
        <v>63648</v>
      </c>
      <c r="AK293">
        <v>0</v>
      </c>
      <c r="AL293">
        <v>700128</v>
      </c>
      <c r="AM293" t="s">
        <v>2972</v>
      </c>
      <c r="AN293" t="s">
        <v>2973</v>
      </c>
      <c r="AO293" t="s">
        <v>300</v>
      </c>
      <c r="AP293" t="s">
        <v>301</v>
      </c>
      <c r="AQ293" t="s">
        <v>82</v>
      </c>
      <c r="AR293" t="s">
        <v>3775</v>
      </c>
      <c r="AS293" s="3">
        <v>46202.465223658182</v>
      </c>
      <c r="AT293" t="s">
        <v>89</v>
      </c>
      <c r="AU293" t="s">
        <v>90</v>
      </c>
      <c r="AV293" t="s">
        <v>2712</v>
      </c>
      <c r="AW293" t="s">
        <v>92</v>
      </c>
      <c r="AX293" t="s">
        <v>2713</v>
      </c>
      <c r="AY293" t="s">
        <v>94</v>
      </c>
      <c r="AZ293" t="s">
        <v>85</v>
      </c>
      <c r="BA293" t="s">
        <v>3776</v>
      </c>
      <c r="BB293" t="s">
        <v>3767</v>
      </c>
      <c r="BC293" t="s">
        <v>3769</v>
      </c>
      <c r="BD293" t="s">
        <v>2972</v>
      </c>
      <c r="BE293" t="s">
        <v>2973</v>
      </c>
      <c r="BF293" t="b">
        <f t="shared" si="4"/>
        <v>1</v>
      </c>
      <c r="BG293" t="b">
        <v>1</v>
      </c>
      <c r="BH293">
        <v>2024</v>
      </c>
      <c r="BI293" t="b">
        <v>1</v>
      </c>
      <c r="BJ293" t="s">
        <v>2715</v>
      </c>
      <c r="BK293" t="s">
        <v>2978</v>
      </c>
      <c r="BL293" t="b">
        <v>1</v>
      </c>
      <c r="BM293" t="b">
        <v>1</v>
      </c>
      <c r="BN293" t="b">
        <v>1</v>
      </c>
      <c r="BO293" t="s">
        <v>3777</v>
      </c>
      <c r="BP293" t="b">
        <f>IF(IFERROR(VLOOKUP(A293,[1]Planilha1!$A:$A,1,0),FALSE)=FALSE,FALSE,TRUE)</f>
        <v>1</v>
      </c>
    </row>
    <row r="294" spans="1:68" x14ac:dyDescent="0.25">
      <c r="A294" t="s">
        <v>3778</v>
      </c>
      <c r="B294" t="s">
        <v>68</v>
      </c>
      <c r="D294" s="1">
        <v>46204</v>
      </c>
      <c r="E294" s="1">
        <v>47664</v>
      </c>
      <c r="F294" t="s">
        <v>3779</v>
      </c>
      <c r="G294" t="s">
        <v>3780</v>
      </c>
      <c r="H294" s="2" t="s">
        <v>3781</v>
      </c>
      <c r="I294" t="s">
        <v>3780</v>
      </c>
      <c r="K294" t="s">
        <v>3782</v>
      </c>
      <c r="L294">
        <v>5116705</v>
      </c>
      <c r="M294" t="s">
        <v>3783</v>
      </c>
      <c r="N294" t="s">
        <v>2109</v>
      </c>
      <c r="O294" t="s">
        <v>2018</v>
      </c>
      <c r="P294" t="s">
        <v>230</v>
      </c>
      <c r="Q294" t="s">
        <v>3473</v>
      </c>
      <c r="R294" t="s">
        <v>2972</v>
      </c>
      <c r="S294" t="s">
        <v>2973</v>
      </c>
      <c r="T294" t="s">
        <v>300</v>
      </c>
      <c r="U294" t="s">
        <v>301</v>
      </c>
      <c r="V294" t="s">
        <v>82</v>
      </c>
      <c r="W294" t="s">
        <v>2972</v>
      </c>
      <c r="X294" t="s">
        <v>2973</v>
      </c>
      <c r="Y294" t="s">
        <v>300</v>
      </c>
      <c r="Z294" t="s">
        <v>301</v>
      </c>
      <c r="AA294" t="s">
        <v>82</v>
      </c>
      <c r="AB294" t="s">
        <v>83</v>
      </c>
      <c r="AC294" t="s">
        <v>1013</v>
      </c>
      <c r="AD294" t="s">
        <v>149</v>
      </c>
      <c r="AE294" t="s">
        <v>3784</v>
      </c>
      <c r="AF294" t="s">
        <v>85</v>
      </c>
      <c r="AG294" t="s">
        <v>3785</v>
      </c>
      <c r="AH294">
        <v>5</v>
      </c>
      <c r="AI294">
        <v>886080</v>
      </c>
      <c r="AJ294">
        <v>115186.85</v>
      </c>
      <c r="AK294">
        <v>0</v>
      </c>
      <c r="AL294">
        <v>1001266.85</v>
      </c>
      <c r="AM294" t="s">
        <v>2972</v>
      </c>
      <c r="AN294" t="s">
        <v>2973</v>
      </c>
      <c r="AO294" t="s">
        <v>300</v>
      </c>
      <c r="AP294" t="s">
        <v>301</v>
      </c>
      <c r="AQ294" t="s">
        <v>82</v>
      </c>
      <c r="AR294" t="s">
        <v>3786</v>
      </c>
      <c r="AS294" s="3">
        <v>46202.465223658182</v>
      </c>
      <c r="AT294" t="s">
        <v>89</v>
      </c>
      <c r="AU294" t="s">
        <v>90</v>
      </c>
      <c r="AV294" t="s">
        <v>2712</v>
      </c>
      <c r="AW294" t="s">
        <v>92</v>
      </c>
      <c r="AX294" t="s">
        <v>2713</v>
      </c>
      <c r="AY294" t="s">
        <v>94</v>
      </c>
      <c r="AZ294" t="s">
        <v>85</v>
      </c>
      <c r="BA294" t="s">
        <v>3787</v>
      </c>
      <c r="BB294" t="s">
        <v>3778</v>
      </c>
      <c r="BC294" t="s">
        <v>3780</v>
      </c>
      <c r="BD294" t="s">
        <v>2972</v>
      </c>
      <c r="BE294" t="s">
        <v>2973</v>
      </c>
      <c r="BF294" t="b">
        <f t="shared" si="4"/>
        <v>1</v>
      </c>
      <c r="BG294" t="b">
        <v>1</v>
      </c>
      <c r="BH294">
        <v>2021</v>
      </c>
      <c r="BI294" t="b">
        <v>1</v>
      </c>
      <c r="BJ294" t="s">
        <v>2715</v>
      </c>
      <c r="BK294" t="s">
        <v>2978</v>
      </c>
      <c r="BL294" t="b">
        <v>1</v>
      </c>
      <c r="BM294" t="b">
        <v>1</v>
      </c>
      <c r="BN294" t="b">
        <v>1</v>
      </c>
      <c r="BO294" t="s">
        <v>3788</v>
      </c>
      <c r="BP294" t="b">
        <f>IF(IFERROR(VLOOKUP(A294,[1]Planilha1!$A:$A,1,0),FALSE)=FALSE,FALSE,TRUE)</f>
        <v>1</v>
      </c>
    </row>
    <row r="295" spans="1:68" x14ac:dyDescent="0.25">
      <c r="A295" t="s">
        <v>3789</v>
      </c>
      <c r="B295" t="s">
        <v>68</v>
      </c>
      <c r="D295" s="1">
        <v>46204</v>
      </c>
      <c r="E295" s="1">
        <v>47664</v>
      </c>
      <c r="F295" t="s">
        <v>3790</v>
      </c>
      <c r="G295" t="s">
        <v>3791</v>
      </c>
      <c r="H295" s="2" t="s">
        <v>3792</v>
      </c>
      <c r="I295" t="s">
        <v>3791</v>
      </c>
      <c r="K295" t="s">
        <v>3793</v>
      </c>
      <c r="L295">
        <v>5116629</v>
      </c>
      <c r="M295" t="s">
        <v>3794</v>
      </c>
      <c r="N295" t="s">
        <v>2109</v>
      </c>
      <c r="O295" t="s">
        <v>2018</v>
      </c>
      <c r="P295" t="s">
        <v>230</v>
      </c>
      <c r="Q295" t="s">
        <v>3473</v>
      </c>
      <c r="R295" t="s">
        <v>2972</v>
      </c>
      <c r="S295" t="s">
        <v>2973</v>
      </c>
      <c r="T295" t="s">
        <v>300</v>
      </c>
      <c r="U295" t="s">
        <v>301</v>
      </c>
      <c r="V295" t="s">
        <v>82</v>
      </c>
      <c r="W295" t="s">
        <v>2972</v>
      </c>
      <c r="X295" t="s">
        <v>2973</v>
      </c>
      <c r="Y295" t="s">
        <v>300</v>
      </c>
      <c r="Z295" t="s">
        <v>301</v>
      </c>
      <c r="AA295" t="s">
        <v>82</v>
      </c>
      <c r="AB295" t="s">
        <v>83</v>
      </c>
      <c r="AC295" t="s">
        <v>1013</v>
      </c>
      <c r="AD295" t="s">
        <v>85</v>
      </c>
      <c r="AE295" t="s">
        <v>3795</v>
      </c>
      <c r="AF295" t="s">
        <v>85</v>
      </c>
      <c r="AG295" t="s">
        <v>3796</v>
      </c>
      <c r="AH295">
        <v>8</v>
      </c>
      <c r="AI295">
        <v>960000</v>
      </c>
      <c r="AJ295">
        <v>1500000</v>
      </c>
      <c r="AK295">
        <v>0</v>
      </c>
      <c r="AL295">
        <v>2460000</v>
      </c>
      <c r="AM295" t="s">
        <v>2972</v>
      </c>
      <c r="AN295" t="s">
        <v>2973</v>
      </c>
      <c r="AO295" t="s">
        <v>300</v>
      </c>
      <c r="AP295" t="s">
        <v>301</v>
      </c>
      <c r="AQ295" t="s">
        <v>82</v>
      </c>
      <c r="AR295" t="s">
        <v>3797</v>
      </c>
      <c r="AS295" s="3">
        <v>46202.465223658182</v>
      </c>
      <c r="AT295" t="s">
        <v>89</v>
      </c>
      <c r="AU295" t="s">
        <v>90</v>
      </c>
      <c r="AV295" t="s">
        <v>2712</v>
      </c>
      <c r="AW295" t="s">
        <v>92</v>
      </c>
      <c r="AX295" t="s">
        <v>2713</v>
      </c>
      <c r="AY295" t="s">
        <v>94</v>
      </c>
      <c r="AZ295" t="s">
        <v>85</v>
      </c>
      <c r="BA295" t="s">
        <v>3798</v>
      </c>
      <c r="BB295" t="s">
        <v>3789</v>
      </c>
      <c r="BC295" t="s">
        <v>3791</v>
      </c>
      <c r="BD295" t="s">
        <v>2972</v>
      </c>
      <c r="BE295" t="s">
        <v>2973</v>
      </c>
      <c r="BF295" t="b">
        <f t="shared" si="4"/>
        <v>1</v>
      </c>
      <c r="BG295" t="b">
        <v>1</v>
      </c>
      <c r="BH295">
        <v>2014</v>
      </c>
      <c r="BI295" t="b">
        <v>1</v>
      </c>
      <c r="BJ295" t="s">
        <v>2715</v>
      </c>
      <c r="BK295" t="s">
        <v>2978</v>
      </c>
      <c r="BL295" t="b">
        <v>1</v>
      </c>
      <c r="BM295" t="b">
        <v>1</v>
      </c>
      <c r="BN295" t="b">
        <v>1</v>
      </c>
      <c r="BO295" t="s">
        <v>3799</v>
      </c>
      <c r="BP295" t="b">
        <f>IF(IFERROR(VLOOKUP(A295,[1]Planilha1!$A:$A,1,0),FALSE)=FALSE,FALSE,TRUE)</f>
        <v>1</v>
      </c>
    </row>
    <row r="296" spans="1:68" x14ac:dyDescent="0.25">
      <c r="A296" t="s">
        <v>3800</v>
      </c>
      <c r="B296" t="s">
        <v>68</v>
      </c>
      <c r="D296" s="1">
        <v>46204</v>
      </c>
      <c r="E296" s="1">
        <v>47664</v>
      </c>
      <c r="F296" t="s">
        <v>3801</v>
      </c>
      <c r="G296" t="s">
        <v>3802</v>
      </c>
      <c r="H296" s="2" t="s">
        <v>3803</v>
      </c>
      <c r="I296" t="s">
        <v>3802</v>
      </c>
      <c r="K296" t="s">
        <v>3804</v>
      </c>
      <c r="L296">
        <v>5116660</v>
      </c>
      <c r="M296" t="s">
        <v>3805</v>
      </c>
      <c r="N296" t="s">
        <v>161</v>
      </c>
      <c r="O296" t="s">
        <v>162</v>
      </c>
      <c r="P296" t="s">
        <v>76</v>
      </c>
      <c r="Q296" t="s">
        <v>1277</v>
      </c>
      <c r="R296" t="s">
        <v>2707</v>
      </c>
      <c r="S296" t="s">
        <v>2708</v>
      </c>
      <c r="T296" t="s">
        <v>184</v>
      </c>
      <c r="U296" t="s">
        <v>112</v>
      </c>
      <c r="V296" t="s">
        <v>82</v>
      </c>
      <c r="W296" t="s">
        <v>2707</v>
      </c>
      <c r="X296" t="s">
        <v>2708</v>
      </c>
      <c r="Y296" t="s">
        <v>184</v>
      </c>
      <c r="Z296" t="s">
        <v>112</v>
      </c>
      <c r="AA296" t="s">
        <v>82</v>
      </c>
      <c r="AB296" t="s">
        <v>83</v>
      </c>
      <c r="AC296" t="s">
        <v>166</v>
      </c>
      <c r="AD296" t="s">
        <v>149</v>
      </c>
      <c r="AE296" t="s">
        <v>3806</v>
      </c>
      <c r="AF296" t="s">
        <v>85</v>
      </c>
      <c r="AG296" t="s">
        <v>3807</v>
      </c>
      <c r="AH296">
        <v>9</v>
      </c>
      <c r="AI296">
        <v>1396800</v>
      </c>
      <c r="AJ296">
        <v>136063.20000000001</v>
      </c>
      <c r="AK296">
        <v>0</v>
      </c>
      <c r="AL296">
        <v>1532863.2</v>
      </c>
      <c r="AM296" t="s">
        <v>2707</v>
      </c>
      <c r="AN296" t="s">
        <v>2708</v>
      </c>
      <c r="AO296" t="s">
        <v>184</v>
      </c>
      <c r="AP296" t="s">
        <v>112</v>
      </c>
      <c r="AQ296" t="s">
        <v>82</v>
      </c>
      <c r="AR296" t="s">
        <v>3808</v>
      </c>
      <c r="AS296" s="3">
        <v>46202.465223658182</v>
      </c>
      <c r="AT296" t="s">
        <v>89</v>
      </c>
      <c r="AU296" t="s">
        <v>90</v>
      </c>
      <c r="AV296" t="s">
        <v>2712</v>
      </c>
      <c r="AW296" t="s">
        <v>92</v>
      </c>
      <c r="AX296" t="s">
        <v>2713</v>
      </c>
      <c r="AY296" t="s">
        <v>94</v>
      </c>
      <c r="AZ296" t="s">
        <v>85</v>
      </c>
      <c r="BA296" t="s">
        <v>3809</v>
      </c>
      <c r="BB296" t="s">
        <v>3800</v>
      </c>
      <c r="BC296" t="s">
        <v>3802</v>
      </c>
      <c r="BD296" t="s">
        <v>2707</v>
      </c>
      <c r="BE296" t="s">
        <v>2708</v>
      </c>
      <c r="BF296" t="b">
        <f t="shared" si="4"/>
        <v>1</v>
      </c>
      <c r="BG296" t="b">
        <v>1</v>
      </c>
      <c r="BH296">
        <v>2010</v>
      </c>
      <c r="BI296" t="b">
        <v>1</v>
      </c>
      <c r="BJ296" t="s">
        <v>2715</v>
      </c>
      <c r="BK296" t="s">
        <v>2716</v>
      </c>
      <c r="BL296" t="b">
        <v>1</v>
      </c>
      <c r="BM296" t="b">
        <v>1</v>
      </c>
      <c r="BN296" t="b">
        <v>1</v>
      </c>
      <c r="BO296" t="s">
        <v>3810</v>
      </c>
      <c r="BP296" t="b">
        <f>IF(IFERROR(VLOOKUP(A296,[1]Planilha1!$A:$A,1,0),FALSE)=FALSE,FALSE,TRUE)</f>
        <v>1</v>
      </c>
    </row>
    <row r="297" spans="1:68" x14ac:dyDescent="0.25">
      <c r="A297" t="s">
        <v>3811</v>
      </c>
      <c r="B297" t="s">
        <v>68</v>
      </c>
      <c r="D297" s="1">
        <v>46204</v>
      </c>
      <c r="E297" s="1">
        <v>47664</v>
      </c>
      <c r="F297" t="s">
        <v>3812</v>
      </c>
      <c r="G297" t="s">
        <v>3813</v>
      </c>
      <c r="H297" s="2" t="s">
        <v>3814</v>
      </c>
      <c r="I297" t="s">
        <v>3813</v>
      </c>
      <c r="K297" t="s">
        <v>3815</v>
      </c>
      <c r="L297">
        <v>5116725</v>
      </c>
      <c r="M297" t="s">
        <v>3816</v>
      </c>
      <c r="N297" t="s">
        <v>1025</v>
      </c>
      <c r="O297" t="s">
        <v>715</v>
      </c>
      <c r="P297" t="s">
        <v>107</v>
      </c>
      <c r="Q297" t="s">
        <v>3817</v>
      </c>
      <c r="R297" t="s">
        <v>2815</v>
      </c>
      <c r="S297" t="s">
        <v>2816</v>
      </c>
      <c r="T297" t="s">
        <v>184</v>
      </c>
      <c r="U297" t="s">
        <v>112</v>
      </c>
      <c r="V297" t="s">
        <v>82</v>
      </c>
      <c r="W297" t="s">
        <v>2815</v>
      </c>
      <c r="X297" t="s">
        <v>2816</v>
      </c>
      <c r="Y297" t="s">
        <v>184</v>
      </c>
      <c r="Z297" t="s">
        <v>112</v>
      </c>
      <c r="AA297" t="s">
        <v>82</v>
      </c>
      <c r="AB297" t="s">
        <v>83</v>
      </c>
      <c r="AC297" t="s">
        <v>113</v>
      </c>
      <c r="AD297" t="s">
        <v>149</v>
      </c>
      <c r="AE297" t="s">
        <v>3818</v>
      </c>
      <c r="AF297" t="s">
        <v>85</v>
      </c>
      <c r="AG297" t="s">
        <v>3819</v>
      </c>
      <c r="AH297">
        <v>2</v>
      </c>
      <c r="AI297">
        <v>230880</v>
      </c>
      <c r="AJ297">
        <v>32000</v>
      </c>
      <c r="AK297">
        <v>0</v>
      </c>
      <c r="AL297">
        <v>262880</v>
      </c>
      <c r="AM297" t="s">
        <v>2815</v>
      </c>
      <c r="AN297" t="s">
        <v>2816</v>
      </c>
      <c r="AO297" t="s">
        <v>184</v>
      </c>
      <c r="AP297" t="s">
        <v>112</v>
      </c>
      <c r="AQ297" t="s">
        <v>82</v>
      </c>
      <c r="AR297" t="s">
        <v>3820</v>
      </c>
      <c r="AS297" s="3">
        <v>46202.465223658182</v>
      </c>
      <c r="AT297" t="s">
        <v>89</v>
      </c>
      <c r="AU297" t="s">
        <v>90</v>
      </c>
      <c r="AV297" t="s">
        <v>2712</v>
      </c>
      <c r="AW297" t="s">
        <v>92</v>
      </c>
      <c r="AX297" t="s">
        <v>2713</v>
      </c>
      <c r="AY297" t="s">
        <v>94</v>
      </c>
      <c r="AZ297" t="s">
        <v>85</v>
      </c>
      <c r="BA297" t="s">
        <v>3821</v>
      </c>
      <c r="BB297" t="s">
        <v>3811</v>
      </c>
      <c r="BC297" t="s">
        <v>3813</v>
      </c>
      <c r="BD297" t="s">
        <v>2815</v>
      </c>
      <c r="BE297" t="s">
        <v>2816</v>
      </c>
      <c r="BF297" t="b">
        <f t="shared" si="4"/>
        <v>1</v>
      </c>
      <c r="BG297" t="b">
        <v>1</v>
      </c>
      <c r="BH297">
        <v>2018</v>
      </c>
      <c r="BI297" t="b">
        <v>1</v>
      </c>
      <c r="BJ297" t="s">
        <v>2715</v>
      </c>
      <c r="BK297" t="s">
        <v>2821</v>
      </c>
      <c r="BL297" t="b">
        <v>1</v>
      </c>
      <c r="BM297" t="b">
        <v>1</v>
      </c>
      <c r="BN297" t="b">
        <v>1</v>
      </c>
      <c r="BO297" t="s">
        <v>3822</v>
      </c>
      <c r="BP297" t="b">
        <f>IF(IFERROR(VLOOKUP(A297,[1]Planilha1!$A:$A,1,0),FALSE)=FALSE,FALSE,TRUE)</f>
        <v>1</v>
      </c>
    </row>
    <row r="298" spans="1:68" x14ac:dyDescent="0.25">
      <c r="A298" t="s">
        <v>3823</v>
      </c>
      <c r="B298" t="s">
        <v>68</v>
      </c>
      <c r="D298" s="1">
        <v>46204</v>
      </c>
      <c r="E298" s="1">
        <v>47664</v>
      </c>
      <c r="F298" t="s">
        <v>1319</v>
      </c>
      <c r="G298" t="s">
        <v>1320</v>
      </c>
      <c r="H298" s="2" t="s">
        <v>1321</v>
      </c>
      <c r="I298" t="s">
        <v>1320</v>
      </c>
      <c r="K298" t="s">
        <v>1322</v>
      </c>
      <c r="L298">
        <v>5115539</v>
      </c>
      <c r="M298" t="s">
        <v>1323</v>
      </c>
      <c r="N298" t="s">
        <v>452</v>
      </c>
      <c r="O298" t="s">
        <v>453</v>
      </c>
      <c r="P298" t="s">
        <v>454</v>
      </c>
      <c r="Q298" t="s">
        <v>1324</v>
      </c>
      <c r="R298" t="s">
        <v>3824</v>
      </c>
      <c r="S298" t="s">
        <v>3825</v>
      </c>
      <c r="T298" t="s">
        <v>111</v>
      </c>
      <c r="U298" t="s">
        <v>112</v>
      </c>
      <c r="V298" t="s">
        <v>82</v>
      </c>
      <c r="W298" t="s">
        <v>3824</v>
      </c>
      <c r="X298" t="s">
        <v>3825</v>
      </c>
      <c r="Y298" t="s">
        <v>111</v>
      </c>
      <c r="Z298" t="s">
        <v>112</v>
      </c>
      <c r="AA298" t="s">
        <v>82</v>
      </c>
      <c r="AB298" t="s">
        <v>83</v>
      </c>
      <c r="AC298" t="s">
        <v>459</v>
      </c>
      <c r="AD298" t="s">
        <v>3826</v>
      </c>
      <c r="AE298" t="s">
        <v>3827</v>
      </c>
      <c r="AF298" t="s">
        <v>3826</v>
      </c>
      <c r="AG298" t="s">
        <v>3828</v>
      </c>
      <c r="AH298">
        <v>1</v>
      </c>
      <c r="AI298">
        <v>162240</v>
      </c>
      <c r="AJ298">
        <v>170000</v>
      </c>
      <c r="AK298">
        <v>0</v>
      </c>
      <c r="AL298">
        <v>332240</v>
      </c>
      <c r="AM298" t="s">
        <v>1325</v>
      </c>
      <c r="AN298" t="s">
        <v>1326</v>
      </c>
      <c r="AO298" t="s">
        <v>111</v>
      </c>
      <c r="AP298" t="s">
        <v>112</v>
      </c>
      <c r="AQ298" t="s">
        <v>82</v>
      </c>
      <c r="AR298" t="s">
        <v>1330</v>
      </c>
      <c r="AS298" s="3">
        <v>46202.465223658182</v>
      </c>
      <c r="AT298" t="s">
        <v>89</v>
      </c>
      <c r="AU298" t="s">
        <v>90</v>
      </c>
      <c r="AV298" t="s">
        <v>2712</v>
      </c>
      <c r="AW298" t="s">
        <v>92</v>
      </c>
      <c r="AX298" t="s">
        <v>2713</v>
      </c>
      <c r="AY298" t="s">
        <v>94</v>
      </c>
      <c r="AZ298" t="s">
        <v>85</v>
      </c>
      <c r="BA298" t="s">
        <v>1331</v>
      </c>
      <c r="BB298" t="s">
        <v>3823</v>
      </c>
      <c r="BC298" t="s">
        <v>1320</v>
      </c>
      <c r="BD298" t="s">
        <v>3824</v>
      </c>
      <c r="BE298" t="s">
        <v>3825</v>
      </c>
      <c r="BF298" t="b">
        <f t="shared" si="4"/>
        <v>0</v>
      </c>
      <c r="BG298" t="b">
        <v>0</v>
      </c>
      <c r="BH298">
        <v>2025</v>
      </c>
      <c r="BI298" t="b">
        <v>0</v>
      </c>
      <c r="BJ298" t="s">
        <v>2715</v>
      </c>
      <c r="BK298" t="s">
        <v>1911</v>
      </c>
      <c r="BL298" t="b">
        <v>1</v>
      </c>
      <c r="BM298" t="b">
        <v>1</v>
      </c>
      <c r="BN298" t="b">
        <v>1</v>
      </c>
      <c r="BO298" t="s">
        <v>1332</v>
      </c>
      <c r="BP298" t="b">
        <f>IF(IFERROR(VLOOKUP(A298,[1]Planilha1!$A:$A,1,0),FALSE)=FALSE,FALSE,TRUE)</f>
        <v>0</v>
      </c>
    </row>
    <row r="299" spans="1:68" x14ac:dyDescent="0.25">
      <c r="A299" t="s">
        <v>3829</v>
      </c>
      <c r="B299" t="s">
        <v>68</v>
      </c>
      <c r="D299" s="1">
        <v>46204</v>
      </c>
      <c r="E299" s="1">
        <v>47664</v>
      </c>
      <c r="F299" t="s">
        <v>3830</v>
      </c>
      <c r="G299" t="s">
        <v>3831</v>
      </c>
      <c r="H299" s="2" t="s">
        <v>3832</v>
      </c>
      <c r="I299" t="s">
        <v>3831</v>
      </c>
      <c r="K299" t="s">
        <v>3833</v>
      </c>
      <c r="L299">
        <v>5116746</v>
      </c>
      <c r="M299" t="s">
        <v>3834</v>
      </c>
      <c r="N299" t="s">
        <v>328</v>
      </c>
      <c r="O299" t="s">
        <v>329</v>
      </c>
      <c r="P299" t="s">
        <v>129</v>
      </c>
      <c r="Q299" t="s">
        <v>3835</v>
      </c>
      <c r="R299" t="s">
        <v>2800</v>
      </c>
      <c r="S299" t="s">
        <v>2801</v>
      </c>
      <c r="T299" t="s">
        <v>111</v>
      </c>
      <c r="U299" t="s">
        <v>112</v>
      </c>
      <c r="V299" t="s">
        <v>82</v>
      </c>
      <c r="W299" t="s">
        <v>2800</v>
      </c>
      <c r="X299" t="s">
        <v>2801</v>
      </c>
      <c r="Y299" t="s">
        <v>111</v>
      </c>
      <c r="Z299" t="s">
        <v>112</v>
      </c>
      <c r="AA299" t="s">
        <v>82</v>
      </c>
      <c r="AB299" t="s">
        <v>83</v>
      </c>
      <c r="AC299" t="s">
        <v>333</v>
      </c>
      <c r="AD299" t="s">
        <v>149</v>
      </c>
      <c r="AE299" t="s">
        <v>3836</v>
      </c>
      <c r="AF299" t="s">
        <v>85</v>
      </c>
      <c r="AG299" t="s">
        <v>3837</v>
      </c>
      <c r="AH299">
        <v>11</v>
      </c>
      <c r="AI299">
        <v>1310400</v>
      </c>
      <c r="AJ299">
        <v>136281.60000000001</v>
      </c>
      <c r="AK299">
        <v>0</v>
      </c>
      <c r="AL299">
        <v>1446681.6000000001</v>
      </c>
      <c r="AR299" t="s">
        <v>3838</v>
      </c>
      <c r="AS299" s="3">
        <v>46202.465223658182</v>
      </c>
      <c r="AT299" t="s">
        <v>89</v>
      </c>
      <c r="AU299" t="s">
        <v>90</v>
      </c>
      <c r="AV299" t="s">
        <v>2712</v>
      </c>
      <c r="AW299" t="s">
        <v>92</v>
      </c>
      <c r="AX299" t="s">
        <v>2713</v>
      </c>
      <c r="AY299" t="s">
        <v>94</v>
      </c>
      <c r="AZ299" t="s">
        <v>85</v>
      </c>
      <c r="BA299" t="s">
        <v>3839</v>
      </c>
      <c r="BB299" t="s">
        <v>3829</v>
      </c>
      <c r="BC299" t="s">
        <v>3831</v>
      </c>
      <c r="BD299" t="s">
        <v>2800</v>
      </c>
      <c r="BE299" t="s">
        <v>2801</v>
      </c>
      <c r="BF299" t="b">
        <f t="shared" si="4"/>
        <v>1</v>
      </c>
      <c r="BG299" t="b">
        <v>1</v>
      </c>
      <c r="BH299">
        <v>2008</v>
      </c>
      <c r="BI299" t="b">
        <v>1</v>
      </c>
      <c r="BJ299" t="s">
        <v>2715</v>
      </c>
      <c r="BK299" t="s">
        <v>2806</v>
      </c>
      <c r="BL299" t="b">
        <v>1</v>
      </c>
      <c r="BM299" t="b">
        <v>1</v>
      </c>
      <c r="BN299" t="b">
        <v>1</v>
      </c>
      <c r="BO299" t="s">
        <v>3374</v>
      </c>
      <c r="BP299" t="b">
        <f>IF(IFERROR(VLOOKUP(A299,[1]Planilha1!$A:$A,1,0),FALSE)=FALSE,FALSE,TRUE)</f>
        <v>1</v>
      </c>
    </row>
    <row r="300" spans="1:68" x14ac:dyDescent="0.25">
      <c r="A300" t="s">
        <v>3840</v>
      </c>
      <c r="B300" t="s">
        <v>68</v>
      </c>
      <c r="D300" s="1">
        <v>46204</v>
      </c>
      <c r="E300" s="1">
        <v>47664</v>
      </c>
      <c r="F300" t="s">
        <v>3841</v>
      </c>
      <c r="G300" t="s">
        <v>3842</v>
      </c>
      <c r="H300" s="2" t="s">
        <v>3843</v>
      </c>
      <c r="I300" t="s">
        <v>3842</v>
      </c>
      <c r="K300" t="s">
        <v>3844</v>
      </c>
      <c r="L300">
        <v>5116336</v>
      </c>
      <c r="M300" t="s">
        <v>3845</v>
      </c>
      <c r="N300" t="s">
        <v>295</v>
      </c>
      <c r="O300" t="s">
        <v>296</v>
      </c>
      <c r="P300" t="s">
        <v>129</v>
      </c>
      <c r="Q300" t="s">
        <v>297</v>
      </c>
      <c r="R300" t="s">
        <v>2773</v>
      </c>
      <c r="S300" t="s">
        <v>2774</v>
      </c>
      <c r="T300" t="s">
        <v>184</v>
      </c>
      <c r="U300" t="s">
        <v>112</v>
      </c>
      <c r="V300" t="s">
        <v>82</v>
      </c>
      <c r="W300" t="s">
        <v>2773</v>
      </c>
      <c r="X300" t="s">
        <v>2774</v>
      </c>
      <c r="Y300" t="s">
        <v>184</v>
      </c>
      <c r="Z300" t="s">
        <v>112</v>
      </c>
      <c r="AA300" t="s">
        <v>82</v>
      </c>
      <c r="AB300" t="s">
        <v>83</v>
      </c>
      <c r="AC300" t="s">
        <v>135</v>
      </c>
      <c r="AD300" t="s">
        <v>1396</v>
      </c>
      <c r="AE300" t="s">
        <v>3846</v>
      </c>
      <c r="AF300" t="s">
        <v>1396</v>
      </c>
      <c r="AG300" t="s">
        <v>3847</v>
      </c>
      <c r="AH300">
        <v>4</v>
      </c>
      <c r="AI300">
        <v>636480</v>
      </c>
      <c r="AJ300">
        <v>76252.800000000003</v>
      </c>
      <c r="AK300">
        <v>0</v>
      </c>
      <c r="AL300">
        <v>712732.8</v>
      </c>
      <c r="AM300" t="s">
        <v>2773</v>
      </c>
      <c r="AN300" t="s">
        <v>2774</v>
      </c>
      <c r="AO300" t="s">
        <v>184</v>
      </c>
      <c r="AP300" t="s">
        <v>112</v>
      </c>
      <c r="AQ300" t="s">
        <v>82</v>
      </c>
      <c r="AR300" t="s">
        <v>3848</v>
      </c>
      <c r="AS300" s="3">
        <v>46202.465223658182</v>
      </c>
      <c r="AT300" t="s">
        <v>89</v>
      </c>
      <c r="AU300" t="s">
        <v>90</v>
      </c>
      <c r="AV300" t="s">
        <v>2712</v>
      </c>
      <c r="AW300" t="s">
        <v>92</v>
      </c>
      <c r="AX300" t="s">
        <v>2713</v>
      </c>
      <c r="AY300" t="s">
        <v>94</v>
      </c>
      <c r="AZ300" t="s">
        <v>85</v>
      </c>
      <c r="BA300" t="s">
        <v>3849</v>
      </c>
      <c r="BB300" t="s">
        <v>3840</v>
      </c>
      <c r="BC300" t="s">
        <v>3842</v>
      </c>
      <c r="BD300" t="s">
        <v>2773</v>
      </c>
      <c r="BE300" t="s">
        <v>2774</v>
      </c>
      <c r="BF300" t="b">
        <f t="shared" si="4"/>
        <v>1</v>
      </c>
      <c r="BG300" t="b">
        <v>1</v>
      </c>
      <c r="BH300">
        <v>2000</v>
      </c>
      <c r="BI300" t="b">
        <v>1</v>
      </c>
      <c r="BJ300" t="s">
        <v>2715</v>
      </c>
      <c r="BK300" t="s">
        <v>2779</v>
      </c>
      <c r="BL300" t="b">
        <v>1</v>
      </c>
      <c r="BM300" t="b">
        <v>1</v>
      </c>
      <c r="BN300" t="b">
        <v>1</v>
      </c>
      <c r="BO300" t="s">
        <v>3850</v>
      </c>
      <c r="BP300" t="b">
        <f>IF(IFERROR(VLOOKUP(A300,[1]Planilha1!$A:$A,1,0),FALSE)=FALSE,FALSE,TRUE)</f>
        <v>1</v>
      </c>
    </row>
    <row r="301" spans="1:68" x14ac:dyDescent="0.25">
      <c r="A301" t="s">
        <v>3851</v>
      </c>
      <c r="B301" t="s">
        <v>68</v>
      </c>
      <c r="D301" s="1">
        <v>46204</v>
      </c>
      <c r="E301" s="1">
        <v>47664</v>
      </c>
      <c r="F301" t="s">
        <v>3852</v>
      </c>
      <c r="G301" t="s">
        <v>3853</v>
      </c>
      <c r="H301" s="2" t="s">
        <v>3854</v>
      </c>
      <c r="I301" t="s">
        <v>3853</v>
      </c>
      <c r="K301" t="s">
        <v>3855</v>
      </c>
      <c r="L301">
        <v>5116755</v>
      </c>
      <c r="M301" t="s">
        <v>3856</v>
      </c>
      <c r="N301" t="s">
        <v>105</v>
      </c>
      <c r="O301" t="s">
        <v>106</v>
      </c>
      <c r="P301" t="s">
        <v>107</v>
      </c>
      <c r="Q301" t="s">
        <v>3857</v>
      </c>
      <c r="R301" t="s">
        <v>2815</v>
      </c>
      <c r="S301" t="s">
        <v>2816</v>
      </c>
      <c r="T301" t="s">
        <v>184</v>
      </c>
      <c r="U301" t="s">
        <v>112</v>
      </c>
      <c r="V301" t="s">
        <v>82</v>
      </c>
      <c r="W301" t="s">
        <v>2815</v>
      </c>
      <c r="X301" t="s">
        <v>2816</v>
      </c>
      <c r="Y301" t="s">
        <v>184</v>
      </c>
      <c r="Z301" t="s">
        <v>112</v>
      </c>
      <c r="AA301" t="s">
        <v>82</v>
      </c>
      <c r="AB301" t="s">
        <v>83</v>
      </c>
      <c r="AC301" t="s">
        <v>113</v>
      </c>
      <c r="AD301" t="s">
        <v>149</v>
      </c>
      <c r="AE301" t="s">
        <v>3858</v>
      </c>
      <c r="AF301" t="s">
        <v>85</v>
      </c>
      <c r="AG301" t="s">
        <v>3859</v>
      </c>
      <c r="AH301">
        <v>4</v>
      </c>
      <c r="AI301">
        <v>898560</v>
      </c>
      <c r="AJ301">
        <v>116812</v>
      </c>
      <c r="AK301">
        <v>0</v>
      </c>
      <c r="AL301">
        <v>1015372</v>
      </c>
      <c r="AM301" t="s">
        <v>2815</v>
      </c>
      <c r="AN301" t="s">
        <v>2816</v>
      </c>
      <c r="AO301" t="s">
        <v>184</v>
      </c>
      <c r="AP301" t="s">
        <v>112</v>
      </c>
      <c r="AQ301" t="s">
        <v>82</v>
      </c>
      <c r="AR301" t="s">
        <v>3860</v>
      </c>
      <c r="AS301" s="3">
        <v>46202.465223658182</v>
      </c>
      <c r="AT301" t="s">
        <v>89</v>
      </c>
      <c r="AU301" t="s">
        <v>90</v>
      </c>
      <c r="AV301" t="s">
        <v>2712</v>
      </c>
      <c r="AW301" t="s">
        <v>92</v>
      </c>
      <c r="AX301" t="s">
        <v>2713</v>
      </c>
      <c r="AY301" t="s">
        <v>94</v>
      </c>
      <c r="AZ301" t="s">
        <v>85</v>
      </c>
      <c r="BA301" t="s">
        <v>3861</v>
      </c>
      <c r="BB301" t="s">
        <v>3851</v>
      </c>
      <c r="BC301" t="s">
        <v>3853</v>
      </c>
      <c r="BD301" t="s">
        <v>2815</v>
      </c>
      <c r="BE301" t="s">
        <v>2816</v>
      </c>
      <c r="BF301" t="b">
        <f t="shared" si="4"/>
        <v>1</v>
      </c>
      <c r="BG301" t="b">
        <v>1</v>
      </c>
      <c r="BH301">
        <v>1986</v>
      </c>
      <c r="BI301" t="b">
        <v>1</v>
      </c>
      <c r="BJ301" t="s">
        <v>2715</v>
      </c>
      <c r="BK301" t="s">
        <v>2821</v>
      </c>
      <c r="BL301" t="b">
        <v>1</v>
      </c>
      <c r="BM301" t="b">
        <v>1</v>
      </c>
      <c r="BN301" t="b">
        <v>1</v>
      </c>
      <c r="BO301" t="s">
        <v>3862</v>
      </c>
      <c r="BP301" t="b">
        <f>IF(IFERROR(VLOOKUP(A301,[1]Planilha1!$A:$A,1,0),FALSE)=FALSE,FALSE,TRUE)</f>
        <v>1</v>
      </c>
    </row>
    <row r="302" spans="1:68" x14ac:dyDescent="0.25">
      <c r="A302" t="s">
        <v>3863</v>
      </c>
      <c r="B302" t="s">
        <v>68</v>
      </c>
      <c r="D302" s="1">
        <v>46204</v>
      </c>
      <c r="E302" s="1">
        <v>47664</v>
      </c>
      <c r="F302" t="s">
        <v>3864</v>
      </c>
      <c r="G302" t="s">
        <v>3865</v>
      </c>
      <c r="H302" s="2" t="s">
        <v>3866</v>
      </c>
      <c r="I302" t="s">
        <v>3865</v>
      </c>
      <c r="K302" t="s">
        <v>3867</v>
      </c>
      <c r="L302">
        <v>5116551</v>
      </c>
      <c r="M302" t="s">
        <v>3868</v>
      </c>
      <c r="N302" t="s">
        <v>228</v>
      </c>
      <c r="O302" t="s">
        <v>229</v>
      </c>
      <c r="P302" t="s">
        <v>230</v>
      </c>
      <c r="Q302" t="s">
        <v>483</v>
      </c>
      <c r="R302" t="s">
        <v>1133</v>
      </c>
      <c r="S302" t="s">
        <v>1134</v>
      </c>
      <c r="T302" t="s">
        <v>184</v>
      </c>
      <c r="U302" t="s">
        <v>112</v>
      </c>
      <c r="V302" t="s">
        <v>82</v>
      </c>
      <c r="W302" t="s">
        <v>1133</v>
      </c>
      <c r="X302" t="s">
        <v>1134</v>
      </c>
      <c r="Y302" t="s">
        <v>184</v>
      </c>
      <c r="Z302" t="s">
        <v>112</v>
      </c>
      <c r="AA302" t="s">
        <v>82</v>
      </c>
      <c r="AB302" t="s">
        <v>83</v>
      </c>
      <c r="AC302" t="s">
        <v>235</v>
      </c>
      <c r="AD302" t="s">
        <v>149</v>
      </c>
      <c r="AE302" t="s">
        <v>3869</v>
      </c>
      <c r="AF302" t="s">
        <v>85</v>
      </c>
      <c r="AG302" t="s">
        <v>3870</v>
      </c>
      <c r="AH302">
        <v>5</v>
      </c>
      <c r="AI302">
        <v>1085760</v>
      </c>
      <c r="AJ302">
        <v>108576</v>
      </c>
      <c r="AK302">
        <v>0</v>
      </c>
      <c r="AL302">
        <v>1194336</v>
      </c>
      <c r="AM302" t="s">
        <v>1133</v>
      </c>
      <c r="AN302" t="s">
        <v>1134</v>
      </c>
      <c r="AO302" t="s">
        <v>184</v>
      </c>
      <c r="AP302" t="s">
        <v>112</v>
      </c>
      <c r="AQ302" t="s">
        <v>82</v>
      </c>
      <c r="AR302" t="s">
        <v>3871</v>
      </c>
      <c r="AS302" s="3">
        <v>46202.465223658182</v>
      </c>
      <c r="AT302" t="s">
        <v>89</v>
      </c>
      <c r="AU302" t="s">
        <v>90</v>
      </c>
      <c r="AV302" t="s">
        <v>2712</v>
      </c>
      <c r="AW302" t="s">
        <v>92</v>
      </c>
      <c r="AX302" t="s">
        <v>2713</v>
      </c>
      <c r="AY302" t="s">
        <v>94</v>
      </c>
      <c r="AZ302" t="s">
        <v>85</v>
      </c>
      <c r="BA302" t="s">
        <v>3872</v>
      </c>
      <c r="BB302" t="s">
        <v>3863</v>
      </c>
      <c r="BC302" t="s">
        <v>3865</v>
      </c>
      <c r="BD302" t="s">
        <v>1133</v>
      </c>
      <c r="BE302" t="s">
        <v>1134</v>
      </c>
      <c r="BF302" t="b">
        <f t="shared" si="4"/>
        <v>1</v>
      </c>
      <c r="BG302" t="b">
        <v>1</v>
      </c>
      <c r="BH302">
        <v>1999</v>
      </c>
      <c r="BI302" t="b">
        <v>1</v>
      </c>
      <c r="BJ302" t="s">
        <v>2715</v>
      </c>
      <c r="BK302" t="s">
        <v>1140</v>
      </c>
      <c r="BL302" t="b">
        <v>1</v>
      </c>
      <c r="BM302" t="b">
        <v>1</v>
      </c>
      <c r="BN302" t="b">
        <v>1</v>
      </c>
      <c r="BO302" t="s">
        <v>3873</v>
      </c>
      <c r="BP302" t="b">
        <f>IF(IFERROR(VLOOKUP(A302,[1]Planilha1!$A:$A,1,0),FALSE)=FALSE,FALSE,TRUE)</f>
        <v>1</v>
      </c>
    </row>
    <row r="303" spans="1:68" x14ac:dyDescent="0.25">
      <c r="A303" t="s">
        <v>3874</v>
      </c>
      <c r="B303" t="s">
        <v>68</v>
      </c>
      <c r="D303" s="1">
        <v>46204</v>
      </c>
      <c r="E303" s="1">
        <v>47664</v>
      </c>
      <c r="F303" t="s">
        <v>3875</v>
      </c>
      <c r="G303" t="s">
        <v>3876</v>
      </c>
      <c r="H303" s="2" t="s">
        <v>3877</v>
      </c>
      <c r="I303" t="s">
        <v>3876</v>
      </c>
      <c r="K303" t="s">
        <v>3878</v>
      </c>
      <c r="L303">
        <v>5116622</v>
      </c>
      <c r="M303" t="s">
        <v>3879</v>
      </c>
      <c r="N303" t="s">
        <v>389</v>
      </c>
      <c r="O303" t="s">
        <v>390</v>
      </c>
      <c r="P303" t="s">
        <v>107</v>
      </c>
      <c r="Q303" t="s">
        <v>1236</v>
      </c>
      <c r="R303" t="s">
        <v>2707</v>
      </c>
      <c r="S303" t="s">
        <v>2708</v>
      </c>
      <c r="T303" t="s">
        <v>184</v>
      </c>
      <c r="U303" t="s">
        <v>112</v>
      </c>
      <c r="V303" t="s">
        <v>82</v>
      </c>
      <c r="W303" t="s">
        <v>2707</v>
      </c>
      <c r="X303" t="s">
        <v>2708</v>
      </c>
      <c r="Y303" t="s">
        <v>184</v>
      </c>
      <c r="Z303" t="s">
        <v>112</v>
      </c>
      <c r="AA303" t="s">
        <v>82</v>
      </c>
      <c r="AB303" t="s">
        <v>83</v>
      </c>
      <c r="AC303" t="s">
        <v>202</v>
      </c>
      <c r="AD303" t="s">
        <v>85</v>
      </c>
      <c r="AE303" t="s">
        <v>3880</v>
      </c>
      <c r="AF303" t="s">
        <v>85</v>
      </c>
      <c r="AG303" t="s">
        <v>3881</v>
      </c>
      <c r="AH303">
        <v>7</v>
      </c>
      <c r="AI303">
        <v>1035840</v>
      </c>
      <c r="AJ303">
        <v>149000</v>
      </c>
      <c r="AK303">
        <v>0</v>
      </c>
      <c r="AL303">
        <v>1184840</v>
      </c>
      <c r="AM303" t="s">
        <v>2707</v>
      </c>
      <c r="AN303" t="s">
        <v>2708</v>
      </c>
      <c r="AO303" t="s">
        <v>184</v>
      </c>
      <c r="AP303" t="s">
        <v>112</v>
      </c>
      <c r="AQ303" t="s">
        <v>82</v>
      </c>
      <c r="AR303" t="s">
        <v>3882</v>
      </c>
      <c r="AS303" s="3">
        <v>46202.465223658182</v>
      </c>
      <c r="AT303" t="s">
        <v>89</v>
      </c>
      <c r="AU303" t="s">
        <v>90</v>
      </c>
      <c r="AV303" t="s">
        <v>2712</v>
      </c>
      <c r="AW303" t="s">
        <v>92</v>
      </c>
      <c r="AX303" t="s">
        <v>2713</v>
      </c>
      <c r="AY303" t="s">
        <v>94</v>
      </c>
      <c r="AZ303" t="s">
        <v>85</v>
      </c>
      <c r="BA303" t="s">
        <v>3883</v>
      </c>
      <c r="BB303" t="s">
        <v>3874</v>
      </c>
      <c r="BC303" t="s">
        <v>3876</v>
      </c>
      <c r="BD303" t="s">
        <v>2707</v>
      </c>
      <c r="BE303" t="s">
        <v>2708</v>
      </c>
      <c r="BF303" t="b">
        <f t="shared" si="4"/>
        <v>1</v>
      </c>
      <c r="BG303" t="b">
        <v>1</v>
      </c>
      <c r="BH303">
        <v>2002</v>
      </c>
      <c r="BI303" t="b">
        <v>1</v>
      </c>
      <c r="BJ303" t="s">
        <v>2715</v>
      </c>
      <c r="BK303" t="s">
        <v>2716</v>
      </c>
      <c r="BL303" t="b">
        <v>1</v>
      </c>
      <c r="BM303" t="b">
        <v>1</v>
      </c>
      <c r="BN303" t="b">
        <v>1</v>
      </c>
      <c r="BO303" t="s">
        <v>3884</v>
      </c>
      <c r="BP303" t="b">
        <f>IF(IFERROR(VLOOKUP(A303,[1]Planilha1!$A:$A,1,0),FALSE)=FALSE,FALSE,TRUE)</f>
        <v>1</v>
      </c>
    </row>
    <row r="304" spans="1:68" x14ac:dyDescent="0.25">
      <c r="A304" t="s">
        <v>3885</v>
      </c>
      <c r="B304" t="s">
        <v>68</v>
      </c>
      <c r="D304" s="1">
        <v>46204</v>
      </c>
      <c r="E304" s="1">
        <v>47664</v>
      </c>
      <c r="F304" t="s">
        <v>3886</v>
      </c>
      <c r="G304" t="s">
        <v>3887</v>
      </c>
      <c r="H304" s="2" t="s">
        <v>3888</v>
      </c>
      <c r="I304" t="s">
        <v>3887</v>
      </c>
      <c r="K304" t="s">
        <v>3887</v>
      </c>
      <c r="L304">
        <v>5116631</v>
      </c>
      <c r="M304" t="s">
        <v>3889</v>
      </c>
      <c r="N304" t="s">
        <v>3890</v>
      </c>
      <c r="O304" t="s">
        <v>2146</v>
      </c>
      <c r="P304" t="s">
        <v>129</v>
      </c>
      <c r="Q304" t="s">
        <v>3891</v>
      </c>
      <c r="R304" t="s">
        <v>2815</v>
      </c>
      <c r="S304" t="s">
        <v>2816</v>
      </c>
      <c r="T304" t="s">
        <v>184</v>
      </c>
      <c r="U304" t="s">
        <v>112</v>
      </c>
      <c r="V304" t="s">
        <v>82</v>
      </c>
      <c r="W304" t="s">
        <v>2815</v>
      </c>
      <c r="X304" t="s">
        <v>2816</v>
      </c>
      <c r="Y304" t="s">
        <v>184</v>
      </c>
      <c r="Z304" t="s">
        <v>112</v>
      </c>
      <c r="AA304" t="s">
        <v>82</v>
      </c>
      <c r="AB304" t="s">
        <v>83</v>
      </c>
      <c r="AC304" t="s">
        <v>185</v>
      </c>
      <c r="AD304" t="s">
        <v>149</v>
      </c>
      <c r="AE304" t="s">
        <v>3892</v>
      </c>
      <c r="AF304" t="s">
        <v>85</v>
      </c>
      <c r="AG304" t="s">
        <v>3893</v>
      </c>
      <c r="AH304">
        <v>3</v>
      </c>
      <c r="AI304">
        <v>439920</v>
      </c>
      <c r="AJ304">
        <v>56428.35</v>
      </c>
      <c r="AK304">
        <v>0</v>
      </c>
      <c r="AL304">
        <v>496348.35</v>
      </c>
      <c r="AM304" t="s">
        <v>2815</v>
      </c>
      <c r="AN304" t="s">
        <v>2816</v>
      </c>
      <c r="AO304" t="s">
        <v>184</v>
      </c>
      <c r="AP304" t="s">
        <v>112</v>
      </c>
      <c r="AQ304" t="s">
        <v>82</v>
      </c>
      <c r="AR304" t="s">
        <v>3894</v>
      </c>
      <c r="AS304" s="3">
        <v>46202.465223658182</v>
      </c>
      <c r="AT304" t="s">
        <v>89</v>
      </c>
      <c r="AU304" t="s">
        <v>90</v>
      </c>
      <c r="AV304" t="s">
        <v>2712</v>
      </c>
      <c r="AW304" t="s">
        <v>92</v>
      </c>
      <c r="AX304" t="s">
        <v>2713</v>
      </c>
      <c r="AY304" t="s">
        <v>94</v>
      </c>
      <c r="AZ304" t="s">
        <v>85</v>
      </c>
      <c r="BA304" t="s">
        <v>3895</v>
      </c>
      <c r="BB304" t="s">
        <v>3885</v>
      </c>
      <c r="BC304" t="s">
        <v>3887</v>
      </c>
      <c r="BD304" t="s">
        <v>2815</v>
      </c>
      <c r="BE304" t="s">
        <v>2816</v>
      </c>
      <c r="BF304" t="b">
        <f t="shared" si="4"/>
        <v>1</v>
      </c>
      <c r="BG304" t="b">
        <v>1</v>
      </c>
      <c r="BH304">
        <v>2006</v>
      </c>
      <c r="BI304" t="b">
        <v>1</v>
      </c>
      <c r="BJ304" t="s">
        <v>2715</v>
      </c>
      <c r="BK304" t="s">
        <v>2821</v>
      </c>
      <c r="BL304" t="b">
        <v>1</v>
      </c>
      <c r="BM304" t="b">
        <v>1</v>
      </c>
      <c r="BN304" t="b">
        <v>1</v>
      </c>
      <c r="BO304" t="s">
        <v>3409</v>
      </c>
      <c r="BP304" t="b">
        <f>IF(IFERROR(VLOOKUP(A304,[1]Planilha1!$A:$A,1,0),FALSE)=FALSE,FALSE,TRUE)</f>
        <v>1</v>
      </c>
    </row>
    <row r="305" spans="1:68" x14ac:dyDescent="0.25">
      <c r="A305" t="s">
        <v>3896</v>
      </c>
      <c r="B305" t="s">
        <v>68</v>
      </c>
      <c r="D305" s="1">
        <v>46204</v>
      </c>
      <c r="E305" s="1">
        <v>47664</v>
      </c>
      <c r="F305" t="s">
        <v>3897</v>
      </c>
      <c r="G305" t="s">
        <v>3898</v>
      </c>
      <c r="H305" s="2" t="s">
        <v>3899</v>
      </c>
      <c r="I305" t="s">
        <v>3898</v>
      </c>
      <c r="K305" t="s">
        <v>3898</v>
      </c>
      <c r="L305">
        <v>5116797</v>
      </c>
      <c r="M305" t="s">
        <v>3900</v>
      </c>
      <c r="N305" t="s">
        <v>2109</v>
      </c>
      <c r="O305" t="s">
        <v>2018</v>
      </c>
      <c r="P305" t="s">
        <v>230</v>
      </c>
      <c r="Q305" t="s">
        <v>3485</v>
      </c>
      <c r="R305" t="s">
        <v>2972</v>
      </c>
      <c r="S305" t="s">
        <v>2973</v>
      </c>
      <c r="T305" t="s">
        <v>300</v>
      </c>
      <c r="U305" t="s">
        <v>301</v>
      </c>
      <c r="V305" t="s">
        <v>82</v>
      </c>
      <c r="W305" t="s">
        <v>2972</v>
      </c>
      <c r="X305" t="s">
        <v>2973</v>
      </c>
      <c r="Y305" t="s">
        <v>300</v>
      </c>
      <c r="Z305" t="s">
        <v>301</v>
      </c>
      <c r="AA305" t="s">
        <v>82</v>
      </c>
      <c r="AB305" t="s">
        <v>83</v>
      </c>
      <c r="AC305" t="s">
        <v>1013</v>
      </c>
      <c r="AD305" t="s">
        <v>85</v>
      </c>
      <c r="AE305" t="s">
        <v>3901</v>
      </c>
      <c r="AF305" t="s">
        <v>85</v>
      </c>
      <c r="AG305" t="s">
        <v>3902</v>
      </c>
      <c r="AH305">
        <v>6</v>
      </c>
      <c r="AI305">
        <v>648960</v>
      </c>
      <c r="AJ305">
        <v>25309.439999999999</v>
      </c>
      <c r="AK305">
        <v>0</v>
      </c>
      <c r="AL305">
        <v>674269.44</v>
      </c>
      <c r="AM305" t="s">
        <v>2972</v>
      </c>
      <c r="AN305" t="s">
        <v>2973</v>
      </c>
      <c r="AO305" t="s">
        <v>300</v>
      </c>
      <c r="AP305" t="s">
        <v>301</v>
      </c>
      <c r="AQ305" t="s">
        <v>82</v>
      </c>
      <c r="AR305" t="s">
        <v>3903</v>
      </c>
      <c r="AS305" s="3">
        <v>46202.465223658182</v>
      </c>
      <c r="AT305" t="s">
        <v>89</v>
      </c>
      <c r="AU305" t="s">
        <v>90</v>
      </c>
      <c r="AV305" t="s">
        <v>2712</v>
      </c>
      <c r="AW305" t="s">
        <v>92</v>
      </c>
      <c r="AX305" t="s">
        <v>2713</v>
      </c>
      <c r="AY305" t="s">
        <v>94</v>
      </c>
      <c r="AZ305" t="s">
        <v>85</v>
      </c>
      <c r="BA305" t="s">
        <v>3904</v>
      </c>
      <c r="BB305" t="s">
        <v>3896</v>
      </c>
      <c r="BC305" t="s">
        <v>3898</v>
      </c>
      <c r="BD305" t="s">
        <v>2972</v>
      </c>
      <c r="BE305" t="s">
        <v>2973</v>
      </c>
      <c r="BF305" t="b">
        <f t="shared" si="4"/>
        <v>1</v>
      </c>
      <c r="BG305" t="b">
        <v>1</v>
      </c>
      <c r="BH305">
        <v>2008</v>
      </c>
      <c r="BI305" t="b">
        <v>1</v>
      </c>
      <c r="BJ305" t="s">
        <v>2715</v>
      </c>
      <c r="BK305" t="s">
        <v>2978</v>
      </c>
      <c r="BL305" t="b">
        <v>1</v>
      </c>
      <c r="BM305" t="b">
        <v>1</v>
      </c>
      <c r="BN305" t="b">
        <v>1</v>
      </c>
      <c r="BO305" t="s">
        <v>3905</v>
      </c>
      <c r="BP305" t="b">
        <f>IF(IFERROR(VLOOKUP(A305,[1]Planilha1!$A:$A,1,0),FALSE)=FALSE,FALSE,TRUE)</f>
        <v>1</v>
      </c>
    </row>
    <row r="306" spans="1:68" x14ac:dyDescent="0.25">
      <c r="A306" t="s">
        <v>3906</v>
      </c>
      <c r="B306" t="s">
        <v>68</v>
      </c>
      <c r="D306" s="1">
        <v>46204</v>
      </c>
      <c r="E306" s="1">
        <v>47664</v>
      </c>
      <c r="F306" t="s">
        <v>3907</v>
      </c>
      <c r="G306" t="s">
        <v>3908</v>
      </c>
      <c r="H306" s="2" t="s">
        <v>3909</v>
      </c>
      <c r="I306" t="s">
        <v>3908</v>
      </c>
      <c r="K306" t="s">
        <v>3910</v>
      </c>
      <c r="L306">
        <v>5116497</v>
      </c>
      <c r="M306" t="s">
        <v>3911</v>
      </c>
      <c r="N306" t="s">
        <v>127</v>
      </c>
      <c r="O306" t="s">
        <v>128</v>
      </c>
      <c r="P306" t="s">
        <v>129</v>
      </c>
      <c r="Q306" t="s">
        <v>3912</v>
      </c>
      <c r="R306" t="s">
        <v>2707</v>
      </c>
      <c r="S306" t="s">
        <v>2708</v>
      </c>
      <c r="T306" t="s">
        <v>184</v>
      </c>
      <c r="U306" t="s">
        <v>112</v>
      </c>
      <c r="V306" t="s">
        <v>82</v>
      </c>
      <c r="W306" t="s">
        <v>2707</v>
      </c>
      <c r="X306" t="s">
        <v>2708</v>
      </c>
      <c r="Y306" t="s">
        <v>184</v>
      </c>
      <c r="Z306" t="s">
        <v>112</v>
      </c>
      <c r="AA306" t="s">
        <v>82</v>
      </c>
      <c r="AB306" t="s">
        <v>83</v>
      </c>
      <c r="AC306" t="s">
        <v>135</v>
      </c>
      <c r="AD306" t="s">
        <v>252</v>
      </c>
      <c r="AE306" t="s">
        <v>3913</v>
      </c>
      <c r="AF306" t="s">
        <v>252</v>
      </c>
      <c r="AG306" t="s">
        <v>3914</v>
      </c>
      <c r="AH306">
        <v>7</v>
      </c>
      <c r="AI306">
        <v>1362270</v>
      </c>
      <c r="AJ306">
        <v>137730</v>
      </c>
      <c r="AK306">
        <v>0</v>
      </c>
      <c r="AL306">
        <v>1500000</v>
      </c>
      <c r="AR306" t="s">
        <v>3915</v>
      </c>
      <c r="AS306" s="3">
        <v>46202.465223658182</v>
      </c>
      <c r="AT306" t="s">
        <v>89</v>
      </c>
      <c r="AU306" t="s">
        <v>90</v>
      </c>
      <c r="AV306" t="s">
        <v>2712</v>
      </c>
      <c r="AW306" t="s">
        <v>92</v>
      </c>
      <c r="AX306" t="s">
        <v>2713</v>
      </c>
      <c r="AY306" t="s">
        <v>94</v>
      </c>
      <c r="AZ306" t="s">
        <v>85</v>
      </c>
      <c r="BA306" t="s">
        <v>3916</v>
      </c>
      <c r="BB306" t="s">
        <v>3906</v>
      </c>
      <c r="BC306" t="s">
        <v>3908</v>
      </c>
      <c r="BD306" t="s">
        <v>2707</v>
      </c>
      <c r="BE306" t="s">
        <v>2708</v>
      </c>
      <c r="BF306" t="b">
        <f t="shared" si="4"/>
        <v>1</v>
      </c>
      <c r="BG306" t="b">
        <v>1</v>
      </c>
      <c r="BH306">
        <v>2000</v>
      </c>
      <c r="BI306" t="b">
        <v>1</v>
      </c>
      <c r="BJ306" t="s">
        <v>2715</v>
      </c>
      <c r="BK306" t="s">
        <v>2716</v>
      </c>
      <c r="BL306" t="b">
        <v>1</v>
      </c>
      <c r="BM306" t="b">
        <v>1</v>
      </c>
      <c r="BN306" t="b">
        <v>0</v>
      </c>
      <c r="BO306" t="s">
        <v>3917</v>
      </c>
      <c r="BP306" t="b">
        <f>IF(IFERROR(VLOOKUP(A306,[1]Planilha1!$A:$A,1,0),FALSE)=FALSE,FALSE,TRUE)</f>
        <v>1</v>
      </c>
    </row>
    <row r="307" spans="1:68" x14ac:dyDescent="0.25">
      <c r="A307" t="s">
        <v>3918</v>
      </c>
      <c r="B307" t="s">
        <v>68</v>
      </c>
      <c r="D307" s="1">
        <v>46204</v>
      </c>
      <c r="E307" s="1">
        <v>47664</v>
      </c>
      <c r="F307" t="s">
        <v>3919</v>
      </c>
      <c r="G307" t="s">
        <v>3920</v>
      </c>
      <c r="H307" s="2" t="s">
        <v>3921</v>
      </c>
      <c r="I307" t="s">
        <v>3920</v>
      </c>
      <c r="K307" t="s">
        <v>3922</v>
      </c>
      <c r="L307">
        <v>5116484</v>
      </c>
      <c r="M307" t="s">
        <v>3923</v>
      </c>
      <c r="N307" t="s">
        <v>105</v>
      </c>
      <c r="O307" t="s">
        <v>106</v>
      </c>
      <c r="P307" t="s">
        <v>107</v>
      </c>
      <c r="Q307" t="s">
        <v>3924</v>
      </c>
      <c r="R307" t="s">
        <v>2815</v>
      </c>
      <c r="S307" t="s">
        <v>2816</v>
      </c>
      <c r="T307" t="s">
        <v>184</v>
      </c>
      <c r="U307" t="s">
        <v>112</v>
      </c>
      <c r="V307" t="s">
        <v>82</v>
      </c>
      <c r="W307" t="s">
        <v>2815</v>
      </c>
      <c r="X307" t="s">
        <v>2816</v>
      </c>
      <c r="Y307" t="s">
        <v>184</v>
      </c>
      <c r="Z307" t="s">
        <v>112</v>
      </c>
      <c r="AA307" t="s">
        <v>82</v>
      </c>
      <c r="AB307" t="s">
        <v>83</v>
      </c>
      <c r="AC307" t="s">
        <v>113</v>
      </c>
      <c r="AD307" t="s">
        <v>252</v>
      </c>
      <c r="AE307" t="s">
        <v>3925</v>
      </c>
      <c r="AF307" t="s">
        <v>252</v>
      </c>
      <c r="AG307" t="s">
        <v>3926</v>
      </c>
      <c r="AH307">
        <v>6</v>
      </c>
      <c r="AI307">
        <v>1297920</v>
      </c>
      <c r="AJ307">
        <v>120000</v>
      </c>
      <c r="AK307">
        <v>0</v>
      </c>
      <c r="AL307">
        <v>1417920</v>
      </c>
      <c r="AM307" t="s">
        <v>2815</v>
      </c>
      <c r="AN307" t="s">
        <v>2816</v>
      </c>
      <c r="AO307" t="s">
        <v>184</v>
      </c>
      <c r="AP307" t="s">
        <v>112</v>
      </c>
      <c r="AQ307" t="s">
        <v>82</v>
      </c>
      <c r="AR307" t="s">
        <v>3927</v>
      </c>
      <c r="AS307" s="3">
        <v>46202.465223658182</v>
      </c>
      <c r="AT307" t="s">
        <v>89</v>
      </c>
      <c r="AU307" t="s">
        <v>90</v>
      </c>
      <c r="AV307" t="s">
        <v>2712</v>
      </c>
      <c r="AW307" t="s">
        <v>92</v>
      </c>
      <c r="AX307" t="s">
        <v>2713</v>
      </c>
      <c r="AY307" t="s">
        <v>94</v>
      </c>
      <c r="AZ307" t="s">
        <v>85</v>
      </c>
      <c r="BA307" t="s">
        <v>3928</v>
      </c>
      <c r="BB307" t="s">
        <v>3918</v>
      </c>
      <c r="BC307" t="s">
        <v>3920</v>
      </c>
      <c r="BD307" t="s">
        <v>2815</v>
      </c>
      <c r="BE307" t="s">
        <v>2816</v>
      </c>
      <c r="BF307" t="b">
        <f t="shared" si="4"/>
        <v>1</v>
      </c>
      <c r="BG307" t="b">
        <v>1</v>
      </c>
      <c r="BH307">
        <v>2011</v>
      </c>
      <c r="BI307" t="b">
        <v>1</v>
      </c>
      <c r="BJ307" t="s">
        <v>2715</v>
      </c>
      <c r="BK307" t="s">
        <v>2821</v>
      </c>
      <c r="BL307" t="b">
        <v>1</v>
      </c>
      <c r="BM307" t="b">
        <v>1</v>
      </c>
      <c r="BN307" t="b">
        <v>1</v>
      </c>
      <c r="BO307" t="s">
        <v>3929</v>
      </c>
      <c r="BP307" t="b">
        <f>IF(IFERROR(VLOOKUP(A307,[1]Planilha1!$A:$A,1,0),FALSE)=FALSE,FALSE,TRUE)</f>
        <v>1</v>
      </c>
    </row>
    <row r="308" spans="1:68" x14ac:dyDescent="0.25">
      <c r="A308" t="s">
        <v>3930</v>
      </c>
      <c r="B308" t="s">
        <v>68</v>
      </c>
      <c r="D308" s="1">
        <v>46204</v>
      </c>
      <c r="E308" s="1">
        <v>47664</v>
      </c>
      <c r="F308" t="s">
        <v>1415</v>
      </c>
      <c r="G308" t="s">
        <v>1416</v>
      </c>
      <c r="H308" s="2" t="s">
        <v>1417</v>
      </c>
      <c r="I308" t="s">
        <v>1416</v>
      </c>
      <c r="K308" t="s">
        <v>3931</v>
      </c>
      <c r="L308">
        <v>5114745</v>
      </c>
      <c r="M308" t="s">
        <v>1419</v>
      </c>
      <c r="N308" t="s">
        <v>199</v>
      </c>
      <c r="O308" t="s">
        <v>200</v>
      </c>
      <c r="P308" t="s">
        <v>107</v>
      </c>
      <c r="Q308" t="s">
        <v>675</v>
      </c>
      <c r="R308" t="s">
        <v>314</v>
      </c>
      <c r="S308" t="s">
        <v>315</v>
      </c>
      <c r="T308" t="s">
        <v>234</v>
      </c>
      <c r="U308" t="s">
        <v>112</v>
      </c>
      <c r="V308" t="s">
        <v>82</v>
      </c>
      <c r="W308" t="s">
        <v>314</v>
      </c>
      <c r="X308" t="s">
        <v>315</v>
      </c>
      <c r="Y308" t="s">
        <v>234</v>
      </c>
      <c r="Z308" t="s">
        <v>112</v>
      </c>
      <c r="AA308" t="s">
        <v>82</v>
      </c>
      <c r="AB308" t="s">
        <v>83</v>
      </c>
      <c r="AC308" t="s">
        <v>202</v>
      </c>
      <c r="AD308" t="s">
        <v>238</v>
      </c>
      <c r="AE308" t="s">
        <v>3932</v>
      </c>
      <c r="AF308" t="s">
        <v>238</v>
      </c>
      <c r="AG308" t="s">
        <v>3933</v>
      </c>
      <c r="AH308">
        <v>3</v>
      </c>
      <c r="AI308">
        <v>558360</v>
      </c>
      <c r="AJ308">
        <v>55000</v>
      </c>
      <c r="AK308">
        <v>0</v>
      </c>
      <c r="AL308">
        <v>613360</v>
      </c>
      <c r="AR308" t="s">
        <v>1426</v>
      </c>
      <c r="AS308" s="3">
        <v>46202.465223658182</v>
      </c>
      <c r="AT308" t="s">
        <v>89</v>
      </c>
      <c r="AU308" t="s">
        <v>90</v>
      </c>
      <c r="AV308" t="s">
        <v>2712</v>
      </c>
      <c r="AW308" t="s">
        <v>92</v>
      </c>
      <c r="AX308" t="s">
        <v>2713</v>
      </c>
      <c r="AY308" t="s">
        <v>94</v>
      </c>
      <c r="AZ308" t="s">
        <v>85</v>
      </c>
      <c r="BA308" t="s">
        <v>1427</v>
      </c>
      <c r="BB308" t="s">
        <v>3930</v>
      </c>
      <c r="BC308" t="s">
        <v>1416</v>
      </c>
      <c r="BD308" t="s">
        <v>314</v>
      </c>
      <c r="BE308" t="s">
        <v>315</v>
      </c>
      <c r="BF308" t="b">
        <f t="shared" si="4"/>
        <v>0</v>
      </c>
      <c r="BG308" t="b">
        <v>1</v>
      </c>
      <c r="BH308">
        <v>2002</v>
      </c>
      <c r="BI308" t="b">
        <v>0</v>
      </c>
      <c r="BJ308" t="s">
        <v>2715</v>
      </c>
      <c r="BK308" t="s">
        <v>272</v>
      </c>
      <c r="BL308" t="b">
        <v>0</v>
      </c>
      <c r="BM308" t="b">
        <v>1</v>
      </c>
      <c r="BN308" t="b">
        <v>1</v>
      </c>
      <c r="BO308" t="s">
        <v>1428</v>
      </c>
      <c r="BP308" t="b">
        <f>IF(IFERROR(VLOOKUP(A308,[1]Planilha1!$A:$A,1,0),FALSE)=FALSE,FALSE,TRUE)</f>
        <v>0</v>
      </c>
    </row>
    <row r="309" spans="1:68" x14ac:dyDescent="0.25">
      <c r="A309" t="s">
        <v>3934</v>
      </c>
      <c r="B309" t="s">
        <v>68</v>
      </c>
      <c r="D309" s="1">
        <v>46204</v>
      </c>
      <c r="E309" s="1">
        <v>47664</v>
      </c>
      <c r="F309" t="s">
        <v>3935</v>
      </c>
      <c r="G309" t="s">
        <v>3936</v>
      </c>
      <c r="H309" s="2" t="s">
        <v>3937</v>
      </c>
      <c r="I309" t="s">
        <v>3936</v>
      </c>
      <c r="K309" t="s">
        <v>3938</v>
      </c>
      <c r="L309">
        <v>5116527</v>
      </c>
      <c r="M309" t="s">
        <v>3939</v>
      </c>
      <c r="N309" t="s">
        <v>2109</v>
      </c>
      <c r="O309" t="s">
        <v>2018</v>
      </c>
      <c r="P309" t="s">
        <v>230</v>
      </c>
      <c r="Q309" t="s">
        <v>2426</v>
      </c>
      <c r="R309" t="s">
        <v>2815</v>
      </c>
      <c r="S309" t="s">
        <v>2816</v>
      </c>
      <c r="T309" t="s">
        <v>184</v>
      </c>
      <c r="U309" t="s">
        <v>112</v>
      </c>
      <c r="V309" t="s">
        <v>82</v>
      </c>
      <c r="W309" t="s">
        <v>2815</v>
      </c>
      <c r="X309" t="s">
        <v>2816</v>
      </c>
      <c r="Y309" t="s">
        <v>184</v>
      </c>
      <c r="Z309" t="s">
        <v>112</v>
      </c>
      <c r="AA309" t="s">
        <v>82</v>
      </c>
      <c r="AB309" t="s">
        <v>83</v>
      </c>
      <c r="AC309" t="s">
        <v>1013</v>
      </c>
      <c r="AD309" t="s">
        <v>149</v>
      </c>
      <c r="AE309" t="s">
        <v>1957</v>
      </c>
      <c r="AF309" t="s">
        <v>85</v>
      </c>
      <c r="AG309" t="s">
        <v>3940</v>
      </c>
      <c r="AH309">
        <v>5</v>
      </c>
      <c r="AI309">
        <v>775840</v>
      </c>
      <c r="AJ309">
        <v>86528</v>
      </c>
      <c r="AK309">
        <v>0</v>
      </c>
      <c r="AL309">
        <v>862368</v>
      </c>
      <c r="AM309" t="s">
        <v>2815</v>
      </c>
      <c r="AN309" t="s">
        <v>2816</v>
      </c>
      <c r="AO309" t="s">
        <v>184</v>
      </c>
      <c r="AP309" t="s">
        <v>112</v>
      </c>
      <c r="AQ309" t="s">
        <v>82</v>
      </c>
      <c r="AR309" t="s">
        <v>3941</v>
      </c>
      <c r="AS309" s="3">
        <v>46202.465223658182</v>
      </c>
      <c r="AT309" t="s">
        <v>89</v>
      </c>
      <c r="AU309" t="s">
        <v>90</v>
      </c>
      <c r="AV309" t="s">
        <v>2712</v>
      </c>
      <c r="AW309" t="s">
        <v>92</v>
      </c>
      <c r="AX309" t="s">
        <v>2713</v>
      </c>
      <c r="AY309" t="s">
        <v>94</v>
      </c>
      <c r="AZ309" t="s">
        <v>85</v>
      </c>
      <c r="BA309" t="s">
        <v>3942</v>
      </c>
      <c r="BB309" t="s">
        <v>3934</v>
      </c>
      <c r="BC309" t="s">
        <v>3936</v>
      </c>
      <c r="BD309" t="s">
        <v>2815</v>
      </c>
      <c r="BE309" t="s">
        <v>2816</v>
      </c>
      <c r="BF309" t="b">
        <f t="shared" si="4"/>
        <v>0</v>
      </c>
      <c r="BG309" t="b">
        <v>1</v>
      </c>
      <c r="BH309">
        <v>2023</v>
      </c>
      <c r="BI309" t="b">
        <v>0</v>
      </c>
      <c r="BJ309" t="s">
        <v>2715</v>
      </c>
      <c r="BK309" t="s">
        <v>2821</v>
      </c>
      <c r="BL309" t="b">
        <v>1</v>
      </c>
      <c r="BM309" t="b">
        <v>1</v>
      </c>
      <c r="BN309" t="b">
        <v>1</v>
      </c>
      <c r="BO309" t="s">
        <v>3943</v>
      </c>
      <c r="BP309" t="b">
        <f>IF(IFERROR(VLOOKUP(A309,[1]Planilha1!$A:$A,1,0),FALSE)=FALSE,FALSE,TRUE)</f>
        <v>0</v>
      </c>
    </row>
    <row r="310" spans="1:68" x14ac:dyDescent="0.25">
      <c r="A310" t="s">
        <v>3944</v>
      </c>
      <c r="B310" t="s">
        <v>68</v>
      </c>
      <c r="D310" s="1">
        <v>46204</v>
      </c>
      <c r="E310" s="1">
        <v>47664</v>
      </c>
      <c r="F310" t="s">
        <v>3945</v>
      </c>
      <c r="G310" t="s">
        <v>3946</v>
      </c>
      <c r="H310" s="2" t="s">
        <v>3947</v>
      </c>
      <c r="I310" t="s">
        <v>3946</v>
      </c>
      <c r="K310" t="s">
        <v>3948</v>
      </c>
      <c r="L310">
        <v>5116382</v>
      </c>
      <c r="M310" t="s">
        <v>3949</v>
      </c>
      <c r="N310" t="s">
        <v>389</v>
      </c>
      <c r="O310" t="s">
        <v>390</v>
      </c>
      <c r="P310" t="s">
        <v>107</v>
      </c>
      <c r="Q310" t="s">
        <v>1979</v>
      </c>
      <c r="R310" t="s">
        <v>2773</v>
      </c>
      <c r="S310" t="s">
        <v>2774</v>
      </c>
      <c r="T310" t="s">
        <v>184</v>
      </c>
      <c r="U310" t="s">
        <v>112</v>
      </c>
      <c r="V310" t="s">
        <v>82</v>
      </c>
      <c r="W310" t="s">
        <v>2773</v>
      </c>
      <c r="X310" t="s">
        <v>2774</v>
      </c>
      <c r="Y310" t="s">
        <v>184</v>
      </c>
      <c r="Z310" t="s">
        <v>112</v>
      </c>
      <c r="AA310" t="s">
        <v>82</v>
      </c>
      <c r="AB310" t="s">
        <v>83</v>
      </c>
      <c r="AC310" t="s">
        <v>202</v>
      </c>
      <c r="AD310" t="s">
        <v>252</v>
      </c>
      <c r="AE310" t="s">
        <v>3950</v>
      </c>
      <c r="AF310" t="s">
        <v>252</v>
      </c>
      <c r="AG310" t="s">
        <v>3951</v>
      </c>
      <c r="AH310">
        <v>7</v>
      </c>
      <c r="AI310">
        <v>1160016</v>
      </c>
      <c r="AJ310">
        <v>84680</v>
      </c>
      <c r="AK310">
        <v>0</v>
      </c>
      <c r="AL310">
        <v>1244696</v>
      </c>
      <c r="AM310" t="s">
        <v>2773</v>
      </c>
      <c r="AN310" t="s">
        <v>2774</v>
      </c>
      <c r="AO310" t="s">
        <v>184</v>
      </c>
      <c r="AP310" t="s">
        <v>112</v>
      </c>
      <c r="AQ310" t="s">
        <v>82</v>
      </c>
      <c r="AR310" t="s">
        <v>3952</v>
      </c>
      <c r="AS310" s="3">
        <v>46202.465223658182</v>
      </c>
      <c r="AT310" t="s">
        <v>89</v>
      </c>
      <c r="AU310" t="s">
        <v>90</v>
      </c>
      <c r="AV310" t="s">
        <v>2712</v>
      </c>
      <c r="AW310" t="s">
        <v>92</v>
      </c>
      <c r="AX310" t="s">
        <v>2713</v>
      </c>
      <c r="AY310" t="s">
        <v>94</v>
      </c>
      <c r="AZ310" t="s">
        <v>85</v>
      </c>
      <c r="BA310" t="s">
        <v>3953</v>
      </c>
      <c r="BB310" t="s">
        <v>3944</v>
      </c>
      <c r="BC310" t="s">
        <v>3946</v>
      </c>
      <c r="BD310" t="s">
        <v>2773</v>
      </c>
      <c r="BE310" t="s">
        <v>2774</v>
      </c>
      <c r="BF310" t="b">
        <f t="shared" si="4"/>
        <v>1</v>
      </c>
      <c r="BG310" t="b">
        <v>1</v>
      </c>
      <c r="BH310">
        <v>2016</v>
      </c>
      <c r="BI310" t="b">
        <v>1</v>
      </c>
      <c r="BJ310" t="s">
        <v>2715</v>
      </c>
      <c r="BK310" t="s">
        <v>2779</v>
      </c>
      <c r="BL310" t="b">
        <v>1</v>
      </c>
      <c r="BM310" t="b">
        <v>1</v>
      </c>
      <c r="BN310" t="b">
        <v>1</v>
      </c>
      <c r="BO310" t="s">
        <v>3954</v>
      </c>
      <c r="BP310" t="b">
        <f>IF(IFERROR(VLOOKUP(A310,[1]Planilha1!$A:$A,1,0),FALSE)=FALSE,FALSE,TRUE)</f>
        <v>1</v>
      </c>
    </row>
    <row r="311" spans="1:68" x14ac:dyDescent="0.25">
      <c r="A311" t="s">
        <v>3955</v>
      </c>
      <c r="B311" t="s">
        <v>68</v>
      </c>
      <c r="D311" s="1">
        <v>46204</v>
      </c>
      <c r="E311" s="1">
        <v>47664</v>
      </c>
      <c r="F311" t="s">
        <v>3956</v>
      </c>
      <c r="G311" t="s">
        <v>3957</v>
      </c>
      <c r="H311" s="2" t="s">
        <v>3958</v>
      </c>
      <c r="I311" t="s">
        <v>3957</v>
      </c>
      <c r="K311" t="s">
        <v>3959</v>
      </c>
      <c r="L311">
        <v>5116791</v>
      </c>
      <c r="M311" t="s">
        <v>3960</v>
      </c>
      <c r="N311" t="s">
        <v>3961</v>
      </c>
      <c r="O311" t="s">
        <v>3962</v>
      </c>
      <c r="P311" t="s">
        <v>439</v>
      </c>
      <c r="Q311" t="s">
        <v>3963</v>
      </c>
      <c r="R311" t="s">
        <v>2787</v>
      </c>
      <c r="S311" t="s">
        <v>2788</v>
      </c>
      <c r="T311" t="s">
        <v>111</v>
      </c>
      <c r="U311" t="s">
        <v>112</v>
      </c>
      <c r="V311" t="s">
        <v>82</v>
      </c>
      <c r="W311" t="s">
        <v>2787</v>
      </c>
      <c r="X311" t="s">
        <v>2788</v>
      </c>
      <c r="Y311" t="s">
        <v>111</v>
      </c>
      <c r="Z311" t="s">
        <v>112</v>
      </c>
      <c r="AA311" t="s">
        <v>82</v>
      </c>
      <c r="AB311" t="s">
        <v>83</v>
      </c>
      <c r="AC311" t="s">
        <v>202</v>
      </c>
      <c r="AD311" t="s">
        <v>149</v>
      </c>
      <c r="AE311" t="s">
        <v>3964</v>
      </c>
      <c r="AF311" t="s">
        <v>85</v>
      </c>
      <c r="AG311" t="s">
        <v>3965</v>
      </c>
      <c r="AH311">
        <v>4</v>
      </c>
      <c r="AI311">
        <v>998400</v>
      </c>
      <c r="AJ311">
        <v>443733</v>
      </c>
      <c r="AK311">
        <v>0</v>
      </c>
      <c r="AL311">
        <v>1442133</v>
      </c>
      <c r="AM311" t="s">
        <v>2787</v>
      </c>
      <c r="AN311" t="s">
        <v>2788</v>
      </c>
      <c r="AO311" t="s">
        <v>111</v>
      </c>
      <c r="AP311" t="s">
        <v>112</v>
      </c>
      <c r="AQ311" t="s">
        <v>82</v>
      </c>
      <c r="AR311" t="s">
        <v>3966</v>
      </c>
      <c r="AS311" s="3">
        <v>46202.465223658182</v>
      </c>
      <c r="AT311" t="s">
        <v>89</v>
      </c>
      <c r="AU311" t="s">
        <v>90</v>
      </c>
      <c r="AV311" t="s">
        <v>2712</v>
      </c>
      <c r="AW311" t="s">
        <v>92</v>
      </c>
      <c r="AX311" t="s">
        <v>2713</v>
      </c>
      <c r="AY311" t="s">
        <v>94</v>
      </c>
      <c r="AZ311" t="s">
        <v>85</v>
      </c>
      <c r="BA311" t="s">
        <v>3967</v>
      </c>
      <c r="BB311" t="s">
        <v>3955</v>
      </c>
      <c r="BC311" t="s">
        <v>3957</v>
      </c>
      <c r="BD311" t="s">
        <v>2787</v>
      </c>
      <c r="BE311" t="s">
        <v>2788</v>
      </c>
      <c r="BF311" t="b">
        <f t="shared" si="4"/>
        <v>1</v>
      </c>
      <c r="BG311" t="b">
        <v>1</v>
      </c>
      <c r="BH311">
        <v>2021</v>
      </c>
      <c r="BI311" t="b">
        <v>1</v>
      </c>
      <c r="BJ311" t="s">
        <v>2715</v>
      </c>
      <c r="BK311" t="s">
        <v>2716</v>
      </c>
      <c r="BL311" t="b">
        <v>1</v>
      </c>
      <c r="BM311" t="b">
        <v>1</v>
      </c>
      <c r="BN311" t="b">
        <v>1</v>
      </c>
      <c r="BO311" t="s">
        <v>3968</v>
      </c>
      <c r="BP311" t="b">
        <f>IF(IFERROR(VLOOKUP(A311,[1]Planilha1!$A:$A,1,0),FALSE)=FALSE,FALSE,TRUE)</f>
        <v>1</v>
      </c>
    </row>
    <row r="312" spans="1:68" x14ac:dyDescent="0.25">
      <c r="A312" t="s">
        <v>3969</v>
      </c>
      <c r="B312" t="s">
        <v>68</v>
      </c>
      <c r="D312" s="1">
        <v>46204</v>
      </c>
      <c r="E312" s="1">
        <v>47664</v>
      </c>
      <c r="F312" t="s">
        <v>3970</v>
      </c>
      <c r="G312" t="s">
        <v>3971</v>
      </c>
      <c r="H312" s="2" t="s">
        <v>3972</v>
      </c>
      <c r="I312" t="s">
        <v>3971</v>
      </c>
      <c r="K312" t="s">
        <v>3973</v>
      </c>
      <c r="L312">
        <v>5116614</v>
      </c>
      <c r="M312" t="s">
        <v>3974</v>
      </c>
      <c r="N312" t="s">
        <v>2853</v>
      </c>
      <c r="O312" t="s">
        <v>390</v>
      </c>
      <c r="P312" t="s">
        <v>107</v>
      </c>
      <c r="Q312" t="s">
        <v>2854</v>
      </c>
      <c r="R312" t="s">
        <v>2773</v>
      </c>
      <c r="S312" t="s">
        <v>2774</v>
      </c>
      <c r="T312" t="s">
        <v>184</v>
      </c>
      <c r="U312" t="s">
        <v>112</v>
      </c>
      <c r="V312" t="s">
        <v>82</v>
      </c>
      <c r="W312" t="s">
        <v>2773</v>
      </c>
      <c r="X312" t="s">
        <v>2774</v>
      </c>
      <c r="Y312" t="s">
        <v>184</v>
      </c>
      <c r="Z312" t="s">
        <v>112</v>
      </c>
      <c r="AA312" t="s">
        <v>82</v>
      </c>
      <c r="AB312" t="s">
        <v>83</v>
      </c>
      <c r="AC312" t="s">
        <v>202</v>
      </c>
      <c r="AD312" t="s">
        <v>149</v>
      </c>
      <c r="AE312" t="s">
        <v>3975</v>
      </c>
      <c r="AF312" t="s">
        <v>85</v>
      </c>
      <c r="AG312" t="s">
        <v>3976</v>
      </c>
      <c r="AH312">
        <v>6</v>
      </c>
      <c r="AI312">
        <v>503640</v>
      </c>
      <c r="AJ312">
        <v>49280.4</v>
      </c>
      <c r="AK312">
        <v>0</v>
      </c>
      <c r="AL312">
        <v>552920.4</v>
      </c>
      <c r="AM312" t="s">
        <v>2773</v>
      </c>
      <c r="AN312" t="s">
        <v>2774</v>
      </c>
      <c r="AO312" t="s">
        <v>184</v>
      </c>
      <c r="AP312" t="s">
        <v>112</v>
      </c>
      <c r="AQ312" t="s">
        <v>82</v>
      </c>
      <c r="AR312" t="s">
        <v>3977</v>
      </c>
      <c r="AS312" s="3">
        <v>46202.465223658182</v>
      </c>
      <c r="AT312" t="s">
        <v>89</v>
      </c>
      <c r="AU312" t="s">
        <v>90</v>
      </c>
      <c r="AV312" t="s">
        <v>2712</v>
      </c>
      <c r="AW312" t="s">
        <v>92</v>
      </c>
      <c r="AX312" t="s">
        <v>2713</v>
      </c>
      <c r="AY312" t="s">
        <v>94</v>
      </c>
      <c r="AZ312" t="s">
        <v>85</v>
      </c>
      <c r="BA312" t="s">
        <v>3978</v>
      </c>
      <c r="BB312" t="s">
        <v>3969</v>
      </c>
      <c r="BC312" t="s">
        <v>3971</v>
      </c>
      <c r="BD312" t="s">
        <v>2773</v>
      </c>
      <c r="BE312" t="s">
        <v>2774</v>
      </c>
      <c r="BF312" t="b">
        <f t="shared" si="4"/>
        <v>1</v>
      </c>
      <c r="BG312" t="b">
        <v>1</v>
      </c>
      <c r="BH312">
        <v>1998</v>
      </c>
      <c r="BI312" t="b">
        <v>1</v>
      </c>
      <c r="BJ312" t="s">
        <v>2715</v>
      </c>
      <c r="BK312" t="s">
        <v>2779</v>
      </c>
      <c r="BL312" t="b">
        <v>1</v>
      </c>
      <c r="BM312" t="b">
        <v>1</v>
      </c>
      <c r="BN312" t="b">
        <v>1</v>
      </c>
      <c r="BO312" t="s">
        <v>3979</v>
      </c>
      <c r="BP312" t="b">
        <f>IF(IFERROR(VLOOKUP(A312,[1]Planilha1!$A:$A,1,0),FALSE)=FALSE,FALSE,TRUE)</f>
        <v>1</v>
      </c>
    </row>
    <row r="313" spans="1:68" x14ac:dyDescent="0.25">
      <c r="A313" t="s">
        <v>3980</v>
      </c>
      <c r="B313" t="s">
        <v>68</v>
      </c>
      <c r="D313" s="1">
        <v>46204</v>
      </c>
      <c r="E313" s="1">
        <v>47664</v>
      </c>
      <c r="F313" t="s">
        <v>3981</v>
      </c>
      <c r="G313" t="s">
        <v>3982</v>
      </c>
      <c r="H313" s="2" t="s">
        <v>3983</v>
      </c>
      <c r="I313" t="s">
        <v>3982</v>
      </c>
      <c r="K313" t="s">
        <v>3984</v>
      </c>
      <c r="L313">
        <v>5116432</v>
      </c>
      <c r="M313" t="s">
        <v>3985</v>
      </c>
      <c r="N313" t="s">
        <v>389</v>
      </c>
      <c r="O313" t="s">
        <v>390</v>
      </c>
      <c r="P313" t="s">
        <v>107</v>
      </c>
      <c r="Q313" t="s">
        <v>2097</v>
      </c>
      <c r="R313" t="s">
        <v>2773</v>
      </c>
      <c r="S313" t="s">
        <v>2774</v>
      </c>
      <c r="T313" t="s">
        <v>184</v>
      </c>
      <c r="U313" t="s">
        <v>112</v>
      </c>
      <c r="V313" t="s">
        <v>82</v>
      </c>
      <c r="W313" t="s">
        <v>2773</v>
      </c>
      <c r="X313" t="s">
        <v>2774</v>
      </c>
      <c r="Y313" t="s">
        <v>184</v>
      </c>
      <c r="Z313" t="s">
        <v>112</v>
      </c>
      <c r="AA313" t="s">
        <v>82</v>
      </c>
      <c r="AB313" t="s">
        <v>83</v>
      </c>
      <c r="AC313" t="s">
        <v>202</v>
      </c>
      <c r="AD313" t="s">
        <v>252</v>
      </c>
      <c r="AE313" t="s">
        <v>3986</v>
      </c>
      <c r="AF313" t="s">
        <v>252</v>
      </c>
      <c r="AG313" t="s">
        <v>3987</v>
      </c>
      <c r="AH313">
        <v>15</v>
      </c>
      <c r="AI313">
        <v>1338240</v>
      </c>
      <c r="AJ313">
        <v>149621.32999999999</v>
      </c>
      <c r="AK313">
        <v>0</v>
      </c>
      <c r="AL313">
        <v>1487861.33</v>
      </c>
      <c r="AM313" t="s">
        <v>2773</v>
      </c>
      <c r="AN313" t="s">
        <v>2774</v>
      </c>
      <c r="AO313" t="s">
        <v>184</v>
      </c>
      <c r="AP313" t="s">
        <v>112</v>
      </c>
      <c r="AQ313" t="s">
        <v>82</v>
      </c>
      <c r="AR313" t="s">
        <v>3988</v>
      </c>
      <c r="AS313" s="3">
        <v>46202.465223658182</v>
      </c>
      <c r="AT313" t="s">
        <v>89</v>
      </c>
      <c r="AU313" t="s">
        <v>90</v>
      </c>
      <c r="AV313" t="s">
        <v>2712</v>
      </c>
      <c r="AW313" t="s">
        <v>92</v>
      </c>
      <c r="AX313" t="s">
        <v>2713</v>
      </c>
      <c r="AY313" t="s">
        <v>94</v>
      </c>
      <c r="AZ313" t="s">
        <v>85</v>
      </c>
      <c r="BA313" t="s">
        <v>3989</v>
      </c>
      <c r="BB313" t="s">
        <v>3980</v>
      </c>
      <c r="BC313" t="s">
        <v>3982</v>
      </c>
      <c r="BD313" t="s">
        <v>2773</v>
      </c>
      <c r="BE313" t="s">
        <v>2774</v>
      </c>
      <c r="BF313" t="b">
        <f t="shared" si="4"/>
        <v>1</v>
      </c>
      <c r="BG313" t="b">
        <v>1</v>
      </c>
      <c r="BH313">
        <v>2004</v>
      </c>
      <c r="BI313" t="b">
        <v>1</v>
      </c>
      <c r="BJ313" t="s">
        <v>2715</v>
      </c>
      <c r="BK313" t="s">
        <v>2779</v>
      </c>
      <c r="BL313" t="b">
        <v>1</v>
      </c>
      <c r="BM313" t="b">
        <v>1</v>
      </c>
      <c r="BN313" t="b">
        <v>1</v>
      </c>
      <c r="BO313" t="s">
        <v>3990</v>
      </c>
      <c r="BP313" t="b">
        <f>IF(IFERROR(VLOOKUP(A313,[1]Planilha1!$A:$A,1,0),FALSE)=FALSE,FALSE,TRUE)</f>
        <v>1</v>
      </c>
    </row>
    <row r="314" spans="1:68" x14ac:dyDescent="0.25">
      <c r="A314" t="s">
        <v>3991</v>
      </c>
      <c r="B314" t="s">
        <v>68</v>
      </c>
      <c r="D314" s="1">
        <v>46204</v>
      </c>
      <c r="E314" s="1">
        <v>47664</v>
      </c>
      <c r="F314" t="s">
        <v>3992</v>
      </c>
      <c r="G314" t="s">
        <v>3993</v>
      </c>
      <c r="H314" s="2" t="s">
        <v>3994</v>
      </c>
      <c r="I314" t="s">
        <v>3993</v>
      </c>
      <c r="K314" t="s">
        <v>3995</v>
      </c>
      <c r="L314">
        <v>5112750</v>
      </c>
      <c r="M314" t="s">
        <v>3996</v>
      </c>
      <c r="N314" t="s">
        <v>1130</v>
      </c>
      <c r="O314" t="s">
        <v>1131</v>
      </c>
      <c r="P314" t="s">
        <v>529</v>
      </c>
      <c r="Q314" t="s">
        <v>3997</v>
      </c>
      <c r="R314" t="s">
        <v>3998</v>
      </c>
      <c r="S314" t="s">
        <v>3999</v>
      </c>
      <c r="T314" t="s">
        <v>1447</v>
      </c>
      <c r="U314" t="s">
        <v>301</v>
      </c>
      <c r="V314" t="s">
        <v>82</v>
      </c>
      <c r="W314" t="s">
        <v>3998</v>
      </c>
      <c r="X314" t="s">
        <v>3999</v>
      </c>
      <c r="Y314" t="s">
        <v>1447</v>
      </c>
      <c r="Z314" t="s">
        <v>301</v>
      </c>
      <c r="AA314" t="s">
        <v>82</v>
      </c>
      <c r="AB314" t="s">
        <v>83</v>
      </c>
      <c r="AC314" t="s">
        <v>1135</v>
      </c>
      <c r="AD314" t="s">
        <v>236</v>
      </c>
      <c r="AE314" t="s">
        <v>4000</v>
      </c>
      <c r="AF314" t="s">
        <v>236</v>
      </c>
      <c r="AG314" t="s">
        <v>4001</v>
      </c>
      <c r="AH314">
        <v>9</v>
      </c>
      <c r="AI314">
        <v>1041720</v>
      </c>
      <c r="AJ314">
        <v>145764</v>
      </c>
      <c r="AK314">
        <v>0</v>
      </c>
      <c r="AL314">
        <v>1187484</v>
      </c>
      <c r="AM314" t="s">
        <v>3998</v>
      </c>
      <c r="AN314" t="s">
        <v>3999</v>
      </c>
      <c r="AO314" t="s">
        <v>1447</v>
      </c>
      <c r="AP314" t="s">
        <v>301</v>
      </c>
      <c r="AQ314" t="s">
        <v>82</v>
      </c>
      <c r="AR314" t="s">
        <v>4002</v>
      </c>
      <c r="AS314" s="3">
        <v>46202.465223658182</v>
      </c>
      <c r="AT314" t="s">
        <v>89</v>
      </c>
      <c r="AU314" t="s">
        <v>90</v>
      </c>
      <c r="AV314" t="s">
        <v>2712</v>
      </c>
      <c r="AW314" t="s">
        <v>92</v>
      </c>
      <c r="AX314" t="s">
        <v>2713</v>
      </c>
      <c r="AY314" t="s">
        <v>94</v>
      </c>
      <c r="AZ314" t="s">
        <v>85</v>
      </c>
      <c r="BA314" t="s">
        <v>4003</v>
      </c>
      <c r="BB314" t="s">
        <v>3991</v>
      </c>
      <c r="BC314" t="s">
        <v>3993</v>
      </c>
      <c r="BD314" t="s">
        <v>3998</v>
      </c>
      <c r="BE314" t="s">
        <v>3999</v>
      </c>
      <c r="BF314" t="b">
        <f t="shared" si="4"/>
        <v>0</v>
      </c>
      <c r="BG314" t="b">
        <v>0</v>
      </c>
      <c r="BH314">
        <v>2019</v>
      </c>
      <c r="BI314" t="b">
        <v>0</v>
      </c>
      <c r="BJ314" t="s">
        <v>2715</v>
      </c>
      <c r="BK314" t="s">
        <v>1911</v>
      </c>
      <c r="BL314" t="b">
        <v>1</v>
      </c>
      <c r="BM314" t="b">
        <v>1</v>
      </c>
      <c r="BN314" t="b">
        <v>1</v>
      </c>
      <c r="BO314" t="s">
        <v>4004</v>
      </c>
      <c r="BP314" t="b">
        <f>IF(IFERROR(VLOOKUP(A314,[1]Planilha1!$A:$A,1,0),FALSE)=FALSE,FALSE,TRUE)</f>
        <v>0</v>
      </c>
    </row>
    <row r="315" spans="1:68" x14ac:dyDescent="0.25">
      <c r="A315" t="s">
        <v>4005</v>
      </c>
      <c r="B315" t="s">
        <v>68</v>
      </c>
      <c r="D315" s="1">
        <v>46204</v>
      </c>
      <c r="E315" s="1">
        <v>47664</v>
      </c>
      <c r="F315" t="s">
        <v>4006</v>
      </c>
      <c r="G315" t="s">
        <v>4007</v>
      </c>
      <c r="H315" s="2" t="s">
        <v>4008</v>
      </c>
      <c r="I315" t="s">
        <v>4007</v>
      </c>
      <c r="K315" t="s">
        <v>4009</v>
      </c>
      <c r="L315">
        <v>5116677</v>
      </c>
      <c r="M315" t="s">
        <v>4010</v>
      </c>
      <c r="N315" t="s">
        <v>389</v>
      </c>
      <c r="O315" t="s">
        <v>390</v>
      </c>
      <c r="P315" t="s">
        <v>107</v>
      </c>
      <c r="Q315" t="s">
        <v>1892</v>
      </c>
      <c r="R315" t="s">
        <v>2707</v>
      </c>
      <c r="S315" t="s">
        <v>2708</v>
      </c>
      <c r="T315" t="s">
        <v>184</v>
      </c>
      <c r="U315" t="s">
        <v>112</v>
      </c>
      <c r="V315" t="s">
        <v>82</v>
      </c>
      <c r="W315" t="s">
        <v>2707</v>
      </c>
      <c r="X315" t="s">
        <v>2708</v>
      </c>
      <c r="Y315" t="s">
        <v>184</v>
      </c>
      <c r="Z315" t="s">
        <v>112</v>
      </c>
      <c r="AA315" t="s">
        <v>82</v>
      </c>
      <c r="AB315" t="s">
        <v>83</v>
      </c>
      <c r="AC315" t="s">
        <v>202</v>
      </c>
      <c r="AD315" t="s">
        <v>149</v>
      </c>
      <c r="AE315" t="s">
        <v>4011</v>
      </c>
      <c r="AF315" t="s">
        <v>85</v>
      </c>
      <c r="AG315" t="s">
        <v>4012</v>
      </c>
      <c r="AH315">
        <v>7</v>
      </c>
      <c r="AI315">
        <v>1313780</v>
      </c>
      <c r="AJ315">
        <v>170838.31</v>
      </c>
      <c r="AK315">
        <v>0</v>
      </c>
      <c r="AL315">
        <v>1484618.31</v>
      </c>
      <c r="AM315" t="s">
        <v>2707</v>
      </c>
      <c r="AN315" t="s">
        <v>2708</v>
      </c>
      <c r="AO315" t="s">
        <v>184</v>
      </c>
      <c r="AP315" t="s">
        <v>112</v>
      </c>
      <c r="AQ315" t="s">
        <v>82</v>
      </c>
      <c r="AR315" t="s">
        <v>4013</v>
      </c>
      <c r="AS315" s="3">
        <v>46202.465223658182</v>
      </c>
      <c r="AT315" t="s">
        <v>89</v>
      </c>
      <c r="AU315" t="s">
        <v>90</v>
      </c>
      <c r="AV315" t="s">
        <v>2712</v>
      </c>
      <c r="AW315" t="s">
        <v>92</v>
      </c>
      <c r="AX315" t="s">
        <v>2713</v>
      </c>
      <c r="AY315" t="s">
        <v>94</v>
      </c>
      <c r="AZ315" t="s">
        <v>85</v>
      </c>
      <c r="BA315" t="s">
        <v>4014</v>
      </c>
      <c r="BB315" t="s">
        <v>4005</v>
      </c>
      <c r="BC315" t="s">
        <v>4007</v>
      </c>
      <c r="BD315" t="s">
        <v>2707</v>
      </c>
      <c r="BE315" t="s">
        <v>2708</v>
      </c>
      <c r="BF315" t="b">
        <f t="shared" si="4"/>
        <v>1</v>
      </c>
      <c r="BG315" t="b">
        <v>1</v>
      </c>
      <c r="BH315">
        <v>2002</v>
      </c>
      <c r="BI315" t="b">
        <v>1</v>
      </c>
      <c r="BJ315" t="s">
        <v>2715</v>
      </c>
      <c r="BK315" t="s">
        <v>2716</v>
      </c>
      <c r="BL315" t="b">
        <v>1</v>
      </c>
      <c r="BM315" t="b">
        <v>1</v>
      </c>
      <c r="BN315" t="b">
        <v>1</v>
      </c>
      <c r="BO315" t="s">
        <v>4015</v>
      </c>
      <c r="BP315" t="b">
        <f>IF(IFERROR(VLOOKUP(A315,[1]Planilha1!$A:$A,1,0),FALSE)=FALSE,FALSE,TRUE)</f>
        <v>1</v>
      </c>
    </row>
    <row r="316" spans="1:68" x14ac:dyDescent="0.25">
      <c r="A316" t="s">
        <v>4016</v>
      </c>
      <c r="B316" t="s">
        <v>68</v>
      </c>
      <c r="D316" s="1">
        <v>46204</v>
      </c>
      <c r="E316" s="1">
        <v>47664</v>
      </c>
      <c r="F316" t="s">
        <v>4017</v>
      </c>
      <c r="G316" t="s">
        <v>4018</v>
      </c>
      <c r="H316" s="2" t="s">
        <v>4019</v>
      </c>
      <c r="I316" t="s">
        <v>4018</v>
      </c>
      <c r="K316" t="s">
        <v>4020</v>
      </c>
      <c r="L316">
        <v>5116839</v>
      </c>
      <c r="M316" t="s">
        <v>4021</v>
      </c>
      <c r="N316" t="s">
        <v>295</v>
      </c>
      <c r="O316" t="s">
        <v>296</v>
      </c>
      <c r="P316" t="s">
        <v>129</v>
      </c>
      <c r="Q316" t="s">
        <v>4022</v>
      </c>
      <c r="R316" t="s">
        <v>2725</v>
      </c>
      <c r="S316" t="s">
        <v>2726</v>
      </c>
      <c r="T316" t="s">
        <v>184</v>
      </c>
      <c r="U316" t="s">
        <v>112</v>
      </c>
      <c r="V316" t="s">
        <v>82</v>
      </c>
      <c r="W316" t="s">
        <v>2725</v>
      </c>
      <c r="X316" t="s">
        <v>2726</v>
      </c>
      <c r="Y316" t="s">
        <v>184</v>
      </c>
      <c r="Z316" t="s">
        <v>112</v>
      </c>
      <c r="AA316" t="s">
        <v>82</v>
      </c>
      <c r="AB316" t="s">
        <v>83</v>
      </c>
      <c r="AC316" t="s">
        <v>135</v>
      </c>
      <c r="AD316" t="s">
        <v>85</v>
      </c>
      <c r="AE316" t="s">
        <v>4023</v>
      </c>
      <c r="AF316" t="s">
        <v>85</v>
      </c>
      <c r="AG316" t="s">
        <v>4024</v>
      </c>
      <c r="AH316">
        <v>5</v>
      </c>
      <c r="AI316">
        <v>973940</v>
      </c>
      <c r="AJ316">
        <v>126547.2</v>
      </c>
      <c r="AK316">
        <v>0</v>
      </c>
      <c r="AL316">
        <v>1100487.2</v>
      </c>
      <c r="AM316" t="s">
        <v>2725</v>
      </c>
      <c r="AN316" t="s">
        <v>2726</v>
      </c>
      <c r="AO316" t="s">
        <v>184</v>
      </c>
      <c r="AP316" t="s">
        <v>112</v>
      </c>
      <c r="AQ316" t="s">
        <v>82</v>
      </c>
      <c r="AR316" t="s">
        <v>4025</v>
      </c>
      <c r="AS316" s="3">
        <v>46202.465223658182</v>
      </c>
      <c r="AT316" t="s">
        <v>89</v>
      </c>
      <c r="AU316" t="s">
        <v>90</v>
      </c>
      <c r="AV316" t="s">
        <v>2712</v>
      </c>
      <c r="AW316" t="s">
        <v>92</v>
      </c>
      <c r="AX316" t="s">
        <v>2713</v>
      </c>
      <c r="AY316" t="s">
        <v>94</v>
      </c>
      <c r="AZ316" t="s">
        <v>85</v>
      </c>
      <c r="BA316" t="s">
        <v>4026</v>
      </c>
      <c r="BB316" t="s">
        <v>4016</v>
      </c>
      <c r="BC316" t="s">
        <v>4018</v>
      </c>
      <c r="BD316" t="s">
        <v>2725</v>
      </c>
      <c r="BE316" t="s">
        <v>2726</v>
      </c>
      <c r="BF316" t="b">
        <f t="shared" si="4"/>
        <v>1</v>
      </c>
      <c r="BG316" t="b">
        <v>1</v>
      </c>
      <c r="BH316">
        <v>1996</v>
      </c>
      <c r="BI316" t="b">
        <v>1</v>
      </c>
      <c r="BJ316" t="s">
        <v>2715</v>
      </c>
      <c r="BK316" t="s">
        <v>2731</v>
      </c>
      <c r="BL316" t="b">
        <v>1</v>
      </c>
      <c r="BM316" t="b">
        <v>1</v>
      </c>
      <c r="BN316" t="b">
        <v>1</v>
      </c>
      <c r="BO316" t="s">
        <v>4027</v>
      </c>
      <c r="BP316" t="b">
        <f>IF(IFERROR(VLOOKUP(A316,[1]Planilha1!$A:$A,1,0),FALSE)=FALSE,FALSE,TRUE)</f>
        <v>1</v>
      </c>
    </row>
    <row r="317" spans="1:68" x14ac:dyDescent="0.25">
      <c r="A317" t="s">
        <v>4028</v>
      </c>
      <c r="B317" t="s">
        <v>68</v>
      </c>
      <c r="D317" s="1">
        <v>46204</v>
      </c>
      <c r="E317" s="1">
        <v>47664</v>
      </c>
      <c r="F317" t="s">
        <v>4029</v>
      </c>
      <c r="G317" t="s">
        <v>4030</v>
      </c>
      <c r="H317" s="2" t="s">
        <v>4031</v>
      </c>
      <c r="I317" t="s">
        <v>4030</v>
      </c>
      <c r="K317" t="s">
        <v>4032</v>
      </c>
      <c r="L317">
        <v>5116586</v>
      </c>
      <c r="M317" t="s">
        <v>4033</v>
      </c>
      <c r="N317" t="s">
        <v>2109</v>
      </c>
      <c r="O317" t="s">
        <v>2018</v>
      </c>
      <c r="P317" t="s">
        <v>230</v>
      </c>
      <c r="Q317" t="s">
        <v>3160</v>
      </c>
      <c r="R317" t="s">
        <v>2972</v>
      </c>
      <c r="S317" t="s">
        <v>2973</v>
      </c>
      <c r="T317" t="s">
        <v>300</v>
      </c>
      <c r="U317" t="s">
        <v>301</v>
      </c>
      <c r="V317" t="s">
        <v>82</v>
      </c>
      <c r="W317" t="s">
        <v>2972</v>
      </c>
      <c r="X317" t="s">
        <v>2973</v>
      </c>
      <c r="Y317" t="s">
        <v>300</v>
      </c>
      <c r="Z317" t="s">
        <v>301</v>
      </c>
      <c r="AA317" t="s">
        <v>82</v>
      </c>
      <c r="AB317" t="s">
        <v>83</v>
      </c>
      <c r="AC317" t="s">
        <v>1013</v>
      </c>
      <c r="AD317" t="s">
        <v>149</v>
      </c>
      <c r="AE317" t="s">
        <v>4034</v>
      </c>
      <c r="AF317" t="s">
        <v>85</v>
      </c>
      <c r="AG317" t="s">
        <v>4035</v>
      </c>
      <c r="AH317">
        <v>4</v>
      </c>
      <c r="AI317">
        <v>698880</v>
      </c>
      <c r="AJ317">
        <v>167500</v>
      </c>
      <c r="AK317">
        <v>0</v>
      </c>
      <c r="AL317">
        <v>866380</v>
      </c>
      <c r="AR317" t="s">
        <v>4036</v>
      </c>
      <c r="AS317" s="3">
        <v>46202.465223658182</v>
      </c>
      <c r="AT317" t="s">
        <v>89</v>
      </c>
      <c r="AU317" t="s">
        <v>90</v>
      </c>
      <c r="AV317" t="s">
        <v>2712</v>
      </c>
      <c r="AW317" t="s">
        <v>92</v>
      </c>
      <c r="AX317" t="s">
        <v>2713</v>
      </c>
      <c r="AY317" t="s">
        <v>94</v>
      </c>
      <c r="AZ317" t="s">
        <v>85</v>
      </c>
      <c r="BA317" t="s">
        <v>4037</v>
      </c>
      <c r="BB317" t="s">
        <v>4028</v>
      </c>
      <c r="BC317" t="s">
        <v>4030</v>
      </c>
      <c r="BD317" t="s">
        <v>2972</v>
      </c>
      <c r="BE317" t="s">
        <v>2973</v>
      </c>
      <c r="BF317" t="b">
        <f t="shared" si="4"/>
        <v>0</v>
      </c>
      <c r="BG317" t="b">
        <v>1</v>
      </c>
      <c r="BH317">
        <v>2008</v>
      </c>
      <c r="BI317" t="b">
        <v>0</v>
      </c>
      <c r="BJ317" t="s">
        <v>2715</v>
      </c>
      <c r="BK317" t="s">
        <v>2978</v>
      </c>
      <c r="BL317" t="b">
        <v>1</v>
      </c>
      <c r="BM317" t="b">
        <v>1</v>
      </c>
      <c r="BN317" t="b">
        <v>0</v>
      </c>
      <c r="BO317" t="s">
        <v>4038</v>
      </c>
      <c r="BP317" t="b">
        <f>IF(IFERROR(VLOOKUP(A317,[1]Planilha1!$A:$A,1,0),FALSE)=FALSE,FALSE,TRUE)</f>
        <v>0</v>
      </c>
    </row>
    <row r="318" spans="1:68" x14ac:dyDescent="0.25">
      <c r="A318" t="s">
        <v>4039</v>
      </c>
      <c r="B318" t="s">
        <v>68</v>
      </c>
      <c r="D318" s="1">
        <v>46204</v>
      </c>
      <c r="E318" s="1">
        <v>47664</v>
      </c>
      <c r="F318" t="s">
        <v>4040</v>
      </c>
      <c r="G318" t="s">
        <v>4041</v>
      </c>
      <c r="H318" s="2" t="s">
        <v>4042</v>
      </c>
      <c r="I318" t="s">
        <v>4041</v>
      </c>
      <c r="K318" t="s">
        <v>4043</v>
      </c>
      <c r="L318">
        <v>5116503</v>
      </c>
      <c r="M318" t="s">
        <v>4044</v>
      </c>
      <c r="N318" t="s">
        <v>414</v>
      </c>
      <c r="O318" t="s">
        <v>180</v>
      </c>
      <c r="P318" t="s">
        <v>129</v>
      </c>
      <c r="Q318" t="s">
        <v>4045</v>
      </c>
      <c r="R318" t="s">
        <v>1133</v>
      </c>
      <c r="S318" t="s">
        <v>1134</v>
      </c>
      <c r="T318" t="s">
        <v>184</v>
      </c>
      <c r="U318" t="s">
        <v>112</v>
      </c>
      <c r="V318" t="s">
        <v>82</v>
      </c>
      <c r="W318" t="s">
        <v>1133</v>
      </c>
      <c r="X318" t="s">
        <v>1134</v>
      </c>
      <c r="Y318" t="s">
        <v>184</v>
      </c>
      <c r="Z318" t="s">
        <v>112</v>
      </c>
      <c r="AA318" t="s">
        <v>82</v>
      </c>
      <c r="AB318" t="s">
        <v>83</v>
      </c>
      <c r="AC318" t="s">
        <v>185</v>
      </c>
      <c r="AD318" t="s">
        <v>149</v>
      </c>
      <c r="AE318" t="s">
        <v>4046</v>
      </c>
      <c r="AF318" t="s">
        <v>149</v>
      </c>
      <c r="AG318" t="s">
        <v>4047</v>
      </c>
      <c r="AH318">
        <v>8</v>
      </c>
      <c r="AI318">
        <v>1038960</v>
      </c>
      <c r="AJ318">
        <v>145000</v>
      </c>
      <c r="AK318">
        <v>0</v>
      </c>
      <c r="AL318">
        <v>1183960</v>
      </c>
      <c r="AM318" t="s">
        <v>1133</v>
      </c>
      <c r="AN318" t="s">
        <v>1134</v>
      </c>
      <c r="AO318" t="s">
        <v>184</v>
      </c>
      <c r="AP318" t="s">
        <v>112</v>
      </c>
      <c r="AQ318" t="s">
        <v>82</v>
      </c>
      <c r="AR318" t="s">
        <v>4048</v>
      </c>
      <c r="AS318" s="3">
        <v>46202.465223658182</v>
      </c>
      <c r="AT318" t="s">
        <v>89</v>
      </c>
      <c r="AU318" t="s">
        <v>90</v>
      </c>
      <c r="AV318" t="s">
        <v>2712</v>
      </c>
      <c r="AW318" t="s">
        <v>92</v>
      </c>
      <c r="AX318" t="s">
        <v>2713</v>
      </c>
      <c r="AY318" t="s">
        <v>94</v>
      </c>
      <c r="AZ318" t="s">
        <v>85</v>
      </c>
      <c r="BA318" t="s">
        <v>4049</v>
      </c>
      <c r="BB318" t="s">
        <v>4039</v>
      </c>
      <c r="BC318" t="s">
        <v>4041</v>
      </c>
      <c r="BD318" t="s">
        <v>1133</v>
      </c>
      <c r="BE318" t="s">
        <v>1134</v>
      </c>
      <c r="BF318" t="b">
        <f t="shared" si="4"/>
        <v>1</v>
      </c>
      <c r="BG318" t="b">
        <v>1</v>
      </c>
      <c r="BH318">
        <v>2008</v>
      </c>
      <c r="BI318" t="b">
        <v>1</v>
      </c>
      <c r="BJ318" t="s">
        <v>2715</v>
      </c>
      <c r="BK318" t="s">
        <v>1140</v>
      </c>
      <c r="BL318" t="b">
        <v>1</v>
      </c>
      <c r="BM318" t="b">
        <v>1</v>
      </c>
      <c r="BN318" t="b">
        <v>1</v>
      </c>
      <c r="BO318" t="s">
        <v>4050</v>
      </c>
      <c r="BP318" t="b">
        <f>IF(IFERROR(VLOOKUP(A318,[1]Planilha1!$A:$A,1,0),FALSE)=FALSE,FALSE,TRUE)</f>
        <v>1</v>
      </c>
    </row>
    <row r="319" spans="1:68" x14ac:dyDescent="0.25">
      <c r="A319" t="s">
        <v>4051</v>
      </c>
      <c r="B319" t="s">
        <v>68</v>
      </c>
      <c r="D319" s="1">
        <v>46204</v>
      </c>
      <c r="E319" s="1">
        <v>47664</v>
      </c>
      <c r="F319" t="s">
        <v>4052</v>
      </c>
      <c r="G319" t="s">
        <v>4053</v>
      </c>
      <c r="H319" s="2" t="s">
        <v>4054</v>
      </c>
      <c r="I319" t="s">
        <v>4053</v>
      </c>
      <c r="K319" t="s">
        <v>4053</v>
      </c>
      <c r="L319">
        <v>5116895</v>
      </c>
      <c r="M319" t="s">
        <v>4055</v>
      </c>
      <c r="N319" t="s">
        <v>2109</v>
      </c>
      <c r="O319" t="s">
        <v>2018</v>
      </c>
      <c r="P319" t="s">
        <v>230</v>
      </c>
      <c r="Q319" t="s">
        <v>2110</v>
      </c>
      <c r="R319" t="s">
        <v>2972</v>
      </c>
      <c r="S319" t="s">
        <v>2973</v>
      </c>
      <c r="T319" t="s">
        <v>300</v>
      </c>
      <c r="U319" t="s">
        <v>301</v>
      </c>
      <c r="V319" t="s">
        <v>82</v>
      </c>
      <c r="W319" t="s">
        <v>2972</v>
      </c>
      <c r="X319" t="s">
        <v>2973</v>
      </c>
      <c r="Y319" t="s">
        <v>300</v>
      </c>
      <c r="Z319" t="s">
        <v>301</v>
      </c>
      <c r="AA319" t="s">
        <v>82</v>
      </c>
      <c r="AB319" t="s">
        <v>83</v>
      </c>
      <c r="AC319" t="s">
        <v>1013</v>
      </c>
      <c r="AD319" t="s">
        <v>85</v>
      </c>
      <c r="AE319" t="s">
        <v>4056</v>
      </c>
      <c r="AF319" t="s">
        <v>85</v>
      </c>
      <c r="AG319" t="s">
        <v>4057</v>
      </c>
      <c r="AH319">
        <v>8</v>
      </c>
      <c r="AI319">
        <v>1277770</v>
      </c>
      <c r="AJ319">
        <v>141900</v>
      </c>
      <c r="AK319">
        <v>0</v>
      </c>
      <c r="AL319">
        <v>1419670</v>
      </c>
      <c r="AM319" t="s">
        <v>2972</v>
      </c>
      <c r="AN319" t="s">
        <v>2973</v>
      </c>
      <c r="AO319" t="s">
        <v>300</v>
      </c>
      <c r="AP319" t="s">
        <v>301</v>
      </c>
      <c r="AQ319" t="s">
        <v>82</v>
      </c>
      <c r="AR319" t="s">
        <v>4058</v>
      </c>
      <c r="AS319" s="3">
        <v>46202.465223658182</v>
      </c>
      <c r="AT319" t="s">
        <v>89</v>
      </c>
      <c r="AU319" t="s">
        <v>90</v>
      </c>
      <c r="AV319" t="s">
        <v>2712</v>
      </c>
      <c r="AW319" t="s">
        <v>92</v>
      </c>
      <c r="AX319" t="s">
        <v>2713</v>
      </c>
      <c r="AY319" t="s">
        <v>94</v>
      </c>
      <c r="AZ319" t="s">
        <v>85</v>
      </c>
      <c r="BA319" t="s">
        <v>4059</v>
      </c>
      <c r="BB319" t="s">
        <v>4051</v>
      </c>
      <c r="BC319" t="s">
        <v>4053</v>
      </c>
      <c r="BD319" t="s">
        <v>2972</v>
      </c>
      <c r="BE319" t="s">
        <v>2973</v>
      </c>
      <c r="BF319" t="b">
        <f t="shared" si="4"/>
        <v>1</v>
      </c>
      <c r="BG319" t="b">
        <v>1</v>
      </c>
      <c r="BH319">
        <v>2024</v>
      </c>
      <c r="BI319" t="b">
        <v>1</v>
      </c>
      <c r="BJ319" t="s">
        <v>2715</v>
      </c>
      <c r="BK319" t="s">
        <v>2978</v>
      </c>
      <c r="BL319" t="b">
        <v>1</v>
      </c>
      <c r="BM319" t="b">
        <v>1</v>
      </c>
      <c r="BN319" t="b">
        <v>1</v>
      </c>
      <c r="BO319" t="s">
        <v>4060</v>
      </c>
      <c r="BP319" t="b">
        <f>IF(IFERROR(VLOOKUP(A319,[1]Planilha1!$A:$A,1,0),FALSE)=FALSE,FALSE,TRUE)</f>
        <v>1</v>
      </c>
    </row>
    <row r="320" spans="1:68" x14ac:dyDescent="0.25">
      <c r="A320" t="s">
        <v>4061</v>
      </c>
      <c r="B320" t="s">
        <v>68</v>
      </c>
      <c r="D320" s="1">
        <v>46204</v>
      </c>
      <c r="E320" s="1">
        <v>47664</v>
      </c>
      <c r="F320" t="s">
        <v>4062</v>
      </c>
      <c r="G320" t="s">
        <v>4063</v>
      </c>
      <c r="H320" s="2" t="s">
        <v>4064</v>
      </c>
      <c r="I320" t="s">
        <v>4063</v>
      </c>
      <c r="K320" t="s">
        <v>4065</v>
      </c>
      <c r="L320">
        <v>5116753</v>
      </c>
      <c r="M320" t="s">
        <v>4066</v>
      </c>
      <c r="N320" t="s">
        <v>2109</v>
      </c>
      <c r="O320" t="s">
        <v>2018</v>
      </c>
      <c r="P320" t="s">
        <v>230</v>
      </c>
      <c r="Q320" t="s">
        <v>4067</v>
      </c>
      <c r="R320" t="s">
        <v>2972</v>
      </c>
      <c r="S320" t="s">
        <v>2973</v>
      </c>
      <c r="T320" t="s">
        <v>300</v>
      </c>
      <c r="U320" t="s">
        <v>301</v>
      </c>
      <c r="V320" t="s">
        <v>82</v>
      </c>
      <c r="W320" t="s">
        <v>2972</v>
      </c>
      <c r="X320" t="s">
        <v>2973</v>
      </c>
      <c r="Y320" t="s">
        <v>300</v>
      </c>
      <c r="Z320" t="s">
        <v>301</v>
      </c>
      <c r="AA320" t="s">
        <v>82</v>
      </c>
      <c r="AB320" t="s">
        <v>83</v>
      </c>
      <c r="AC320" t="s">
        <v>1013</v>
      </c>
      <c r="AD320" t="s">
        <v>149</v>
      </c>
      <c r="AE320" t="s">
        <v>4068</v>
      </c>
      <c r="AF320" t="s">
        <v>85</v>
      </c>
      <c r="AG320" t="s">
        <v>4069</v>
      </c>
      <c r="AH320">
        <v>7</v>
      </c>
      <c r="AI320">
        <v>949260</v>
      </c>
      <c r="AJ320">
        <v>108000</v>
      </c>
      <c r="AK320">
        <v>0</v>
      </c>
      <c r="AL320">
        <v>1057260</v>
      </c>
      <c r="AM320" t="s">
        <v>2972</v>
      </c>
      <c r="AN320" t="s">
        <v>2973</v>
      </c>
      <c r="AO320" t="s">
        <v>300</v>
      </c>
      <c r="AP320" t="s">
        <v>301</v>
      </c>
      <c r="AQ320" t="s">
        <v>82</v>
      </c>
      <c r="AR320" t="s">
        <v>4070</v>
      </c>
      <c r="AS320" s="3">
        <v>46202.465223658182</v>
      </c>
      <c r="AT320" t="s">
        <v>89</v>
      </c>
      <c r="AU320" t="s">
        <v>90</v>
      </c>
      <c r="AV320" t="s">
        <v>2712</v>
      </c>
      <c r="AW320" t="s">
        <v>92</v>
      </c>
      <c r="AX320" t="s">
        <v>2713</v>
      </c>
      <c r="AY320" t="s">
        <v>94</v>
      </c>
      <c r="AZ320" t="s">
        <v>85</v>
      </c>
      <c r="BA320" t="s">
        <v>4071</v>
      </c>
      <c r="BB320" t="s">
        <v>4061</v>
      </c>
      <c r="BC320" t="s">
        <v>4063</v>
      </c>
      <c r="BD320" t="s">
        <v>2972</v>
      </c>
      <c r="BE320" t="s">
        <v>2973</v>
      </c>
      <c r="BF320" t="b">
        <f t="shared" si="4"/>
        <v>1</v>
      </c>
      <c r="BG320" t="b">
        <v>1</v>
      </c>
      <c r="BH320">
        <v>2015</v>
      </c>
      <c r="BI320" t="b">
        <v>1</v>
      </c>
      <c r="BJ320" t="s">
        <v>2715</v>
      </c>
      <c r="BK320" t="s">
        <v>2978</v>
      </c>
      <c r="BL320" t="b">
        <v>1</v>
      </c>
      <c r="BM320" t="b">
        <v>1</v>
      </c>
      <c r="BN320" t="b">
        <v>1</v>
      </c>
      <c r="BO320" t="s">
        <v>4072</v>
      </c>
      <c r="BP320" t="b">
        <f>IF(IFERROR(VLOOKUP(A320,[1]Planilha1!$A:$A,1,0),FALSE)=FALSE,FALSE,TRUE)</f>
        <v>1</v>
      </c>
    </row>
    <row r="321" spans="1:68" x14ac:dyDescent="0.25">
      <c r="A321" t="s">
        <v>4073</v>
      </c>
      <c r="B321" t="s">
        <v>68</v>
      </c>
      <c r="D321" s="1">
        <v>46204</v>
      </c>
      <c r="E321" s="1">
        <v>47664</v>
      </c>
      <c r="F321" t="s">
        <v>4074</v>
      </c>
      <c r="G321" t="s">
        <v>4075</v>
      </c>
      <c r="H321" s="2" t="s">
        <v>4076</v>
      </c>
      <c r="I321" t="s">
        <v>4075</v>
      </c>
      <c r="K321" t="s">
        <v>4077</v>
      </c>
      <c r="L321">
        <v>5116537</v>
      </c>
      <c r="M321" t="s">
        <v>4078</v>
      </c>
      <c r="N321" t="s">
        <v>414</v>
      </c>
      <c r="O321" t="s">
        <v>180</v>
      </c>
      <c r="P321" t="s">
        <v>129</v>
      </c>
      <c r="Q321" t="s">
        <v>4045</v>
      </c>
      <c r="R321" t="s">
        <v>1133</v>
      </c>
      <c r="S321" t="s">
        <v>1134</v>
      </c>
      <c r="T321" t="s">
        <v>184</v>
      </c>
      <c r="U321" t="s">
        <v>112</v>
      </c>
      <c r="V321" t="s">
        <v>82</v>
      </c>
      <c r="W321" t="s">
        <v>1133</v>
      </c>
      <c r="X321" t="s">
        <v>1134</v>
      </c>
      <c r="Y321" t="s">
        <v>184</v>
      </c>
      <c r="Z321" t="s">
        <v>112</v>
      </c>
      <c r="AA321" t="s">
        <v>82</v>
      </c>
      <c r="AB321" t="s">
        <v>83</v>
      </c>
      <c r="AC321" t="s">
        <v>185</v>
      </c>
      <c r="AD321" t="s">
        <v>252</v>
      </c>
      <c r="AE321" t="s">
        <v>4079</v>
      </c>
      <c r="AF321" t="s">
        <v>85</v>
      </c>
      <c r="AG321" t="s">
        <v>4080</v>
      </c>
      <c r="AH321">
        <v>16</v>
      </c>
      <c r="AI321">
        <v>1100480</v>
      </c>
      <c r="AJ321">
        <v>130000</v>
      </c>
      <c r="AK321">
        <v>0</v>
      </c>
      <c r="AL321">
        <v>1230480</v>
      </c>
      <c r="AM321" t="s">
        <v>1133</v>
      </c>
      <c r="AN321" t="s">
        <v>1134</v>
      </c>
      <c r="AO321" t="s">
        <v>184</v>
      </c>
      <c r="AP321" t="s">
        <v>112</v>
      </c>
      <c r="AQ321" t="s">
        <v>82</v>
      </c>
      <c r="AR321" t="s">
        <v>4081</v>
      </c>
      <c r="AS321" s="3">
        <v>46202.465223658182</v>
      </c>
      <c r="AT321" t="s">
        <v>89</v>
      </c>
      <c r="AU321" t="s">
        <v>90</v>
      </c>
      <c r="AV321" t="s">
        <v>2712</v>
      </c>
      <c r="AW321" t="s">
        <v>92</v>
      </c>
      <c r="AX321" t="s">
        <v>2713</v>
      </c>
      <c r="AY321" t="s">
        <v>94</v>
      </c>
      <c r="AZ321" t="s">
        <v>85</v>
      </c>
      <c r="BA321" t="s">
        <v>4082</v>
      </c>
      <c r="BB321" t="s">
        <v>4073</v>
      </c>
      <c r="BC321" t="s">
        <v>4075</v>
      </c>
      <c r="BD321" t="s">
        <v>1133</v>
      </c>
      <c r="BE321" t="s">
        <v>1134</v>
      </c>
      <c r="BF321" t="b">
        <f t="shared" si="4"/>
        <v>1</v>
      </c>
      <c r="BG321" t="b">
        <v>1</v>
      </c>
      <c r="BH321">
        <v>1989</v>
      </c>
      <c r="BI321" t="b">
        <v>1</v>
      </c>
      <c r="BJ321" t="s">
        <v>2715</v>
      </c>
      <c r="BK321" t="s">
        <v>1140</v>
      </c>
      <c r="BL321" t="b">
        <v>1</v>
      </c>
      <c r="BM321" t="b">
        <v>1</v>
      </c>
      <c r="BN321" t="b">
        <v>1</v>
      </c>
      <c r="BO321" t="s">
        <v>4083</v>
      </c>
      <c r="BP321" t="b">
        <f>IF(IFERROR(VLOOKUP(A321,[1]Planilha1!$A:$A,1,0),FALSE)=FALSE,FALSE,TRUE)</f>
        <v>1</v>
      </c>
    </row>
    <row r="322" spans="1:68" x14ac:dyDescent="0.25">
      <c r="A322" t="s">
        <v>4084</v>
      </c>
      <c r="B322" t="s">
        <v>68</v>
      </c>
      <c r="D322" s="1">
        <v>46204</v>
      </c>
      <c r="E322" s="1">
        <v>47664</v>
      </c>
      <c r="F322" t="s">
        <v>4085</v>
      </c>
      <c r="G322" t="s">
        <v>4086</v>
      </c>
      <c r="H322" s="2" t="s">
        <v>4087</v>
      </c>
      <c r="I322" t="s">
        <v>4086</v>
      </c>
      <c r="K322" t="s">
        <v>4088</v>
      </c>
      <c r="L322">
        <v>5116688</v>
      </c>
      <c r="M322" t="s">
        <v>4089</v>
      </c>
      <c r="N322" t="s">
        <v>295</v>
      </c>
      <c r="O322" t="s">
        <v>296</v>
      </c>
      <c r="P322" t="s">
        <v>129</v>
      </c>
      <c r="Q322" t="s">
        <v>4090</v>
      </c>
      <c r="R322" t="s">
        <v>2773</v>
      </c>
      <c r="S322" t="s">
        <v>2774</v>
      </c>
      <c r="T322" t="s">
        <v>184</v>
      </c>
      <c r="U322" t="s">
        <v>112</v>
      </c>
      <c r="V322" t="s">
        <v>82</v>
      </c>
      <c r="W322" t="s">
        <v>2773</v>
      </c>
      <c r="X322" t="s">
        <v>2774</v>
      </c>
      <c r="Y322" t="s">
        <v>184</v>
      </c>
      <c r="Z322" t="s">
        <v>112</v>
      </c>
      <c r="AA322" t="s">
        <v>82</v>
      </c>
      <c r="AB322" t="s">
        <v>83</v>
      </c>
      <c r="AC322" t="s">
        <v>135</v>
      </c>
      <c r="AD322" t="s">
        <v>149</v>
      </c>
      <c r="AE322" t="s">
        <v>4091</v>
      </c>
      <c r="AF322" t="s">
        <v>85</v>
      </c>
      <c r="AG322" t="s">
        <v>4092</v>
      </c>
      <c r="AH322">
        <v>8</v>
      </c>
      <c r="AI322">
        <v>969280</v>
      </c>
      <c r="AJ322">
        <v>142120</v>
      </c>
      <c r="AK322">
        <v>0</v>
      </c>
      <c r="AL322">
        <v>1111400</v>
      </c>
      <c r="AM322" t="s">
        <v>2773</v>
      </c>
      <c r="AN322" t="s">
        <v>2774</v>
      </c>
      <c r="AO322" t="s">
        <v>184</v>
      </c>
      <c r="AP322" t="s">
        <v>112</v>
      </c>
      <c r="AQ322" t="s">
        <v>82</v>
      </c>
      <c r="AR322" t="s">
        <v>4093</v>
      </c>
      <c r="AS322" s="3">
        <v>46202.465223658182</v>
      </c>
      <c r="AT322" t="s">
        <v>89</v>
      </c>
      <c r="AU322" t="s">
        <v>90</v>
      </c>
      <c r="AV322" t="s">
        <v>2712</v>
      </c>
      <c r="AW322" t="s">
        <v>92</v>
      </c>
      <c r="AX322" t="s">
        <v>2713</v>
      </c>
      <c r="AY322" t="s">
        <v>94</v>
      </c>
      <c r="AZ322" t="s">
        <v>85</v>
      </c>
      <c r="BA322" t="s">
        <v>4094</v>
      </c>
      <c r="BB322" t="s">
        <v>4084</v>
      </c>
      <c r="BC322" t="s">
        <v>4086</v>
      </c>
      <c r="BD322" t="s">
        <v>2773</v>
      </c>
      <c r="BE322" t="s">
        <v>2774</v>
      </c>
      <c r="BF322" t="b">
        <f t="shared" si="4"/>
        <v>1</v>
      </c>
      <c r="BG322" t="b">
        <v>1</v>
      </c>
      <c r="BH322">
        <v>2024</v>
      </c>
      <c r="BI322" t="b">
        <v>1</v>
      </c>
      <c r="BJ322" t="s">
        <v>2715</v>
      </c>
      <c r="BK322" t="s">
        <v>2779</v>
      </c>
      <c r="BL322" t="b">
        <v>1</v>
      </c>
      <c r="BM322" t="b">
        <v>1</v>
      </c>
      <c r="BN322" t="b">
        <v>1</v>
      </c>
      <c r="BO322" t="s">
        <v>4095</v>
      </c>
      <c r="BP322" t="b">
        <f>IF(IFERROR(VLOOKUP(A322,[1]Planilha1!$A:$A,1,0),FALSE)=FALSE,FALSE,TRUE)</f>
        <v>1</v>
      </c>
    </row>
    <row r="323" spans="1:68" x14ac:dyDescent="0.25">
      <c r="A323" t="s">
        <v>4096</v>
      </c>
      <c r="B323" t="s">
        <v>68</v>
      </c>
      <c r="D323" s="1">
        <v>46204</v>
      </c>
      <c r="E323" s="1">
        <v>47664</v>
      </c>
      <c r="F323" t="s">
        <v>4097</v>
      </c>
      <c r="G323" t="s">
        <v>4098</v>
      </c>
      <c r="H323" s="2" t="s">
        <v>4099</v>
      </c>
      <c r="I323" t="s">
        <v>4098</v>
      </c>
      <c r="K323" t="s">
        <v>4100</v>
      </c>
      <c r="L323">
        <v>5115728</v>
      </c>
      <c r="M323" t="s">
        <v>4101</v>
      </c>
      <c r="N323" t="s">
        <v>1025</v>
      </c>
      <c r="O323" t="s">
        <v>715</v>
      </c>
      <c r="P323" t="s">
        <v>107</v>
      </c>
      <c r="Q323" t="s">
        <v>3817</v>
      </c>
      <c r="R323" t="s">
        <v>2815</v>
      </c>
      <c r="S323" t="s">
        <v>2816</v>
      </c>
      <c r="T323" t="s">
        <v>184</v>
      </c>
      <c r="U323" t="s">
        <v>112</v>
      </c>
      <c r="V323" t="s">
        <v>82</v>
      </c>
      <c r="W323" t="s">
        <v>2815</v>
      </c>
      <c r="X323" t="s">
        <v>2816</v>
      </c>
      <c r="Y323" t="s">
        <v>184</v>
      </c>
      <c r="Z323" t="s">
        <v>112</v>
      </c>
      <c r="AA323" t="s">
        <v>82</v>
      </c>
      <c r="AB323" t="s">
        <v>83</v>
      </c>
      <c r="AC323" t="s">
        <v>113</v>
      </c>
      <c r="AD323" t="s">
        <v>1880</v>
      </c>
      <c r="AE323" t="s">
        <v>4102</v>
      </c>
      <c r="AF323" t="s">
        <v>1880</v>
      </c>
      <c r="AG323" t="s">
        <v>3858</v>
      </c>
      <c r="AH323">
        <v>4</v>
      </c>
      <c r="AI323">
        <v>661440</v>
      </c>
      <c r="AJ323">
        <v>58336</v>
      </c>
      <c r="AK323">
        <v>0</v>
      </c>
      <c r="AL323">
        <v>719776</v>
      </c>
      <c r="AM323" t="s">
        <v>2815</v>
      </c>
      <c r="AN323" t="s">
        <v>2816</v>
      </c>
      <c r="AO323" t="s">
        <v>184</v>
      </c>
      <c r="AP323" t="s">
        <v>112</v>
      </c>
      <c r="AQ323" t="s">
        <v>82</v>
      </c>
      <c r="AR323" t="s">
        <v>4103</v>
      </c>
      <c r="AS323" s="3">
        <v>46202.465223658182</v>
      </c>
      <c r="AT323" t="s">
        <v>89</v>
      </c>
      <c r="AU323" t="s">
        <v>90</v>
      </c>
      <c r="AV323" t="s">
        <v>2712</v>
      </c>
      <c r="AW323" t="s">
        <v>92</v>
      </c>
      <c r="AX323" t="s">
        <v>2713</v>
      </c>
      <c r="AY323" t="s">
        <v>94</v>
      </c>
      <c r="AZ323" t="s">
        <v>85</v>
      </c>
      <c r="BA323" t="s">
        <v>4104</v>
      </c>
      <c r="BB323" t="s">
        <v>4096</v>
      </c>
      <c r="BC323" t="s">
        <v>4098</v>
      </c>
      <c r="BD323" t="s">
        <v>2815</v>
      </c>
      <c r="BE323" t="s">
        <v>2816</v>
      </c>
      <c r="BF323" t="b">
        <f t="shared" ref="BF323:BF386" si="5">IF(AND(BG323,BI323,BL323,BM323),TRUE,FALSE)</f>
        <v>1</v>
      </c>
      <c r="BG323" t="b">
        <v>1</v>
      </c>
      <c r="BH323">
        <v>2008</v>
      </c>
      <c r="BI323" t="b">
        <v>1</v>
      </c>
      <c r="BJ323" t="s">
        <v>2715</v>
      </c>
      <c r="BK323" t="s">
        <v>2821</v>
      </c>
      <c r="BL323" t="b">
        <v>1</v>
      </c>
      <c r="BM323" t="b">
        <v>1</v>
      </c>
      <c r="BN323" t="b">
        <v>1</v>
      </c>
      <c r="BO323" t="s">
        <v>4105</v>
      </c>
      <c r="BP323" t="b">
        <f>IF(IFERROR(VLOOKUP(A323,[1]Planilha1!$A:$A,1,0),FALSE)=FALSE,FALSE,TRUE)</f>
        <v>1</v>
      </c>
    </row>
    <row r="324" spans="1:68" x14ac:dyDescent="0.25">
      <c r="A324" t="s">
        <v>4106</v>
      </c>
      <c r="B324" t="s">
        <v>68</v>
      </c>
      <c r="D324" s="1">
        <v>46204</v>
      </c>
      <c r="E324" s="1">
        <v>47664</v>
      </c>
      <c r="F324" t="s">
        <v>4107</v>
      </c>
      <c r="G324" t="s">
        <v>4108</v>
      </c>
      <c r="H324" s="2" t="s">
        <v>4109</v>
      </c>
      <c r="I324" t="s">
        <v>4108</v>
      </c>
      <c r="K324" t="s">
        <v>4108</v>
      </c>
      <c r="L324">
        <v>5109997</v>
      </c>
      <c r="M324" t="s">
        <v>4110</v>
      </c>
      <c r="N324" t="s">
        <v>1130</v>
      </c>
      <c r="O324" t="s">
        <v>1131</v>
      </c>
      <c r="P324" t="s">
        <v>529</v>
      </c>
      <c r="Q324" t="s">
        <v>4111</v>
      </c>
      <c r="R324" t="s">
        <v>4112</v>
      </c>
      <c r="S324" t="s">
        <v>4113</v>
      </c>
      <c r="T324" t="s">
        <v>1644</v>
      </c>
      <c r="U324" t="s">
        <v>134</v>
      </c>
      <c r="V324" t="s">
        <v>82</v>
      </c>
      <c r="W324" t="s">
        <v>4112</v>
      </c>
      <c r="X324" t="s">
        <v>4113</v>
      </c>
      <c r="Y324" t="s">
        <v>1644</v>
      </c>
      <c r="Z324" t="s">
        <v>134</v>
      </c>
      <c r="AA324" t="s">
        <v>82</v>
      </c>
      <c r="AB324" t="s">
        <v>83</v>
      </c>
      <c r="AC324" t="s">
        <v>1135</v>
      </c>
      <c r="AD324" t="s">
        <v>316</v>
      </c>
      <c r="AE324" t="s">
        <v>4114</v>
      </c>
      <c r="AF324" t="s">
        <v>316</v>
      </c>
      <c r="AG324" t="s">
        <v>4115</v>
      </c>
      <c r="AH324">
        <v>5</v>
      </c>
      <c r="AI324">
        <v>108960</v>
      </c>
      <c r="AJ324">
        <v>179268</v>
      </c>
      <c r="AK324">
        <v>0</v>
      </c>
      <c r="AL324">
        <v>288228</v>
      </c>
      <c r="AM324" t="s">
        <v>4112</v>
      </c>
      <c r="AN324" t="s">
        <v>4113</v>
      </c>
      <c r="AO324" t="s">
        <v>1644</v>
      </c>
      <c r="AP324" t="s">
        <v>134</v>
      </c>
      <c r="AQ324" t="s">
        <v>82</v>
      </c>
      <c r="AR324" t="s">
        <v>4116</v>
      </c>
      <c r="AS324" s="3">
        <v>46202.465223658182</v>
      </c>
      <c r="AT324" t="s">
        <v>89</v>
      </c>
      <c r="AU324" t="s">
        <v>90</v>
      </c>
      <c r="AV324" t="s">
        <v>2712</v>
      </c>
      <c r="AW324" t="s">
        <v>92</v>
      </c>
      <c r="AX324" t="s">
        <v>2713</v>
      </c>
      <c r="AY324" t="s">
        <v>94</v>
      </c>
      <c r="AZ324" t="s">
        <v>85</v>
      </c>
      <c r="BA324" t="s">
        <v>4117</v>
      </c>
      <c r="BB324" t="s">
        <v>4106</v>
      </c>
      <c r="BC324" t="s">
        <v>4108</v>
      </c>
      <c r="BD324" t="s">
        <v>4112</v>
      </c>
      <c r="BE324" t="s">
        <v>4113</v>
      </c>
      <c r="BF324" t="b">
        <f t="shared" si="5"/>
        <v>0</v>
      </c>
      <c r="BG324" t="b">
        <v>0</v>
      </c>
      <c r="BH324">
        <v>2016</v>
      </c>
      <c r="BI324" t="b">
        <v>0</v>
      </c>
      <c r="BJ324" t="s">
        <v>2715</v>
      </c>
      <c r="BK324" t="s">
        <v>1911</v>
      </c>
      <c r="BL324" t="b">
        <v>1</v>
      </c>
      <c r="BM324" t="b">
        <v>1</v>
      </c>
      <c r="BN324" t="b">
        <v>1</v>
      </c>
      <c r="BO324" t="s">
        <v>4118</v>
      </c>
      <c r="BP324" t="b">
        <f>IF(IFERROR(VLOOKUP(A324,[1]Planilha1!$A:$A,1,0),FALSE)=FALSE,FALSE,TRUE)</f>
        <v>0</v>
      </c>
    </row>
    <row r="325" spans="1:68" x14ac:dyDescent="0.25">
      <c r="A325" t="s">
        <v>4119</v>
      </c>
      <c r="B325" t="s">
        <v>68</v>
      </c>
      <c r="D325" s="1">
        <v>46204</v>
      </c>
      <c r="E325" s="1">
        <v>47664</v>
      </c>
      <c r="F325" t="s">
        <v>4120</v>
      </c>
      <c r="G325" t="s">
        <v>4121</v>
      </c>
      <c r="H325" s="2" t="s">
        <v>4122</v>
      </c>
      <c r="I325" t="s">
        <v>4121</v>
      </c>
      <c r="K325" t="s">
        <v>4123</v>
      </c>
      <c r="L325">
        <v>5116772</v>
      </c>
      <c r="M325" t="s">
        <v>4124</v>
      </c>
      <c r="N325" t="s">
        <v>2109</v>
      </c>
      <c r="O325" t="s">
        <v>2018</v>
      </c>
      <c r="P325" t="s">
        <v>230</v>
      </c>
      <c r="Q325" t="s">
        <v>3473</v>
      </c>
      <c r="R325" t="s">
        <v>1133</v>
      </c>
      <c r="S325" t="s">
        <v>1134</v>
      </c>
      <c r="T325" t="s">
        <v>184</v>
      </c>
      <c r="U325" t="s">
        <v>112</v>
      </c>
      <c r="V325" t="s">
        <v>82</v>
      </c>
      <c r="W325" t="s">
        <v>1133</v>
      </c>
      <c r="X325" t="s">
        <v>1134</v>
      </c>
      <c r="Y325" t="s">
        <v>184</v>
      </c>
      <c r="Z325" t="s">
        <v>112</v>
      </c>
      <c r="AA325" t="s">
        <v>82</v>
      </c>
      <c r="AB325" t="s">
        <v>83</v>
      </c>
      <c r="AC325" t="s">
        <v>1013</v>
      </c>
      <c r="AD325" t="s">
        <v>149</v>
      </c>
      <c r="AE325" t="s">
        <v>4125</v>
      </c>
      <c r="AF325" t="s">
        <v>85</v>
      </c>
      <c r="AG325" t="s">
        <v>4126</v>
      </c>
      <c r="AH325">
        <v>2</v>
      </c>
      <c r="AI325">
        <v>299520</v>
      </c>
      <c r="AJ325">
        <v>28640</v>
      </c>
      <c r="AK325">
        <v>0</v>
      </c>
      <c r="AL325">
        <v>328160</v>
      </c>
      <c r="AM325" t="s">
        <v>4127</v>
      </c>
      <c r="AN325" t="s">
        <v>4128</v>
      </c>
      <c r="AO325" t="s">
        <v>300</v>
      </c>
      <c r="AP325" t="s">
        <v>301</v>
      </c>
      <c r="AQ325" t="s">
        <v>82</v>
      </c>
      <c r="AR325" t="s">
        <v>4129</v>
      </c>
      <c r="AS325" s="3">
        <v>46202.465223658182</v>
      </c>
      <c r="AT325" t="s">
        <v>89</v>
      </c>
      <c r="AU325" t="s">
        <v>90</v>
      </c>
      <c r="AV325" t="s">
        <v>2712</v>
      </c>
      <c r="AW325" t="s">
        <v>92</v>
      </c>
      <c r="AX325" t="s">
        <v>2713</v>
      </c>
      <c r="AY325" t="s">
        <v>94</v>
      </c>
      <c r="AZ325" t="s">
        <v>85</v>
      </c>
      <c r="BA325" t="s">
        <v>4130</v>
      </c>
      <c r="BB325" t="s">
        <v>4119</v>
      </c>
      <c r="BC325" t="s">
        <v>4121</v>
      </c>
      <c r="BD325" t="s">
        <v>1133</v>
      </c>
      <c r="BE325" t="s">
        <v>1134</v>
      </c>
      <c r="BF325" t="b">
        <f t="shared" si="5"/>
        <v>0</v>
      </c>
      <c r="BG325" t="b">
        <v>1</v>
      </c>
      <c r="BH325">
        <v>2016</v>
      </c>
      <c r="BI325" t="b">
        <v>1</v>
      </c>
      <c r="BJ325" t="s">
        <v>2715</v>
      </c>
      <c r="BK325" t="s">
        <v>1140</v>
      </c>
      <c r="BL325" t="b">
        <v>1</v>
      </c>
      <c r="BM325" t="b">
        <v>0</v>
      </c>
      <c r="BN325" t="b">
        <v>0</v>
      </c>
      <c r="BO325" t="s">
        <v>4131</v>
      </c>
      <c r="BP325" t="b">
        <f>IF(IFERROR(VLOOKUP(A325,[1]Planilha1!$A:$A,1,0),FALSE)=FALSE,FALSE,TRUE)</f>
        <v>0</v>
      </c>
    </row>
    <row r="326" spans="1:68" x14ac:dyDescent="0.25">
      <c r="A326" t="s">
        <v>4132</v>
      </c>
      <c r="B326" t="s">
        <v>68</v>
      </c>
      <c r="D326" s="1">
        <v>46204</v>
      </c>
      <c r="E326" s="1">
        <v>47664</v>
      </c>
      <c r="F326" t="s">
        <v>4133</v>
      </c>
      <c r="G326" t="s">
        <v>4134</v>
      </c>
      <c r="H326" s="2" t="s">
        <v>4135</v>
      </c>
      <c r="I326" t="s">
        <v>4134</v>
      </c>
      <c r="K326" t="s">
        <v>4136</v>
      </c>
      <c r="L326">
        <v>5116714</v>
      </c>
      <c r="M326" t="s">
        <v>4137</v>
      </c>
      <c r="N326" t="s">
        <v>105</v>
      </c>
      <c r="O326" t="s">
        <v>106</v>
      </c>
      <c r="P326" t="s">
        <v>107</v>
      </c>
      <c r="Q326" t="s">
        <v>2960</v>
      </c>
      <c r="R326" t="s">
        <v>2787</v>
      </c>
      <c r="S326" t="s">
        <v>2788</v>
      </c>
      <c r="T326" t="s">
        <v>111</v>
      </c>
      <c r="U326" t="s">
        <v>112</v>
      </c>
      <c r="V326" t="s">
        <v>82</v>
      </c>
      <c r="W326" t="s">
        <v>2787</v>
      </c>
      <c r="X326" t="s">
        <v>2788</v>
      </c>
      <c r="Y326" t="s">
        <v>111</v>
      </c>
      <c r="Z326" t="s">
        <v>112</v>
      </c>
      <c r="AA326" t="s">
        <v>82</v>
      </c>
      <c r="AB326" t="s">
        <v>83</v>
      </c>
      <c r="AC326" t="s">
        <v>113</v>
      </c>
      <c r="AD326" t="s">
        <v>149</v>
      </c>
      <c r="AE326" t="s">
        <v>4138</v>
      </c>
      <c r="AF326" t="s">
        <v>85</v>
      </c>
      <c r="AG326" t="s">
        <v>4139</v>
      </c>
      <c r="AH326">
        <v>6</v>
      </c>
      <c r="AI326">
        <v>985920</v>
      </c>
      <c r="AJ326">
        <v>142410.67000000001</v>
      </c>
      <c r="AK326">
        <v>0</v>
      </c>
      <c r="AL326">
        <v>1128330.67</v>
      </c>
      <c r="AM326" t="s">
        <v>2787</v>
      </c>
      <c r="AN326" t="s">
        <v>2788</v>
      </c>
      <c r="AO326" t="s">
        <v>111</v>
      </c>
      <c r="AP326" t="s">
        <v>112</v>
      </c>
      <c r="AQ326" t="s">
        <v>82</v>
      </c>
      <c r="AR326" t="s">
        <v>4140</v>
      </c>
      <c r="AS326" s="3">
        <v>46202.465223658182</v>
      </c>
      <c r="AT326" t="s">
        <v>89</v>
      </c>
      <c r="AU326" t="s">
        <v>90</v>
      </c>
      <c r="AV326" t="s">
        <v>2712</v>
      </c>
      <c r="AW326" t="s">
        <v>92</v>
      </c>
      <c r="AX326" t="s">
        <v>2713</v>
      </c>
      <c r="AY326" t="s">
        <v>94</v>
      </c>
      <c r="AZ326" t="s">
        <v>85</v>
      </c>
      <c r="BA326" t="s">
        <v>4141</v>
      </c>
      <c r="BB326" t="s">
        <v>4132</v>
      </c>
      <c r="BC326" t="s">
        <v>4134</v>
      </c>
      <c r="BD326" t="s">
        <v>2787</v>
      </c>
      <c r="BE326" t="s">
        <v>2788</v>
      </c>
      <c r="BF326" t="b">
        <f t="shared" si="5"/>
        <v>1</v>
      </c>
      <c r="BG326" t="b">
        <v>1</v>
      </c>
      <c r="BH326">
        <v>2025</v>
      </c>
      <c r="BI326" t="b">
        <v>1</v>
      </c>
      <c r="BJ326" t="s">
        <v>2715</v>
      </c>
      <c r="BK326" t="s">
        <v>2716</v>
      </c>
      <c r="BL326" t="b">
        <v>1</v>
      </c>
      <c r="BM326" t="b">
        <v>1</v>
      </c>
      <c r="BN326" t="b">
        <v>1</v>
      </c>
      <c r="BO326" t="s">
        <v>4142</v>
      </c>
      <c r="BP326" t="b">
        <f>IF(IFERROR(VLOOKUP(A326,[1]Planilha1!$A:$A,1,0),FALSE)=FALSE,FALSE,TRUE)</f>
        <v>1</v>
      </c>
    </row>
    <row r="327" spans="1:68" x14ac:dyDescent="0.25">
      <c r="A327" t="s">
        <v>4143</v>
      </c>
      <c r="B327" t="s">
        <v>68</v>
      </c>
      <c r="D327" s="1">
        <v>46204</v>
      </c>
      <c r="E327" s="1">
        <v>47664</v>
      </c>
      <c r="F327" t="s">
        <v>4144</v>
      </c>
      <c r="G327" t="s">
        <v>4145</v>
      </c>
      <c r="H327" s="2" t="s">
        <v>4146</v>
      </c>
      <c r="I327" t="s">
        <v>4145</v>
      </c>
      <c r="K327" t="s">
        <v>4147</v>
      </c>
      <c r="L327">
        <v>5114744</v>
      </c>
      <c r="M327" t="s">
        <v>4148</v>
      </c>
      <c r="N327" t="s">
        <v>199</v>
      </c>
      <c r="O327" t="s">
        <v>200</v>
      </c>
      <c r="P327" t="s">
        <v>107</v>
      </c>
      <c r="Q327" t="s">
        <v>1919</v>
      </c>
      <c r="R327" t="s">
        <v>182</v>
      </c>
      <c r="S327" t="s">
        <v>183</v>
      </c>
      <c r="T327" t="s">
        <v>184</v>
      </c>
      <c r="U327" t="s">
        <v>112</v>
      </c>
      <c r="V327" t="s">
        <v>82</v>
      </c>
      <c r="W327" t="s">
        <v>182</v>
      </c>
      <c r="X327" t="s">
        <v>183</v>
      </c>
      <c r="Y327" t="s">
        <v>184</v>
      </c>
      <c r="Z327" t="s">
        <v>112</v>
      </c>
      <c r="AA327" t="s">
        <v>82</v>
      </c>
      <c r="AB327" t="s">
        <v>83</v>
      </c>
      <c r="AC327" t="s">
        <v>202</v>
      </c>
      <c r="AD327" t="s">
        <v>236</v>
      </c>
      <c r="AE327" t="s">
        <v>4149</v>
      </c>
      <c r="AF327" t="s">
        <v>238</v>
      </c>
      <c r="AG327" t="s">
        <v>4150</v>
      </c>
      <c r="AH327">
        <v>5</v>
      </c>
      <c r="AI327">
        <v>985920</v>
      </c>
      <c r="AJ327">
        <v>100000</v>
      </c>
      <c r="AK327">
        <v>0</v>
      </c>
      <c r="AL327">
        <v>1085920</v>
      </c>
      <c r="AM327" t="s">
        <v>182</v>
      </c>
      <c r="AN327" t="s">
        <v>183</v>
      </c>
      <c r="AO327" t="s">
        <v>184</v>
      </c>
      <c r="AP327" t="s">
        <v>112</v>
      </c>
      <c r="AQ327" t="s">
        <v>82</v>
      </c>
      <c r="AR327" t="s">
        <v>4151</v>
      </c>
      <c r="AS327" s="3">
        <v>46202.465223658182</v>
      </c>
      <c r="AT327" t="s">
        <v>89</v>
      </c>
      <c r="AU327" t="s">
        <v>90</v>
      </c>
      <c r="AV327" t="s">
        <v>2712</v>
      </c>
      <c r="AW327" t="s">
        <v>92</v>
      </c>
      <c r="AX327" t="s">
        <v>2713</v>
      </c>
      <c r="AY327" t="s">
        <v>94</v>
      </c>
      <c r="AZ327" t="s">
        <v>85</v>
      </c>
      <c r="BA327" t="s">
        <v>4152</v>
      </c>
      <c r="BB327" t="s">
        <v>4143</v>
      </c>
      <c r="BC327" t="s">
        <v>4145</v>
      </c>
      <c r="BD327" t="s">
        <v>182</v>
      </c>
      <c r="BE327" t="s">
        <v>183</v>
      </c>
      <c r="BF327" t="b">
        <f t="shared" si="5"/>
        <v>0</v>
      </c>
      <c r="BG327" t="b">
        <v>1</v>
      </c>
      <c r="BH327">
        <v>2003</v>
      </c>
      <c r="BI327" t="b">
        <v>0</v>
      </c>
      <c r="BJ327" t="s">
        <v>2715</v>
      </c>
      <c r="BK327" t="s">
        <v>191</v>
      </c>
      <c r="BL327" t="b">
        <v>0</v>
      </c>
      <c r="BM327" t="b">
        <v>1</v>
      </c>
      <c r="BN327" t="b">
        <v>1</v>
      </c>
      <c r="BO327" t="s">
        <v>4153</v>
      </c>
      <c r="BP327" t="b">
        <f>IF(IFERROR(VLOOKUP(A327,[1]Planilha1!$A:$A,1,0),FALSE)=FALSE,FALSE,TRUE)</f>
        <v>0</v>
      </c>
    </row>
    <row r="328" spans="1:68" x14ac:dyDescent="0.25">
      <c r="A328" t="s">
        <v>4154</v>
      </c>
      <c r="B328" t="s">
        <v>68</v>
      </c>
      <c r="D328" s="1">
        <v>46204</v>
      </c>
      <c r="E328" s="1">
        <v>47664</v>
      </c>
      <c r="F328" t="s">
        <v>4155</v>
      </c>
      <c r="G328" t="s">
        <v>4156</v>
      </c>
      <c r="H328" s="2" t="s">
        <v>4157</v>
      </c>
      <c r="I328" t="s">
        <v>4156</v>
      </c>
      <c r="K328" t="s">
        <v>4158</v>
      </c>
      <c r="L328">
        <v>5116773</v>
      </c>
      <c r="M328" t="s">
        <v>4159</v>
      </c>
      <c r="N328" t="s">
        <v>328</v>
      </c>
      <c r="O328" t="s">
        <v>329</v>
      </c>
      <c r="P328" t="s">
        <v>439</v>
      </c>
      <c r="Q328" t="s">
        <v>440</v>
      </c>
      <c r="R328" t="s">
        <v>2800</v>
      </c>
      <c r="S328" t="s">
        <v>2801</v>
      </c>
      <c r="T328" t="s">
        <v>111</v>
      </c>
      <c r="U328" t="s">
        <v>112</v>
      </c>
      <c r="V328" t="s">
        <v>82</v>
      </c>
      <c r="W328" t="s">
        <v>2800</v>
      </c>
      <c r="X328" t="s">
        <v>2801</v>
      </c>
      <c r="Y328" t="s">
        <v>111</v>
      </c>
      <c r="Z328" t="s">
        <v>112</v>
      </c>
      <c r="AA328" t="s">
        <v>82</v>
      </c>
      <c r="AB328" t="s">
        <v>83</v>
      </c>
      <c r="AC328" t="s">
        <v>333</v>
      </c>
      <c r="AD328" t="s">
        <v>149</v>
      </c>
      <c r="AE328" t="s">
        <v>4160</v>
      </c>
      <c r="AF328" t="s">
        <v>85</v>
      </c>
      <c r="AG328" t="s">
        <v>4161</v>
      </c>
      <c r="AH328">
        <v>273</v>
      </c>
      <c r="AI328">
        <v>1387360</v>
      </c>
      <c r="AJ328">
        <v>112000</v>
      </c>
      <c r="AK328">
        <v>0</v>
      </c>
      <c r="AL328">
        <v>1499360</v>
      </c>
      <c r="AM328" t="s">
        <v>2800</v>
      </c>
      <c r="AN328" t="s">
        <v>2801</v>
      </c>
      <c r="AO328" t="s">
        <v>111</v>
      </c>
      <c r="AP328" t="s">
        <v>112</v>
      </c>
      <c r="AQ328" t="s">
        <v>82</v>
      </c>
      <c r="AR328" t="s">
        <v>4162</v>
      </c>
      <c r="AS328" s="3">
        <v>46202.465223658182</v>
      </c>
      <c r="AT328" t="s">
        <v>89</v>
      </c>
      <c r="AU328" t="s">
        <v>90</v>
      </c>
      <c r="AV328" t="s">
        <v>2712</v>
      </c>
      <c r="AW328" t="s">
        <v>92</v>
      </c>
      <c r="AX328" t="s">
        <v>2713</v>
      </c>
      <c r="AY328" t="s">
        <v>94</v>
      </c>
      <c r="AZ328" t="s">
        <v>85</v>
      </c>
      <c r="BA328" t="s">
        <v>4163</v>
      </c>
      <c r="BB328" t="s">
        <v>4154</v>
      </c>
      <c r="BC328" t="s">
        <v>4156</v>
      </c>
      <c r="BD328" t="s">
        <v>2800</v>
      </c>
      <c r="BE328" t="s">
        <v>2801</v>
      </c>
      <c r="BF328" t="b">
        <f t="shared" si="5"/>
        <v>1</v>
      </c>
      <c r="BG328" t="b">
        <v>1</v>
      </c>
      <c r="BH328">
        <v>2016</v>
      </c>
      <c r="BI328" t="b">
        <v>1</v>
      </c>
      <c r="BJ328" t="s">
        <v>2715</v>
      </c>
      <c r="BK328" t="s">
        <v>2806</v>
      </c>
      <c r="BL328" t="b">
        <v>1</v>
      </c>
      <c r="BM328" t="b">
        <v>1</v>
      </c>
      <c r="BN328" t="b">
        <v>1</v>
      </c>
      <c r="BO328" t="s">
        <v>4164</v>
      </c>
      <c r="BP328" t="b">
        <f>IF(IFERROR(VLOOKUP(A328,[1]Planilha1!$A:$A,1,0),FALSE)=FALSE,FALSE,TRUE)</f>
        <v>1</v>
      </c>
    </row>
    <row r="329" spans="1:68" x14ac:dyDescent="0.25">
      <c r="A329" t="s">
        <v>4165</v>
      </c>
      <c r="B329" t="s">
        <v>68</v>
      </c>
      <c r="D329" s="1">
        <v>46204</v>
      </c>
      <c r="E329" s="1">
        <v>47664</v>
      </c>
      <c r="F329" t="s">
        <v>4166</v>
      </c>
      <c r="G329" t="s">
        <v>4167</v>
      </c>
      <c r="H329" s="2" t="s">
        <v>4168</v>
      </c>
      <c r="I329" t="s">
        <v>4167</v>
      </c>
      <c r="K329" t="s">
        <v>4169</v>
      </c>
      <c r="L329">
        <v>5116601</v>
      </c>
      <c r="M329" t="s">
        <v>4170</v>
      </c>
      <c r="N329" t="s">
        <v>1602</v>
      </c>
      <c r="O329" t="s">
        <v>106</v>
      </c>
      <c r="P329" t="s">
        <v>107</v>
      </c>
      <c r="Q329" t="s">
        <v>4171</v>
      </c>
      <c r="R329" t="s">
        <v>2787</v>
      </c>
      <c r="S329" t="s">
        <v>2788</v>
      </c>
      <c r="T329" t="s">
        <v>111</v>
      </c>
      <c r="U329" t="s">
        <v>112</v>
      </c>
      <c r="V329" t="s">
        <v>82</v>
      </c>
      <c r="W329" t="s">
        <v>2787</v>
      </c>
      <c r="X329" t="s">
        <v>2788</v>
      </c>
      <c r="Y329" t="s">
        <v>111</v>
      </c>
      <c r="Z329" t="s">
        <v>112</v>
      </c>
      <c r="AA329" t="s">
        <v>82</v>
      </c>
      <c r="AB329" t="s">
        <v>83</v>
      </c>
      <c r="AC329" t="s">
        <v>113</v>
      </c>
      <c r="AD329" t="s">
        <v>149</v>
      </c>
      <c r="AE329" t="s">
        <v>4172</v>
      </c>
      <c r="AF329" t="s">
        <v>85</v>
      </c>
      <c r="AG329" t="s">
        <v>4173</v>
      </c>
      <c r="AH329">
        <v>5</v>
      </c>
      <c r="AI329">
        <v>1023360</v>
      </c>
      <c r="AJ329">
        <v>147818</v>
      </c>
      <c r="AK329">
        <v>0</v>
      </c>
      <c r="AL329">
        <v>1171178</v>
      </c>
      <c r="AM329" t="s">
        <v>2787</v>
      </c>
      <c r="AN329" t="s">
        <v>2788</v>
      </c>
      <c r="AO329" t="s">
        <v>111</v>
      </c>
      <c r="AP329" t="s">
        <v>112</v>
      </c>
      <c r="AQ329" t="s">
        <v>82</v>
      </c>
      <c r="AR329" t="s">
        <v>4174</v>
      </c>
      <c r="AS329" s="3">
        <v>46202.465223658182</v>
      </c>
      <c r="AT329" t="s">
        <v>89</v>
      </c>
      <c r="AU329" t="s">
        <v>90</v>
      </c>
      <c r="AV329" t="s">
        <v>2712</v>
      </c>
      <c r="AW329" t="s">
        <v>92</v>
      </c>
      <c r="AX329" t="s">
        <v>2713</v>
      </c>
      <c r="AY329" t="s">
        <v>94</v>
      </c>
      <c r="AZ329" t="s">
        <v>85</v>
      </c>
      <c r="BA329" t="s">
        <v>4175</v>
      </c>
      <c r="BB329" t="s">
        <v>4165</v>
      </c>
      <c r="BC329" t="s">
        <v>4167</v>
      </c>
      <c r="BD329" t="s">
        <v>2787</v>
      </c>
      <c r="BE329" t="s">
        <v>2788</v>
      </c>
      <c r="BF329" t="b">
        <f t="shared" si="5"/>
        <v>1</v>
      </c>
      <c r="BG329" t="b">
        <v>1</v>
      </c>
      <c r="BH329">
        <v>2005</v>
      </c>
      <c r="BI329" t="b">
        <v>1</v>
      </c>
      <c r="BJ329" t="s">
        <v>2715</v>
      </c>
      <c r="BK329" t="s">
        <v>2716</v>
      </c>
      <c r="BL329" t="b">
        <v>1</v>
      </c>
      <c r="BM329" t="b">
        <v>1</v>
      </c>
      <c r="BN329" t="b">
        <v>1</v>
      </c>
      <c r="BO329" t="s">
        <v>2920</v>
      </c>
      <c r="BP329" t="b">
        <f>IF(IFERROR(VLOOKUP(A329,[1]Planilha1!$A:$A,1,0),FALSE)=FALSE,FALSE,TRUE)</f>
        <v>1</v>
      </c>
    </row>
    <row r="330" spans="1:68" x14ac:dyDescent="0.25">
      <c r="A330" t="s">
        <v>4176</v>
      </c>
      <c r="B330" t="s">
        <v>68</v>
      </c>
      <c r="D330" s="1">
        <v>46204</v>
      </c>
      <c r="E330" s="1">
        <v>47664</v>
      </c>
      <c r="F330" t="s">
        <v>4177</v>
      </c>
      <c r="G330" t="s">
        <v>4178</v>
      </c>
      <c r="H330" s="2" t="s">
        <v>4179</v>
      </c>
      <c r="I330" t="s">
        <v>4178</v>
      </c>
      <c r="K330" t="s">
        <v>4180</v>
      </c>
      <c r="L330">
        <v>5116474</v>
      </c>
      <c r="M330" t="s">
        <v>4181</v>
      </c>
      <c r="N330" t="s">
        <v>179</v>
      </c>
      <c r="O330" t="s">
        <v>180</v>
      </c>
      <c r="P330" t="s">
        <v>129</v>
      </c>
      <c r="Q330" t="s">
        <v>4182</v>
      </c>
      <c r="R330" t="s">
        <v>1133</v>
      </c>
      <c r="S330" t="s">
        <v>1134</v>
      </c>
      <c r="T330" t="s">
        <v>184</v>
      </c>
      <c r="U330" t="s">
        <v>112</v>
      </c>
      <c r="V330" t="s">
        <v>82</v>
      </c>
      <c r="W330" t="s">
        <v>1133</v>
      </c>
      <c r="X330" t="s">
        <v>1134</v>
      </c>
      <c r="Y330" t="s">
        <v>184</v>
      </c>
      <c r="Z330" t="s">
        <v>112</v>
      </c>
      <c r="AA330" t="s">
        <v>82</v>
      </c>
      <c r="AB330" t="s">
        <v>83</v>
      </c>
      <c r="AC330" t="s">
        <v>185</v>
      </c>
      <c r="AD330" t="s">
        <v>252</v>
      </c>
      <c r="AE330" t="s">
        <v>4183</v>
      </c>
      <c r="AF330" t="s">
        <v>252</v>
      </c>
      <c r="AG330" t="s">
        <v>4184</v>
      </c>
      <c r="AH330">
        <v>3</v>
      </c>
      <c r="AI330">
        <v>521040</v>
      </c>
      <c r="AJ330">
        <v>57600</v>
      </c>
      <c r="AK330">
        <v>0</v>
      </c>
      <c r="AL330">
        <v>578640</v>
      </c>
      <c r="AM330" t="s">
        <v>1133</v>
      </c>
      <c r="AN330" t="s">
        <v>1134</v>
      </c>
      <c r="AO330" t="s">
        <v>184</v>
      </c>
      <c r="AP330" t="s">
        <v>112</v>
      </c>
      <c r="AQ330" t="s">
        <v>82</v>
      </c>
      <c r="AR330" t="s">
        <v>4185</v>
      </c>
      <c r="AS330" s="3">
        <v>46202.465223658182</v>
      </c>
      <c r="AT330" t="s">
        <v>89</v>
      </c>
      <c r="AU330" t="s">
        <v>90</v>
      </c>
      <c r="AV330" t="s">
        <v>2712</v>
      </c>
      <c r="AW330" t="s">
        <v>92</v>
      </c>
      <c r="AX330" t="s">
        <v>2713</v>
      </c>
      <c r="AY330" t="s">
        <v>94</v>
      </c>
      <c r="AZ330" t="s">
        <v>85</v>
      </c>
      <c r="BA330" t="s">
        <v>4186</v>
      </c>
      <c r="BB330" t="s">
        <v>4176</v>
      </c>
      <c r="BC330" t="s">
        <v>4178</v>
      </c>
      <c r="BD330" t="s">
        <v>1133</v>
      </c>
      <c r="BE330" t="s">
        <v>1134</v>
      </c>
      <c r="BF330" t="b">
        <f t="shared" si="5"/>
        <v>1</v>
      </c>
      <c r="BG330" t="b">
        <v>1</v>
      </c>
      <c r="BH330">
        <v>2023</v>
      </c>
      <c r="BI330" t="b">
        <v>1</v>
      </c>
      <c r="BJ330" t="s">
        <v>2715</v>
      </c>
      <c r="BK330" t="s">
        <v>1140</v>
      </c>
      <c r="BL330" t="b">
        <v>1</v>
      </c>
      <c r="BM330" t="b">
        <v>1</v>
      </c>
      <c r="BN330" t="b">
        <v>1</v>
      </c>
      <c r="BO330" t="s">
        <v>4187</v>
      </c>
      <c r="BP330" t="b">
        <f>IF(IFERROR(VLOOKUP(A330,[1]Planilha1!$A:$A,1,0),FALSE)=FALSE,FALSE,TRUE)</f>
        <v>1</v>
      </c>
    </row>
    <row r="331" spans="1:68" x14ac:dyDescent="0.25">
      <c r="A331" t="s">
        <v>4188</v>
      </c>
      <c r="B331" t="s">
        <v>68</v>
      </c>
      <c r="D331" s="1">
        <v>46204</v>
      </c>
      <c r="E331" s="1">
        <v>47664</v>
      </c>
      <c r="F331" t="s">
        <v>4189</v>
      </c>
      <c r="G331" t="s">
        <v>4190</v>
      </c>
      <c r="H331" s="2" t="s">
        <v>4191</v>
      </c>
      <c r="I331" t="s">
        <v>4190</v>
      </c>
      <c r="K331" t="s">
        <v>4192</v>
      </c>
      <c r="L331">
        <v>5116874</v>
      </c>
      <c r="M331" t="s">
        <v>4193</v>
      </c>
      <c r="N331" t="s">
        <v>2109</v>
      </c>
      <c r="O331" t="s">
        <v>2018</v>
      </c>
      <c r="P331" t="s">
        <v>230</v>
      </c>
      <c r="Q331" t="s">
        <v>3473</v>
      </c>
      <c r="R331" t="s">
        <v>2972</v>
      </c>
      <c r="S331" t="s">
        <v>2973</v>
      </c>
      <c r="T331" t="s">
        <v>300</v>
      </c>
      <c r="U331" t="s">
        <v>301</v>
      </c>
      <c r="V331" t="s">
        <v>82</v>
      </c>
      <c r="W331" t="s">
        <v>2972</v>
      </c>
      <c r="X331" t="s">
        <v>2973</v>
      </c>
      <c r="Y331" t="s">
        <v>300</v>
      </c>
      <c r="Z331" t="s">
        <v>301</v>
      </c>
      <c r="AA331" t="s">
        <v>82</v>
      </c>
      <c r="AB331" t="s">
        <v>83</v>
      </c>
      <c r="AC331" t="s">
        <v>1013</v>
      </c>
      <c r="AD331" t="s">
        <v>85</v>
      </c>
      <c r="AE331" t="s">
        <v>4194</v>
      </c>
      <c r="AF331" t="s">
        <v>85</v>
      </c>
      <c r="AG331" t="s">
        <v>4195</v>
      </c>
      <c r="AH331">
        <v>7</v>
      </c>
      <c r="AI331">
        <v>1010880</v>
      </c>
      <c r="AJ331">
        <v>80000</v>
      </c>
      <c r="AK331">
        <v>0</v>
      </c>
      <c r="AL331">
        <v>1090880</v>
      </c>
      <c r="AM331" t="s">
        <v>2972</v>
      </c>
      <c r="AN331" t="s">
        <v>2973</v>
      </c>
      <c r="AO331" t="s">
        <v>300</v>
      </c>
      <c r="AP331" t="s">
        <v>301</v>
      </c>
      <c r="AQ331" t="s">
        <v>82</v>
      </c>
      <c r="AR331" t="s">
        <v>4196</v>
      </c>
      <c r="AS331" s="3">
        <v>46202.465223658182</v>
      </c>
      <c r="AT331" t="s">
        <v>89</v>
      </c>
      <c r="AU331" t="s">
        <v>90</v>
      </c>
      <c r="AV331" t="s">
        <v>2712</v>
      </c>
      <c r="AW331" t="s">
        <v>92</v>
      </c>
      <c r="AX331" t="s">
        <v>2713</v>
      </c>
      <c r="AY331" t="s">
        <v>94</v>
      </c>
      <c r="AZ331" t="s">
        <v>85</v>
      </c>
      <c r="BA331" t="s">
        <v>4197</v>
      </c>
      <c r="BB331" t="s">
        <v>4188</v>
      </c>
      <c r="BC331" t="s">
        <v>4190</v>
      </c>
      <c r="BD331" t="s">
        <v>2972</v>
      </c>
      <c r="BE331" t="s">
        <v>2973</v>
      </c>
      <c r="BF331" t="b">
        <f t="shared" si="5"/>
        <v>1</v>
      </c>
      <c r="BG331" t="b">
        <v>1</v>
      </c>
      <c r="BH331">
        <v>2020</v>
      </c>
      <c r="BI331" t="b">
        <v>1</v>
      </c>
      <c r="BJ331" t="s">
        <v>2715</v>
      </c>
      <c r="BK331" t="s">
        <v>2978</v>
      </c>
      <c r="BL331" t="b">
        <v>1</v>
      </c>
      <c r="BM331" t="b">
        <v>1</v>
      </c>
      <c r="BN331" t="b">
        <v>1</v>
      </c>
      <c r="BO331" t="s">
        <v>4198</v>
      </c>
      <c r="BP331" t="b">
        <f>IF(IFERROR(VLOOKUP(A331,[1]Planilha1!$A:$A,1,0),FALSE)=FALSE,FALSE,TRUE)</f>
        <v>1</v>
      </c>
    </row>
    <row r="332" spans="1:68" x14ac:dyDescent="0.25">
      <c r="A332" t="s">
        <v>4199</v>
      </c>
      <c r="B332" t="s">
        <v>68</v>
      </c>
      <c r="D332" s="1">
        <v>46204</v>
      </c>
      <c r="E332" s="1">
        <v>47664</v>
      </c>
      <c r="F332" t="s">
        <v>4200</v>
      </c>
      <c r="G332" t="s">
        <v>4201</v>
      </c>
      <c r="H332" s="2" t="s">
        <v>4202</v>
      </c>
      <c r="I332" t="s">
        <v>4201</v>
      </c>
      <c r="K332" t="s">
        <v>4203</v>
      </c>
      <c r="L332">
        <v>5116850</v>
      </c>
      <c r="M332" t="s">
        <v>4204</v>
      </c>
      <c r="N332" t="s">
        <v>3367</v>
      </c>
      <c r="O332" t="s">
        <v>3368</v>
      </c>
      <c r="P332" t="s">
        <v>107</v>
      </c>
      <c r="Q332" t="s">
        <v>4205</v>
      </c>
      <c r="R332" t="s">
        <v>2815</v>
      </c>
      <c r="S332" t="s">
        <v>2816</v>
      </c>
      <c r="T332" t="s">
        <v>184</v>
      </c>
      <c r="U332" t="s">
        <v>112</v>
      </c>
      <c r="V332" t="s">
        <v>82</v>
      </c>
      <c r="W332" t="s">
        <v>2815</v>
      </c>
      <c r="X332" t="s">
        <v>2816</v>
      </c>
      <c r="Y332" t="s">
        <v>184</v>
      </c>
      <c r="Z332" t="s">
        <v>112</v>
      </c>
      <c r="AA332" t="s">
        <v>82</v>
      </c>
      <c r="AB332" t="s">
        <v>83</v>
      </c>
      <c r="AC332" t="s">
        <v>113</v>
      </c>
      <c r="AD332" t="s">
        <v>85</v>
      </c>
      <c r="AE332" t="s">
        <v>4206</v>
      </c>
      <c r="AF332" t="s">
        <v>85</v>
      </c>
      <c r="AG332" t="s">
        <v>4207</v>
      </c>
      <c r="AH332">
        <v>5</v>
      </c>
      <c r="AI332">
        <v>778752</v>
      </c>
      <c r="AJ332">
        <v>86000</v>
      </c>
      <c r="AK332">
        <v>0</v>
      </c>
      <c r="AL332">
        <v>864752</v>
      </c>
      <c r="AM332" t="s">
        <v>2815</v>
      </c>
      <c r="AN332" t="s">
        <v>2816</v>
      </c>
      <c r="AO332" t="s">
        <v>184</v>
      </c>
      <c r="AP332" t="s">
        <v>112</v>
      </c>
      <c r="AQ332" t="s">
        <v>82</v>
      </c>
      <c r="AR332" t="s">
        <v>4208</v>
      </c>
      <c r="AS332" s="3">
        <v>46202.465223658182</v>
      </c>
      <c r="AT332" t="s">
        <v>89</v>
      </c>
      <c r="AU332" t="s">
        <v>90</v>
      </c>
      <c r="AV332" t="s">
        <v>2712</v>
      </c>
      <c r="AW332" t="s">
        <v>92</v>
      </c>
      <c r="AX332" t="s">
        <v>2713</v>
      </c>
      <c r="AY332" t="s">
        <v>94</v>
      </c>
      <c r="AZ332" t="s">
        <v>85</v>
      </c>
      <c r="BA332" t="s">
        <v>4209</v>
      </c>
      <c r="BB332" t="s">
        <v>4199</v>
      </c>
      <c r="BC332" t="s">
        <v>4201</v>
      </c>
      <c r="BD332" t="s">
        <v>2815</v>
      </c>
      <c r="BE332" t="s">
        <v>2816</v>
      </c>
      <c r="BF332" t="b">
        <f t="shared" si="5"/>
        <v>1</v>
      </c>
      <c r="BG332" t="b">
        <v>1</v>
      </c>
      <c r="BH332">
        <v>2023</v>
      </c>
      <c r="BI332" t="b">
        <v>1</v>
      </c>
      <c r="BJ332" t="s">
        <v>2715</v>
      </c>
      <c r="BK332" t="s">
        <v>2821</v>
      </c>
      <c r="BL332" t="b">
        <v>1</v>
      </c>
      <c r="BM332" t="b">
        <v>1</v>
      </c>
      <c r="BN332" t="b">
        <v>1</v>
      </c>
      <c r="BO332" t="s">
        <v>3409</v>
      </c>
      <c r="BP332" t="b">
        <f>IF(IFERROR(VLOOKUP(A332,[1]Planilha1!$A:$A,1,0),FALSE)=FALSE,FALSE,TRUE)</f>
        <v>1</v>
      </c>
    </row>
    <row r="333" spans="1:68" x14ac:dyDescent="0.25">
      <c r="A333" t="s">
        <v>4210</v>
      </c>
      <c r="B333" t="s">
        <v>68</v>
      </c>
      <c r="D333" s="1">
        <v>46204</v>
      </c>
      <c r="E333" s="1">
        <v>47664</v>
      </c>
      <c r="F333" t="s">
        <v>1750</v>
      </c>
      <c r="G333" t="s">
        <v>1751</v>
      </c>
      <c r="H333" s="2" t="s">
        <v>1752</v>
      </c>
      <c r="I333" t="s">
        <v>1751</v>
      </c>
      <c r="K333" t="s">
        <v>1751</v>
      </c>
      <c r="L333">
        <v>5105161</v>
      </c>
      <c r="M333" t="s">
        <v>1754</v>
      </c>
      <c r="N333" t="s">
        <v>199</v>
      </c>
      <c r="O333" t="s">
        <v>200</v>
      </c>
      <c r="P333" t="s">
        <v>107</v>
      </c>
      <c r="Q333" t="s">
        <v>675</v>
      </c>
      <c r="R333" t="s">
        <v>182</v>
      </c>
      <c r="S333" t="s">
        <v>183</v>
      </c>
      <c r="T333" t="s">
        <v>184</v>
      </c>
      <c r="U333" t="s">
        <v>112</v>
      </c>
      <c r="V333" t="s">
        <v>82</v>
      </c>
      <c r="W333" t="s">
        <v>182</v>
      </c>
      <c r="X333" t="s">
        <v>183</v>
      </c>
      <c r="Y333" t="s">
        <v>184</v>
      </c>
      <c r="Z333" t="s">
        <v>112</v>
      </c>
      <c r="AA333" t="s">
        <v>82</v>
      </c>
      <c r="AB333" t="s">
        <v>83</v>
      </c>
      <c r="AC333" t="s">
        <v>202</v>
      </c>
      <c r="AD333" t="s">
        <v>4211</v>
      </c>
      <c r="AE333" t="s">
        <v>4212</v>
      </c>
      <c r="AF333" t="s">
        <v>4211</v>
      </c>
      <c r="AG333" t="s">
        <v>4213</v>
      </c>
      <c r="AH333">
        <v>3</v>
      </c>
      <c r="AI333">
        <v>604800</v>
      </c>
      <c r="AJ333">
        <v>150000</v>
      </c>
      <c r="AK333">
        <v>0</v>
      </c>
      <c r="AL333">
        <v>754800</v>
      </c>
      <c r="AM333" t="s">
        <v>182</v>
      </c>
      <c r="AN333" t="s">
        <v>183</v>
      </c>
      <c r="AO333" t="s">
        <v>184</v>
      </c>
      <c r="AP333" t="s">
        <v>112</v>
      </c>
      <c r="AQ333" t="s">
        <v>82</v>
      </c>
      <c r="AR333" t="s">
        <v>1758</v>
      </c>
      <c r="AS333" s="3">
        <v>46202.465223658182</v>
      </c>
      <c r="AT333" t="s">
        <v>89</v>
      </c>
      <c r="AU333" t="s">
        <v>90</v>
      </c>
      <c r="AV333" t="s">
        <v>2712</v>
      </c>
      <c r="AW333" t="s">
        <v>92</v>
      </c>
      <c r="AX333" t="s">
        <v>2713</v>
      </c>
      <c r="AY333" t="s">
        <v>94</v>
      </c>
      <c r="AZ333" t="s">
        <v>85</v>
      </c>
      <c r="BA333" t="s">
        <v>1759</v>
      </c>
      <c r="BB333" t="s">
        <v>4210</v>
      </c>
      <c r="BC333" t="s">
        <v>1751</v>
      </c>
      <c r="BD333" t="s">
        <v>182</v>
      </c>
      <c r="BE333" t="s">
        <v>183</v>
      </c>
      <c r="BF333" t="b">
        <f t="shared" si="5"/>
        <v>0</v>
      </c>
      <c r="BG333" t="b">
        <v>1</v>
      </c>
      <c r="BH333">
        <v>2008</v>
      </c>
      <c r="BI333" t="b">
        <v>0</v>
      </c>
      <c r="BJ333" t="s">
        <v>2715</v>
      </c>
      <c r="BK333" t="s">
        <v>191</v>
      </c>
      <c r="BL333" t="b">
        <v>0</v>
      </c>
      <c r="BM333" t="b">
        <v>1</v>
      </c>
      <c r="BN333" t="b">
        <v>1</v>
      </c>
      <c r="BO333" t="s">
        <v>1760</v>
      </c>
      <c r="BP333" t="b">
        <f>IF(IFERROR(VLOOKUP(A333,[1]Planilha1!$A:$A,1,0),FALSE)=FALSE,FALSE,TRUE)</f>
        <v>0</v>
      </c>
    </row>
    <row r="334" spans="1:68" x14ac:dyDescent="0.25">
      <c r="A334" t="s">
        <v>4214</v>
      </c>
      <c r="B334" t="s">
        <v>68</v>
      </c>
      <c r="D334" s="1">
        <v>46204</v>
      </c>
      <c r="E334" s="1">
        <v>47664</v>
      </c>
      <c r="F334" t="s">
        <v>4215</v>
      </c>
      <c r="G334" t="s">
        <v>4216</v>
      </c>
      <c r="H334" s="2" t="s">
        <v>4217</v>
      </c>
      <c r="I334" t="s">
        <v>4216</v>
      </c>
      <c r="K334" t="s">
        <v>4218</v>
      </c>
      <c r="L334">
        <v>5116279</v>
      </c>
      <c r="M334" t="s">
        <v>4219</v>
      </c>
      <c r="N334" t="s">
        <v>1025</v>
      </c>
      <c r="O334" t="s">
        <v>715</v>
      </c>
      <c r="P334" t="s">
        <v>107</v>
      </c>
      <c r="Q334" t="s">
        <v>3817</v>
      </c>
      <c r="R334" t="s">
        <v>2815</v>
      </c>
      <c r="S334" t="s">
        <v>2816</v>
      </c>
      <c r="T334" t="s">
        <v>184</v>
      </c>
      <c r="U334" t="s">
        <v>112</v>
      </c>
      <c r="V334" t="s">
        <v>82</v>
      </c>
      <c r="W334" t="s">
        <v>2815</v>
      </c>
      <c r="X334" t="s">
        <v>2816</v>
      </c>
      <c r="Y334" t="s">
        <v>184</v>
      </c>
      <c r="Z334" t="s">
        <v>112</v>
      </c>
      <c r="AA334" t="s">
        <v>82</v>
      </c>
      <c r="AB334" t="s">
        <v>83</v>
      </c>
      <c r="AC334" t="s">
        <v>113</v>
      </c>
      <c r="AD334" t="s">
        <v>547</v>
      </c>
      <c r="AE334" t="s">
        <v>4220</v>
      </c>
      <c r="AF334" t="s">
        <v>547</v>
      </c>
      <c r="AG334" t="s">
        <v>4221</v>
      </c>
      <c r="AH334">
        <v>6</v>
      </c>
      <c r="AI334">
        <v>1148160</v>
      </c>
      <c r="AJ334">
        <v>103000</v>
      </c>
      <c r="AK334">
        <v>0</v>
      </c>
      <c r="AL334">
        <v>1251160</v>
      </c>
      <c r="AR334" t="s">
        <v>4222</v>
      </c>
      <c r="AS334" s="3">
        <v>46202.465223658182</v>
      </c>
      <c r="AT334" t="s">
        <v>89</v>
      </c>
      <c r="AU334" t="s">
        <v>90</v>
      </c>
      <c r="AV334" t="s">
        <v>2712</v>
      </c>
      <c r="AW334" t="s">
        <v>92</v>
      </c>
      <c r="AX334" t="s">
        <v>2713</v>
      </c>
      <c r="AY334" t="s">
        <v>94</v>
      </c>
      <c r="AZ334" t="s">
        <v>85</v>
      </c>
      <c r="BA334" t="s">
        <v>4223</v>
      </c>
      <c r="BB334" t="s">
        <v>4214</v>
      </c>
      <c r="BC334" t="s">
        <v>4216</v>
      </c>
      <c r="BD334" t="s">
        <v>2815</v>
      </c>
      <c r="BE334" t="s">
        <v>2816</v>
      </c>
      <c r="BF334" t="b">
        <f t="shared" si="5"/>
        <v>1</v>
      </c>
      <c r="BG334" t="b">
        <v>1</v>
      </c>
      <c r="BH334">
        <v>1993</v>
      </c>
      <c r="BI334" t="b">
        <v>1</v>
      </c>
      <c r="BJ334" t="s">
        <v>2715</v>
      </c>
      <c r="BK334" t="s">
        <v>2821</v>
      </c>
      <c r="BL334" t="b">
        <v>1</v>
      </c>
      <c r="BM334" t="b">
        <v>1</v>
      </c>
      <c r="BN334" t="b">
        <v>1</v>
      </c>
      <c r="BO334" t="s">
        <v>4224</v>
      </c>
      <c r="BP334" t="b">
        <f>IF(IFERROR(VLOOKUP(A334,[1]Planilha1!$A:$A,1,0),FALSE)=FALSE,FALSE,TRUE)</f>
        <v>1</v>
      </c>
    </row>
    <row r="335" spans="1:68" x14ac:dyDescent="0.25">
      <c r="A335" t="s">
        <v>4225</v>
      </c>
      <c r="B335" t="s">
        <v>68</v>
      </c>
      <c r="D335" s="1">
        <v>46204</v>
      </c>
      <c r="E335" s="1">
        <v>47664</v>
      </c>
      <c r="F335" t="s">
        <v>4226</v>
      </c>
      <c r="G335" t="s">
        <v>4227</v>
      </c>
      <c r="H335" s="2" t="s">
        <v>4228</v>
      </c>
      <c r="I335" t="s">
        <v>4227</v>
      </c>
      <c r="K335" t="s">
        <v>4229</v>
      </c>
      <c r="L335">
        <v>5116605</v>
      </c>
      <c r="M335" t="s">
        <v>4230</v>
      </c>
      <c r="N335" t="s">
        <v>414</v>
      </c>
      <c r="O335" t="s">
        <v>180</v>
      </c>
      <c r="P335" t="s">
        <v>129</v>
      </c>
      <c r="Q335" t="s">
        <v>2724</v>
      </c>
      <c r="R335" t="s">
        <v>2725</v>
      </c>
      <c r="S335" t="s">
        <v>2726</v>
      </c>
      <c r="T335" t="s">
        <v>184</v>
      </c>
      <c r="U335" t="s">
        <v>112</v>
      </c>
      <c r="V335" t="s">
        <v>82</v>
      </c>
      <c r="W335" t="s">
        <v>2725</v>
      </c>
      <c r="X335" t="s">
        <v>2726</v>
      </c>
      <c r="Y335" t="s">
        <v>184</v>
      </c>
      <c r="Z335" t="s">
        <v>112</v>
      </c>
      <c r="AA335" t="s">
        <v>82</v>
      </c>
      <c r="AB335" t="s">
        <v>83</v>
      </c>
      <c r="AC335" t="s">
        <v>185</v>
      </c>
      <c r="AD335" t="s">
        <v>149</v>
      </c>
      <c r="AE335" t="s">
        <v>4231</v>
      </c>
      <c r="AF335" t="s">
        <v>85</v>
      </c>
      <c r="AG335" t="s">
        <v>4232</v>
      </c>
      <c r="AH335">
        <v>6</v>
      </c>
      <c r="AI335">
        <v>1208740</v>
      </c>
      <c r="AJ335">
        <v>134246.67000000001</v>
      </c>
      <c r="AK335">
        <v>0</v>
      </c>
      <c r="AL335">
        <v>1342986.67</v>
      </c>
      <c r="AM335" t="s">
        <v>2725</v>
      </c>
      <c r="AN335" t="s">
        <v>2726</v>
      </c>
      <c r="AO335" t="s">
        <v>184</v>
      </c>
      <c r="AP335" t="s">
        <v>112</v>
      </c>
      <c r="AQ335" t="s">
        <v>82</v>
      </c>
      <c r="AR335" t="s">
        <v>4233</v>
      </c>
      <c r="AS335" s="3">
        <v>46202.465223658182</v>
      </c>
      <c r="AT335" t="s">
        <v>89</v>
      </c>
      <c r="AU335" t="s">
        <v>90</v>
      </c>
      <c r="AV335" t="s">
        <v>2712</v>
      </c>
      <c r="AW335" t="s">
        <v>92</v>
      </c>
      <c r="AX335" t="s">
        <v>2713</v>
      </c>
      <c r="AY335" t="s">
        <v>94</v>
      </c>
      <c r="AZ335" t="s">
        <v>85</v>
      </c>
      <c r="BA335" t="s">
        <v>4234</v>
      </c>
      <c r="BB335" t="s">
        <v>4225</v>
      </c>
      <c r="BC335" t="s">
        <v>4227</v>
      </c>
      <c r="BD335" t="s">
        <v>2725</v>
      </c>
      <c r="BE335" t="s">
        <v>2726</v>
      </c>
      <c r="BF335" t="b">
        <f t="shared" si="5"/>
        <v>1</v>
      </c>
      <c r="BG335" t="b">
        <v>1</v>
      </c>
      <c r="BH335">
        <v>1998</v>
      </c>
      <c r="BI335" t="b">
        <v>1</v>
      </c>
      <c r="BJ335" t="s">
        <v>2715</v>
      </c>
      <c r="BK335" t="s">
        <v>2731</v>
      </c>
      <c r="BL335" t="b">
        <v>1</v>
      </c>
      <c r="BM335" t="b">
        <v>1</v>
      </c>
      <c r="BN335" t="b">
        <v>1</v>
      </c>
      <c r="BO335" t="s">
        <v>4235</v>
      </c>
      <c r="BP335" t="b">
        <f>IF(IFERROR(VLOOKUP(A335,[1]Planilha1!$A:$A,1,0),FALSE)=FALSE,FALSE,TRUE)</f>
        <v>1</v>
      </c>
    </row>
    <row r="336" spans="1:68" x14ac:dyDescent="0.25">
      <c r="A336" t="s">
        <v>4236</v>
      </c>
      <c r="B336" t="s">
        <v>68</v>
      </c>
      <c r="D336" s="1">
        <v>46204</v>
      </c>
      <c r="E336" s="1">
        <v>47664</v>
      </c>
      <c r="F336" t="s">
        <v>4237</v>
      </c>
      <c r="G336" t="s">
        <v>4238</v>
      </c>
      <c r="H336" s="2" t="s">
        <v>4239</v>
      </c>
      <c r="I336" t="s">
        <v>4238</v>
      </c>
      <c r="K336" t="s">
        <v>4240</v>
      </c>
      <c r="L336">
        <v>5115712</v>
      </c>
      <c r="M336" t="s">
        <v>4241</v>
      </c>
      <c r="N336" t="s">
        <v>359</v>
      </c>
      <c r="O336" t="s">
        <v>360</v>
      </c>
      <c r="P336" t="s">
        <v>129</v>
      </c>
      <c r="Q336" t="s">
        <v>1767</v>
      </c>
      <c r="R336" t="s">
        <v>2815</v>
      </c>
      <c r="S336" t="s">
        <v>2816</v>
      </c>
      <c r="T336" t="s">
        <v>184</v>
      </c>
      <c r="U336" t="s">
        <v>112</v>
      </c>
      <c r="V336" t="s">
        <v>82</v>
      </c>
      <c r="W336" t="s">
        <v>2815</v>
      </c>
      <c r="X336" t="s">
        <v>2816</v>
      </c>
      <c r="Y336" t="s">
        <v>184</v>
      </c>
      <c r="Z336" t="s">
        <v>112</v>
      </c>
      <c r="AA336" t="s">
        <v>82</v>
      </c>
      <c r="AB336" t="s">
        <v>83</v>
      </c>
      <c r="AC336" t="s">
        <v>185</v>
      </c>
      <c r="AD336" t="s">
        <v>1816</v>
      </c>
      <c r="AE336" t="s">
        <v>4242</v>
      </c>
      <c r="AF336" t="s">
        <v>1816</v>
      </c>
      <c r="AG336" t="s">
        <v>4243</v>
      </c>
      <c r="AH336">
        <v>6</v>
      </c>
      <c r="AI336">
        <v>918480</v>
      </c>
      <c r="AJ336">
        <v>102000</v>
      </c>
      <c r="AK336">
        <v>0</v>
      </c>
      <c r="AL336">
        <v>1020480</v>
      </c>
      <c r="AM336" t="s">
        <v>2815</v>
      </c>
      <c r="AN336" t="s">
        <v>2816</v>
      </c>
      <c r="AO336" t="s">
        <v>184</v>
      </c>
      <c r="AP336" t="s">
        <v>112</v>
      </c>
      <c r="AQ336" t="s">
        <v>82</v>
      </c>
      <c r="AR336" t="s">
        <v>4244</v>
      </c>
      <c r="AS336" s="3">
        <v>46202.465223658182</v>
      </c>
      <c r="AT336" t="s">
        <v>89</v>
      </c>
      <c r="AU336" t="s">
        <v>90</v>
      </c>
      <c r="AV336" t="s">
        <v>2712</v>
      </c>
      <c r="AW336" t="s">
        <v>92</v>
      </c>
      <c r="AX336" t="s">
        <v>2713</v>
      </c>
      <c r="AY336" t="s">
        <v>94</v>
      </c>
      <c r="AZ336" t="s">
        <v>85</v>
      </c>
      <c r="BA336" t="s">
        <v>4245</v>
      </c>
      <c r="BB336" t="s">
        <v>4236</v>
      </c>
      <c r="BC336" t="s">
        <v>4238</v>
      </c>
      <c r="BD336" t="s">
        <v>2815</v>
      </c>
      <c r="BE336" t="s">
        <v>2816</v>
      </c>
      <c r="BF336" t="b">
        <f t="shared" si="5"/>
        <v>1</v>
      </c>
      <c r="BG336" t="b">
        <v>1</v>
      </c>
      <c r="BH336">
        <v>1988</v>
      </c>
      <c r="BI336" t="b">
        <v>1</v>
      </c>
      <c r="BJ336" t="s">
        <v>2715</v>
      </c>
      <c r="BK336" t="s">
        <v>2821</v>
      </c>
      <c r="BL336" t="b">
        <v>1</v>
      </c>
      <c r="BM336" t="b">
        <v>1</v>
      </c>
      <c r="BN336" t="b">
        <v>1</v>
      </c>
      <c r="BO336" t="s">
        <v>4246</v>
      </c>
      <c r="BP336" t="b">
        <f>IF(IFERROR(VLOOKUP(A336,[1]Planilha1!$A:$A,1,0),FALSE)=FALSE,FALSE,TRUE)</f>
        <v>1</v>
      </c>
    </row>
    <row r="337" spans="1:68" x14ac:dyDescent="0.25">
      <c r="A337" t="s">
        <v>4247</v>
      </c>
      <c r="B337" t="s">
        <v>68</v>
      </c>
      <c r="D337" s="1">
        <v>46204</v>
      </c>
      <c r="E337" s="1">
        <v>47664</v>
      </c>
      <c r="F337" t="s">
        <v>4248</v>
      </c>
      <c r="G337" t="s">
        <v>4249</v>
      </c>
      <c r="H337" s="2" t="s">
        <v>4250</v>
      </c>
      <c r="I337" t="s">
        <v>4249</v>
      </c>
      <c r="K337" t="s">
        <v>4251</v>
      </c>
      <c r="L337">
        <v>5116849</v>
      </c>
      <c r="M337" t="s">
        <v>4252</v>
      </c>
      <c r="N337" t="s">
        <v>179</v>
      </c>
      <c r="O337" t="s">
        <v>180</v>
      </c>
      <c r="P337" t="s">
        <v>129</v>
      </c>
      <c r="Q337" t="s">
        <v>4253</v>
      </c>
      <c r="R337" t="s">
        <v>2725</v>
      </c>
      <c r="S337" t="s">
        <v>2726</v>
      </c>
      <c r="T337" t="s">
        <v>184</v>
      </c>
      <c r="U337" t="s">
        <v>112</v>
      </c>
      <c r="V337" t="s">
        <v>82</v>
      </c>
      <c r="W337" t="s">
        <v>2725</v>
      </c>
      <c r="X337" t="s">
        <v>2726</v>
      </c>
      <c r="Y337" t="s">
        <v>184</v>
      </c>
      <c r="Z337" t="s">
        <v>112</v>
      </c>
      <c r="AA337" t="s">
        <v>82</v>
      </c>
      <c r="AB337" t="s">
        <v>83</v>
      </c>
      <c r="AC337" t="s">
        <v>185</v>
      </c>
      <c r="AD337" t="s">
        <v>85</v>
      </c>
      <c r="AE337" t="s">
        <v>4254</v>
      </c>
      <c r="AF337" t="s">
        <v>85</v>
      </c>
      <c r="AG337" t="s">
        <v>4255</v>
      </c>
      <c r="AH337">
        <v>3</v>
      </c>
      <c r="AI337">
        <v>519200</v>
      </c>
      <c r="AJ337">
        <v>107000</v>
      </c>
      <c r="AK337">
        <v>0</v>
      </c>
      <c r="AL337">
        <v>626200</v>
      </c>
      <c r="AM337" t="s">
        <v>2725</v>
      </c>
      <c r="AN337" t="s">
        <v>2726</v>
      </c>
      <c r="AO337" t="s">
        <v>184</v>
      </c>
      <c r="AP337" t="s">
        <v>112</v>
      </c>
      <c r="AQ337" t="s">
        <v>82</v>
      </c>
      <c r="AR337" t="s">
        <v>4256</v>
      </c>
      <c r="AS337" s="3">
        <v>46202.465223658182</v>
      </c>
      <c r="AT337" t="s">
        <v>89</v>
      </c>
      <c r="AU337" t="s">
        <v>90</v>
      </c>
      <c r="AV337" t="s">
        <v>2712</v>
      </c>
      <c r="AW337" t="s">
        <v>92</v>
      </c>
      <c r="AX337" t="s">
        <v>2713</v>
      </c>
      <c r="AY337" t="s">
        <v>94</v>
      </c>
      <c r="AZ337" t="s">
        <v>85</v>
      </c>
      <c r="BA337" t="s">
        <v>4257</v>
      </c>
      <c r="BB337" t="s">
        <v>4247</v>
      </c>
      <c r="BC337" t="s">
        <v>4249</v>
      </c>
      <c r="BD337" t="s">
        <v>2725</v>
      </c>
      <c r="BE337" t="s">
        <v>2726</v>
      </c>
      <c r="BF337" t="b">
        <f t="shared" si="5"/>
        <v>1</v>
      </c>
      <c r="BG337" t="b">
        <v>1</v>
      </c>
      <c r="BH337">
        <v>2000</v>
      </c>
      <c r="BI337" t="b">
        <v>1</v>
      </c>
      <c r="BJ337" t="s">
        <v>2715</v>
      </c>
      <c r="BK337" t="s">
        <v>2731</v>
      </c>
      <c r="BL337" t="b">
        <v>1</v>
      </c>
      <c r="BM337" t="b">
        <v>1</v>
      </c>
      <c r="BN337" t="b">
        <v>1</v>
      </c>
      <c r="BO337" t="s">
        <v>4258</v>
      </c>
      <c r="BP337" t="b">
        <f>IF(IFERROR(VLOOKUP(A337,[1]Planilha1!$A:$A,1,0),FALSE)=FALSE,FALSE,TRUE)</f>
        <v>1</v>
      </c>
    </row>
    <row r="338" spans="1:68" x14ac:dyDescent="0.25">
      <c r="A338" t="s">
        <v>4259</v>
      </c>
      <c r="B338" t="s">
        <v>68</v>
      </c>
      <c r="D338" s="1">
        <v>46204</v>
      </c>
      <c r="E338" s="1">
        <v>47664</v>
      </c>
      <c r="F338" t="s">
        <v>4260</v>
      </c>
      <c r="G338" t="s">
        <v>4261</v>
      </c>
      <c r="H338" s="2" t="s">
        <v>4262</v>
      </c>
      <c r="I338" t="s">
        <v>4261</v>
      </c>
      <c r="K338" t="s">
        <v>4263</v>
      </c>
      <c r="L338">
        <v>5116897</v>
      </c>
      <c r="M338" t="s">
        <v>4264</v>
      </c>
      <c r="N338" t="s">
        <v>793</v>
      </c>
      <c r="O338" t="s">
        <v>794</v>
      </c>
      <c r="P338" t="s">
        <v>647</v>
      </c>
      <c r="Q338" t="s">
        <v>4265</v>
      </c>
      <c r="R338" t="s">
        <v>2787</v>
      </c>
      <c r="S338" t="s">
        <v>2788</v>
      </c>
      <c r="T338" t="s">
        <v>111</v>
      </c>
      <c r="U338" t="s">
        <v>112</v>
      </c>
      <c r="V338" t="s">
        <v>82</v>
      </c>
      <c r="W338" t="s">
        <v>2787</v>
      </c>
      <c r="X338" t="s">
        <v>2788</v>
      </c>
      <c r="Y338" t="s">
        <v>111</v>
      </c>
      <c r="Z338" t="s">
        <v>112</v>
      </c>
      <c r="AA338" t="s">
        <v>82</v>
      </c>
      <c r="AB338" t="s">
        <v>83</v>
      </c>
      <c r="AC338" t="s">
        <v>649</v>
      </c>
      <c r="AD338" t="s">
        <v>85</v>
      </c>
      <c r="AE338" t="s">
        <v>4266</v>
      </c>
      <c r="AF338" t="s">
        <v>85</v>
      </c>
      <c r="AG338" t="s">
        <v>4267</v>
      </c>
      <c r="AH338">
        <v>14</v>
      </c>
      <c r="AI338">
        <v>1343160</v>
      </c>
      <c r="AJ338">
        <v>149240</v>
      </c>
      <c r="AK338">
        <v>0</v>
      </c>
      <c r="AL338">
        <v>1492400</v>
      </c>
      <c r="AM338" t="s">
        <v>2787</v>
      </c>
      <c r="AN338" t="s">
        <v>2788</v>
      </c>
      <c r="AO338" t="s">
        <v>111</v>
      </c>
      <c r="AP338" t="s">
        <v>112</v>
      </c>
      <c r="AQ338" t="s">
        <v>82</v>
      </c>
      <c r="AR338" t="s">
        <v>4268</v>
      </c>
      <c r="AS338" s="3">
        <v>46202.465223658182</v>
      </c>
      <c r="AT338" t="s">
        <v>89</v>
      </c>
      <c r="AU338" t="s">
        <v>90</v>
      </c>
      <c r="AV338" t="s">
        <v>2712</v>
      </c>
      <c r="AW338" t="s">
        <v>92</v>
      </c>
      <c r="AX338" t="s">
        <v>2713</v>
      </c>
      <c r="AY338" t="s">
        <v>94</v>
      </c>
      <c r="AZ338" t="s">
        <v>85</v>
      </c>
      <c r="BA338" t="s">
        <v>4269</v>
      </c>
      <c r="BB338" t="s">
        <v>4259</v>
      </c>
      <c r="BC338" t="s">
        <v>4261</v>
      </c>
      <c r="BD338" t="s">
        <v>2787</v>
      </c>
      <c r="BE338" t="s">
        <v>2788</v>
      </c>
      <c r="BF338" t="b">
        <f t="shared" si="5"/>
        <v>1</v>
      </c>
      <c r="BG338" t="b">
        <v>1</v>
      </c>
      <c r="BH338">
        <v>2007</v>
      </c>
      <c r="BI338" t="b">
        <v>1</v>
      </c>
      <c r="BJ338" t="s">
        <v>2715</v>
      </c>
      <c r="BK338" t="s">
        <v>2716</v>
      </c>
      <c r="BL338" t="b">
        <v>1</v>
      </c>
      <c r="BM338" t="b">
        <v>1</v>
      </c>
      <c r="BN338" t="b">
        <v>1</v>
      </c>
      <c r="BO338" t="s">
        <v>4270</v>
      </c>
      <c r="BP338" t="b">
        <f>IF(IFERROR(VLOOKUP(A338,[1]Planilha1!$A:$A,1,0),FALSE)=FALSE,FALSE,TRUE)</f>
        <v>1</v>
      </c>
    </row>
    <row r="339" spans="1:68" x14ac:dyDescent="0.25">
      <c r="A339" t="s">
        <v>4271</v>
      </c>
      <c r="B339" t="s">
        <v>68</v>
      </c>
      <c r="D339" s="1">
        <v>46204</v>
      </c>
      <c r="E339" s="1">
        <v>47664</v>
      </c>
      <c r="F339" t="s">
        <v>4272</v>
      </c>
      <c r="G339" t="s">
        <v>4273</v>
      </c>
      <c r="H339" s="2" t="s">
        <v>4274</v>
      </c>
      <c r="I339" t="s">
        <v>4273</v>
      </c>
      <c r="K339" t="s">
        <v>4275</v>
      </c>
      <c r="L339">
        <v>5116809</v>
      </c>
      <c r="M339" t="s">
        <v>4276</v>
      </c>
      <c r="N339" t="s">
        <v>2109</v>
      </c>
      <c r="O339" t="s">
        <v>2018</v>
      </c>
      <c r="P339" t="s">
        <v>230</v>
      </c>
      <c r="Q339" t="s">
        <v>4067</v>
      </c>
      <c r="R339" t="s">
        <v>2972</v>
      </c>
      <c r="S339" t="s">
        <v>2973</v>
      </c>
      <c r="T339" t="s">
        <v>300</v>
      </c>
      <c r="U339" t="s">
        <v>301</v>
      </c>
      <c r="V339" t="s">
        <v>82</v>
      </c>
      <c r="W339" t="s">
        <v>2972</v>
      </c>
      <c r="X339" t="s">
        <v>2973</v>
      </c>
      <c r="Y339" t="s">
        <v>300</v>
      </c>
      <c r="Z339" t="s">
        <v>301</v>
      </c>
      <c r="AA339" t="s">
        <v>82</v>
      </c>
      <c r="AB339" t="s">
        <v>83</v>
      </c>
      <c r="AC339" t="s">
        <v>1013</v>
      </c>
      <c r="AD339" t="s">
        <v>85</v>
      </c>
      <c r="AE339" t="s">
        <v>4277</v>
      </c>
      <c r="AF339" t="s">
        <v>85</v>
      </c>
      <c r="AG339" t="s">
        <v>4278</v>
      </c>
      <c r="AH339">
        <v>11</v>
      </c>
      <c r="AI339">
        <v>1425840</v>
      </c>
      <c r="AJ339">
        <v>141960</v>
      </c>
      <c r="AK339">
        <v>0</v>
      </c>
      <c r="AL339">
        <v>1567800</v>
      </c>
      <c r="AM339" t="s">
        <v>2972</v>
      </c>
      <c r="AN339" t="s">
        <v>2973</v>
      </c>
      <c r="AO339" t="s">
        <v>300</v>
      </c>
      <c r="AP339" t="s">
        <v>301</v>
      </c>
      <c r="AQ339" t="s">
        <v>82</v>
      </c>
      <c r="AR339" t="s">
        <v>4279</v>
      </c>
      <c r="AS339" s="3">
        <v>46202.465223658182</v>
      </c>
      <c r="AT339" t="s">
        <v>89</v>
      </c>
      <c r="AU339" t="s">
        <v>90</v>
      </c>
      <c r="AV339" t="s">
        <v>2712</v>
      </c>
      <c r="AW339" t="s">
        <v>92</v>
      </c>
      <c r="AX339" t="s">
        <v>2713</v>
      </c>
      <c r="AY339" t="s">
        <v>94</v>
      </c>
      <c r="AZ339" t="s">
        <v>85</v>
      </c>
      <c r="BA339" t="s">
        <v>4280</v>
      </c>
      <c r="BB339" t="s">
        <v>4271</v>
      </c>
      <c r="BC339" t="s">
        <v>4273</v>
      </c>
      <c r="BD339" t="s">
        <v>2972</v>
      </c>
      <c r="BE339" t="s">
        <v>2973</v>
      </c>
      <c r="BF339" t="b">
        <f t="shared" si="5"/>
        <v>1</v>
      </c>
      <c r="BG339" t="b">
        <v>1</v>
      </c>
      <c r="BH339">
        <v>2010</v>
      </c>
      <c r="BI339" t="b">
        <v>1</v>
      </c>
      <c r="BJ339" t="s">
        <v>2715</v>
      </c>
      <c r="BK339" t="s">
        <v>2978</v>
      </c>
      <c r="BL339" t="b">
        <v>1</v>
      </c>
      <c r="BM339" t="b">
        <v>1</v>
      </c>
      <c r="BN339" t="b">
        <v>1</v>
      </c>
      <c r="BO339" t="s">
        <v>4281</v>
      </c>
      <c r="BP339" t="b">
        <f>IF(IFERROR(VLOOKUP(A339,[1]Planilha1!$A:$A,1,0),FALSE)=FALSE,FALSE,TRUE)</f>
        <v>1</v>
      </c>
    </row>
    <row r="340" spans="1:68" x14ac:dyDescent="0.25">
      <c r="A340" t="s">
        <v>4282</v>
      </c>
      <c r="B340" t="s">
        <v>68</v>
      </c>
      <c r="D340" s="1">
        <v>46204</v>
      </c>
      <c r="E340" s="1">
        <v>47664</v>
      </c>
      <c r="F340" t="s">
        <v>4283</v>
      </c>
      <c r="G340" t="s">
        <v>4284</v>
      </c>
      <c r="H340" s="2" t="s">
        <v>4285</v>
      </c>
      <c r="I340" t="s">
        <v>4284</v>
      </c>
      <c r="K340" t="s">
        <v>4286</v>
      </c>
      <c r="L340">
        <v>5116507</v>
      </c>
      <c r="M340" t="s">
        <v>4287</v>
      </c>
      <c r="N340" t="s">
        <v>389</v>
      </c>
      <c r="O340" t="s">
        <v>390</v>
      </c>
      <c r="P340" t="s">
        <v>107</v>
      </c>
      <c r="Q340" t="s">
        <v>1236</v>
      </c>
      <c r="R340" t="s">
        <v>2773</v>
      </c>
      <c r="S340" t="s">
        <v>2774</v>
      </c>
      <c r="T340" t="s">
        <v>184</v>
      </c>
      <c r="U340" t="s">
        <v>112</v>
      </c>
      <c r="V340" t="s">
        <v>82</v>
      </c>
      <c r="W340" t="s">
        <v>2773</v>
      </c>
      <c r="X340" t="s">
        <v>2774</v>
      </c>
      <c r="Y340" t="s">
        <v>184</v>
      </c>
      <c r="Z340" t="s">
        <v>112</v>
      </c>
      <c r="AA340" t="s">
        <v>82</v>
      </c>
      <c r="AB340" t="s">
        <v>83</v>
      </c>
      <c r="AC340" t="s">
        <v>202</v>
      </c>
      <c r="AD340" t="s">
        <v>149</v>
      </c>
      <c r="AE340" t="s">
        <v>4288</v>
      </c>
      <c r="AF340" t="s">
        <v>149</v>
      </c>
      <c r="AG340" t="s">
        <v>4289</v>
      </c>
      <c r="AH340">
        <v>5</v>
      </c>
      <c r="AI340">
        <v>954720</v>
      </c>
      <c r="AJ340">
        <v>137904</v>
      </c>
      <c r="AK340">
        <v>0</v>
      </c>
      <c r="AL340">
        <v>1092624</v>
      </c>
      <c r="AM340" t="s">
        <v>2773</v>
      </c>
      <c r="AN340" t="s">
        <v>2774</v>
      </c>
      <c r="AO340" t="s">
        <v>184</v>
      </c>
      <c r="AP340" t="s">
        <v>112</v>
      </c>
      <c r="AQ340" t="s">
        <v>82</v>
      </c>
      <c r="AR340" t="s">
        <v>4290</v>
      </c>
      <c r="AS340" s="3">
        <v>46202.465223658182</v>
      </c>
      <c r="AT340" t="s">
        <v>89</v>
      </c>
      <c r="AU340" t="s">
        <v>90</v>
      </c>
      <c r="AV340" t="s">
        <v>2712</v>
      </c>
      <c r="AW340" t="s">
        <v>92</v>
      </c>
      <c r="AX340" t="s">
        <v>2713</v>
      </c>
      <c r="AY340" t="s">
        <v>94</v>
      </c>
      <c r="AZ340" t="s">
        <v>85</v>
      </c>
      <c r="BA340" t="s">
        <v>4291</v>
      </c>
      <c r="BB340" t="s">
        <v>4282</v>
      </c>
      <c r="BC340" t="s">
        <v>4284</v>
      </c>
      <c r="BD340" t="s">
        <v>2773</v>
      </c>
      <c r="BE340" t="s">
        <v>2774</v>
      </c>
      <c r="BF340" t="b">
        <f t="shared" si="5"/>
        <v>1</v>
      </c>
      <c r="BG340" t="b">
        <v>1</v>
      </c>
      <c r="BH340">
        <v>2006</v>
      </c>
      <c r="BI340" t="b">
        <v>1</v>
      </c>
      <c r="BJ340" t="s">
        <v>2715</v>
      </c>
      <c r="BK340" t="s">
        <v>2779</v>
      </c>
      <c r="BL340" t="b">
        <v>1</v>
      </c>
      <c r="BM340" t="b">
        <v>1</v>
      </c>
      <c r="BN340" t="b">
        <v>1</v>
      </c>
      <c r="BO340" t="s">
        <v>4292</v>
      </c>
      <c r="BP340" t="b">
        <f>IF(IFERROR(VLOOKUP(A340,[1]Planilha1!$A:$A,1,0),FALSE)=FALSE,FALSE,TRUE)</f>
        <v>1</v>
      </c>
    </row>
    <row r="341" spans="1:68" x14ac:dyDescent="0.25">
      <c r="A341" t="s">
        <v>4293</v>
      </c>
      <c r="B341" t="s">
        <v>68</v>
      </c>
      <c r="D341" s="1">
        <v>46204</v>
      </c>
      <c r="E341" s="1">
        <v>47664</v>
      </c>
      <c r="F341" t="s">
        <v>4294</v>
      </c>
      <c r="G341" t="s">
        <v>4295</v>
      </c>
      <c r="H341" s="2" t="s">
        <v>4296</v>
      </c>
      <c r="I341" t="s">
        <v>4295</v>
      </c>
      <c r="K341" t="s">
        <v>4297</v>
      </c>
      <c r="L341">
        <v>5116851</v>
      </c>
      <c r="M341" t="s">
        <v>4298</v>
      </c>
      <c r="N341" t="s">
        <v>359</v>
      </c>
      <c r="O341" t="s">
        <v>360</v>
      </c>
      <c r="P341" t="s">
        <v>129</v>
      </c>
      <c r="Q341" t="s">
        <v>1767</v>
      </c>
      <c r="R341" t="s">
        <v>2787</v>
      </c>
      <c r="S341" t="s">
        <v>2788</v>
      </c>
      <c r="T341" t="s">
        <v>111</v>
      </c>
      <c r="U341" t="s">
        <v>112</v>
      </c>
      <c r="V341" t="s">
        <v>82</v>
      </c>
      <c r="W341" t="s">
        <v>2787</v>
      </c>
      <c r="X341" t="s">
        <v>2788</v>
      </c>
      <c r="Y341" t="s">
        <v>111</v>
      </c>
      <c r="Z341" t="s">
        <v>112</v>
      </c>
      <c r="AA341" t="s">
        <v>82</v>
      </c>
      <c r="AB341" t="s">
        <v>83</v>
      </c>
      <c r="AC341" t="s">
        <v>185</v>
      </c>
      <c r="AD341" t="s">
        <v>85</v>
      </c>
      <c r="AE341" t="s">
        <v>4299</v>
      </c>
      <c r="AF341" t="s">
        <v>85</v>
      </c>
      <c r="AG341" t="s">
        <v>4300</v>
      </c>
      <c r="AH341">
        <v>5</v>
      </c>
      <c r="AI341">
        <v>1023360</v>
      </c>
      <c r="AJ341">
        <v>147818</v>
      </c>
      <c r="AK341">
        <v>0</v>
      </c>
      <c r="AL341">
        <v>1171178</v>
      </c>
      <c r="AM341" t="s">
        <v>2787</v>
      </c>
      <c r="AN341" t="s">
        <v>2788</v>
      </c>
      <c r="AO341" t="s">
        <v>111</v>
      </c>
      <c r="AP341" t="s">
        <v>112</v>
      </c>
      <c r="AQ341" t="s">
        <v>82</v>
      </c>
      <c r="AR341" t="s">
        <v>4301</v>
      </c>
      <c r="AS341" s="3">
        <v>46202.465223658182</v>
      </c>
      <c r="AT341" t="s">
        <v>89</v>
      </c>
      <c r="AU341" t="s">
        <v>90</v>
      </c>
      <c r="AV341" t="s">
        <v>2712</v>
      </c>
      <c r="AW341" t="s">
        <v>92</v>
      </c>
      <c r="AX341" t="s">
        <v>2713</v>
      </c>
      <c r="AY341" t="s">
        <v>94</v>
      </c>
      <c r="AZ341" t="s">
        <v>85</v>
      </c>
      <c r="BA341" t="s">
        <v>4302</v>
      </c>
      <c r="BB341" t="s">
        <v>4293</v>
      </c>
      <c r="BC341" t="s">
        <v>4295</v>
      </c>
      <c r="BD341" t="s">
        <v>2787</v>
      </c>
      <c r="BE341" t="s">
        <v>2788</v>
      </c>
      <c r="BF341" t="b">
        <f t="shared" si="5"/>
        <v>1</v>
      </c>
      <c r="BG341" t="b">
        <v>1</v>
      </c>
      <c r="BH341">
        <v>2004</v>
      </c>
      <c r="BI341" t="b">
        <v>1</v>
      </c>
      <c r="BJ341" t="s">
        <v>2715</v>
      </c>
      <c r="BK341" t="s">
        <v>2716</v>
      </c>
      <c r="BL341" t="b">
        <v>1</v>
      </c>
      <c r="BM341" t="b">
        <v>1</v>
      </c>
      <c r="BN341" t="b">
        <v>1</v>
      </c>
      <c r="BO341" t="s">
        <v>4303</v>
      </c>
      <c r="BP341" t="b">
        <f>IF(IFERROR(VLOOKUP(A341,[1]Planilha1!$A:$A,1,0),FALSE)=FALSE,FALSE,TRUE)</f>
        <v>1</v>
      </c>
    </row>
    <row r="342" spans="1:68" x14ac:dyDescent="0.25">
      <c r="A342" t="s">
        <v>4304</v>
      </c>
      <c r="B342" t="s">
        <v>68</v>
      </c>
      <c r="D342" s="1">
        <v>46204</v>
      </c>
      <c r="E342" s="1">
        <v>47664</v>
      </c>
      <c r="F342" t="s">
        <v>4305</v>
      </c>
      <c r="G342" t="s">
        <v>4306</v>
      </c>
      <c r="H342" s="2" t="s">
        <v>4307</v>
      </c>
      <c r="I342" t="s">
        <v>4306</v>
      </c>
      <c r="K342" t="s">
        <v>4308</v>
      </c>
      <c r="L342">
        <v>5116737</v>
      </c>
      <c r="M342" t="s">
        <v>4309</v>
      </c>
      <c r="N342" t="s">
        <v>179</v>
      </c>
      <c r="O342" t="s">
        <v>180</v>
      </c>
      <c r="P342" t="s">
        <v>129</v>
      </c>
      <c r="Q342" t="s">
        <v>4310</v>
      </c>
      <c r="R342" t="s">
        <v>1133</v>
      </c>
      <c r="S342" t="s">
        <v>1134</v>
      </c>
      <c r="T342" t="s">
        <v>184</v>
      </c>
      <c r="U342" t="s">
        <v>112</v>
      </c>
      <c r="V342" t="s">
        <v>82</v>
      </c>
      <c r="W342" t="s">
        <v>1133</v>
      </c>
      <c r="X342" t="s">
        <v>1134</v>
      </c>
      <c r="Y342" t="s">
        <v>184</v>
      </c>
      <c r="Z342" t="s">
        <v>112</v>
      </c>
      <c r="AA342" t="s">
        <v>82</v>
      </c>
      <c r="AB342" t="s">
        <v>83</v>
      </c>
      <c r="AC342" t="s">
        <v>185</v>
      </c>
      <c r="AD342" t="s">
        <v>149</v>
      </c>
      <c r="AE342" t="s">
        <v>4311</v>
      </c>
      <c r="AF342" t="s">
        <v>85</v>
      </c>
      <c r="AG342" t="s">
        <v>4312</v>
      </c>
      <c r="AH342">
        <v>11</v>
      </c>
      <c r="AI342">
        <v>1349270</v>
      </c>
      <c r="AJ342">
        <v>148000</v>
      </c>
      <c r="AK342">
        <v>0</v>
      </c>
      <c r="AL342">
        <v>1497270</v>
      </c>
      <c r="AM342" t="s">
        <v>1133</v>
      </c>
      <c r="AN342" t="s">
        <v>1134</v>
      </c>
      <c r="AO342" t="s">
        <v>184</v>
      </c>
      <c r="AP342" t="s">
        <v>112</v>
      </c>
      <c r="AQ342" t="s">
        <v>82</v>
      </c>
      <c r="AR342" t="s">
        <v>4313</v>
      </c>
      <c r="AS342" s="3">
        <v>46202.465223658182</v>
      </c>
      <c r="AT342" t="s">
        <v>89</v>
      </c>
      <c r="AU342" t="s">
        <v>90</v>
      </c>
      <c r="AV342" t="s">
        <v>2712</v>
      </c>
      <c r="AW342" t="s">
        <v>92</v>
      </c>
      <c r="AX342" t="s">
        <v>2713</v>
      </c>
      <c r="AY342" t="s">
        <v>94</v>
      </c>
      <c r="AZ342" t="s">
        <v>85</v>
      </c>
      <c r="BA342" t="s">
        <v>4314</v>
      </c>
      <c r="BB342" t="s">
        <v>4304</v>
      </c>
      <c r="BC342" t="s">
        <v>4306</v>
      </c>
      <c r="BD342" t="s">
        <v>1133</v>
      </c>
      <c r="BE342" t="s">
        <v>1134</v>
      </c>
      <c r="BF342" t="b">
        <f t="shared" si="5"/>
        <v>1</v>
      </c>
      <c r="BG342" t="b">
        <v>1</v>
      </c>
      <c r="BH342">
        <v>2017</v>
      </c>
      <c r="BI342" t="b">
        <v>1</v>
      </c>
      <c r="BJ342" t="s">
        <v>2715</v>
      </c>
      <c r="BK342" t="s">
        <v>1140</v>
      </c>
      <c r="BL342" t="b">
        <v>1</v>
      </c>
      <c r="BM342" t="b">
        <v>1</v>
      </c>
      <c r="BN342" t="b">
        <v>1</v>
      </c>
      <c r="BO342" t="s">
        <v>4315</v>
      </c>
      <c r="BP342" t="b">
        <f>IF(IFERROR(VLOOKUP(A342,[1]Planilha1!$A:$A,1,0),FALSE)=FALSE,FALSE,TRUE)</f>
        <v>1</v>
      </c>
    </row>
    <row r="343" spans="1:68" x14ac:dyDescent="0.25">
      <c r="A343" t="s">
        <v>4316</v>
      </c>
      <c r="B343" t="s">
        <v>68</v>
      </c>
      <c r="D343" s="1">
        <v>46204</v>
      </c>
      <c r="E343" s="1">
        <v>47664</v>
      </c>
      <c r="F343" t="s">
        <v>4317</v>
      </c>
      <c r="G343" t="s">
        <v>4318</v>
      </c>
      <c r="H343" s="2" t="s">
        <v>4319</v>
      </c>
      <c r="I343" t="s">
        <v>4318</v>
      </c>
      <c r="K343" t="s">
        <v>4320</v>
      </c>
      <c r="L343">
        <v>5116867</v>
      </c>
      <c r="M343" t="s">
        <v>4321</v>
      </c>
      <c r="N343" t="s">
        <v>179</v>
      </c>
      <c r="O343" t="s">
        <v>180</v>
      </c>
      <c r="P343" t="s">
        <v>129</v>
      </c>
      <c r="Q343" t="s">
        <v>1564</v>
      </c>
      <c r="R343" t="s">
        <v>1133</v>
      </c>
      <c r="S343" t="s">
        <v>1134</v>
      </c>
      <c r="T343" t="s">
        <v>184</v>
      </c>
      <c r="U343" t="s">
        <v>112</v>
      </c>
      <c r="V343" t="s">
        <v>82</v>
      </c>
      <c r="W343" t="s">
        <v>1133</v>
      </c>
      <c r="X343" t="s">
        <v>1134</v>
      </c>
      <c r="Y343" t="s">
        <v>184</v>
      </c>
      <c r="Z343" t="s">
        <v>112</v>
      </c>
      <c r="AA343" t="s">
        <v>82</v>
      </c>
      <c r="AB343" t="s">
        <v>83</v>
      </c>
      <c r="AC343" t="s">
        <v>185</v>
      </c>
      <c r="AD343" t="s">
        <v>85</v>
      </c>
      <c r="AE343" t="s">
        <v>4322</v>
      </c>
      <c r="AF343" t="s">
        <v>85</v>
      </c>
      <c r="AG343" t="s">
        <v>4323</v>
      </c>
      <c r="AH343">
        <v>5</v>
      </c>
      <c r="AI343">
        <v>570180</v>
      </c>
      <c r="AJ343">
        <v>63318.67</v>
      </c>
      <c r="AK343">
        <v>0</v>
      </c>
      <c r="AL343">
        <v>633498.67000000004</v>
      </c>
      <c r="AM343" t="s">
        <v>1133</v>
      </c>
      <c r="AN343" t="s">
        <v>1134</v>
      </c>
      <c r="AO343" t="s">
        <v>184</v>
      </c>
      <c r="AP343" t="s">
        <v>112</v>
      </c>
      <c r="AQ343" t="s">
        <v>82</v>
      </c>
      <c r="AR343" t="s">
        <v>4324</v>
      </c>
      <c r="AS343" s="3">
        <v>46202.465223658182</v>
      </c>
      <c r="AT343" t="s">
        <v>89</v>
      </c>
      <c r="AU343" t="s">
        <v>90</v>
      </c>
      <c r="AV343" t="s">
        <v>2712</v>
      </c>
      <c r="AW343" t="s">
        <v>92</v>
      </c>
      <c r="AX343" t="s">
        <v>2713</v>
      </c>
      <c r="AY343" t="s">
        <v>94</v>
      </c>
      <c r="AZ343" t="s">
        <v>85</v>
      </c>
      <c r="BA343" t="s">
        <v>4325</v>
      </c>
      <c r="BB343" t="s">
        <v>4316</v>
      </c>
      <c r="BC343" t="s">
        <v>4318</v>
      </c>
      <c r="BD343" t="s">
        <v>1133</v>
      </c>
      <c r="BE343" t="s">
        <v>1134</v>
      </c>
      <c r="BF343" t="b">
        <f t="shared" si="5"/>
        <v>1</v>
      </c>
      <c r="BG343" t="b">
        <v>1</v>
      </c>
      <c r="BH343">
        <v>2010</v>
      </c>
      <c r="BI343" t="b">
        <v>1</v>
      </c>
      <c r="BJ343" t="s">
        <v>2715</v>
      </c>
      <c r="BK343" t="s">
        <v>1140</v>
      </c>
      <c r="BL343" t="b">
        <v>1</v>
      </c>
      <c r="BM343" t="b">
        <v>1</v>
      </c>
      <c r="BN343" t="b">
        <v>1</v>
      </c>
      <c r="BO343" t="s">
        <v>4326</v>
      </c>
      <c r="BP343" t="b">
        <f>IF(IFERROR(VLOOKUP(A343,[1]Planilha1!$A:$A,1,0),FALSE)=FALSE,FALSE,TRUE)</f>
        <v>1</v>
      </c>
    </row>
    <row r="344" spans="1:68" x14ac:dyDescent="0.25">
      <c r="A344" t="s">
        <v>4327</v>
      </c>
      <c r="B344" t="s">
        <v>68</v>
      </c>
      <c r="D344" s="1">
        <v>46204</v>
      </c>
      <c r="E344" s="1">
        <v>47664</v>
      </c>
      <c r="F344" t="s">
        <v>4328</v>
      </c>
      <c r="G344" t="s">
        <v>4329</v>
      </c>
      <c r="H344" s="2" t="s">
        <v>4330</v>
      </c>
      <c r="I344" t="s">
        <v>4329</v>
      </c>
      <c r="K344" t="s">
        <v>4331</v>
      </c>
      <c r="L344">
        <v>5116448</v>
      </c>
      <c r="M344" t="s">
        <v>4332</v>
      </c>
      <c r="N344" t="s">
        <v>1576</v>
      </c>
      <c r="O344" t="s">
        <v>1577</v>
      </c>
      <c r="P344" t="s">
        <v>439</v>
      </c>
      <c r="Q344" t="s">
        <v>1578</v>
      </c>
      <c r="R344" t="s">
        <v>2972</v>
      </c>
      <c r="S344" t="s">
        <v>2973</v>
      </c>
      <c r="T344" t="s">
        <v>300</v>
      </c>
      <c r="U344" t="s">
        <v>301</v>
      </c>
      <c r="V344" t="s">
        <v>82</v>
      </c>
      <c r="W344" t="s">
        <v>2972</v>
      </c>
      <c r="X344" t="s">
        <v>2973</v>
      </c>
      <c r="Y344" t="s">
        <v>300</v>
      </c>
      <c r="Z344" t="s">
        <v>301</v>
      </c>
      <c r="AA344" t="s">
        <v>82</v>
      </c>
      <c r="AB344" t="s">
        <v>83</v>
      </c>
      <c r="AC344" t="s">
        <v>1135</v>
      </c>
      <c r="AD344" t="s">
        <v>252</v>
      </c>
      <c r="AE344" t="s">
        <v>4333</v>
      </c>
      <c r="AF344" t="s">
        <v>252</v>
      </c>
      <c r="AG344" t="s">
        <v>4334</v>
      </c>
      <c r="AH344">
        <v>16</v>
      </c>
      <c r="AI344">
        <v>1264000</v>
      </c>
      <c r="AJ344">
        <v>124250</v>
      </c>
      <c r="AK344">
        <v>0</v>
      </c>
      <c r="AL344">
        <v>1388250</v>
      </c>
      <c r="AM344" t="s">
        <v>2972</v>
      </c>
      <c r="AN344" t="s">
        <v>2973</v>
      </c>
      <c r="AO344" t="s">
        <v>300</v>
      </c>
      <c r="AP344" t="s">
        <v>301</v>
      </c>
      <c r="AQ344" t="s">
        <v>82</v>
      </c>
      <c r="AR344" t="s">
        <v>4335</v>
      </c>
      <c r="AS344" s="3">
        <v>46202.465223658182</v>
      </c>
      <c r="AT344" t="s">
        <v>89</v>
      </c>
      <c r="AU344" t="s">
        <v>90</v>
      </c>
      <c r="AV344" t="s">
        <v>2712</v>
      </c>
      <c r="AW344" t="s">
        <v>92</v>
      </c>
      <c r="AX344" t="s">
        <v>2713</v>
      </c>
      <c r="AY344" t="s">
        <v>94</v>
      </c>
      <c r="AZ344" t="s">
        <v>85</v>
      </c>
      <c r="BA344" t="s">
        <v>4336</v>
      </c>
      <c r="BB344" t="s">
        <v>4327</v>
      </c>
      <c r="BC344" t="s">
        <v>4329</v>
      </c>
      <c r="BD344" t="s">
        <v>2972</v>
      </c>
      <c r="BE344" t="s">
        <v>2973</v>
      </c>
      <c r="BF344" t="b">
        <f t="shared" si="5"/>
        <v>1</v>
      </c>
      <c r="BG344" t="b">
        <v>1</v>
      </c>
      <c r="BH344">
        <v>2012</v>
      </c>
      <c r="BI344" t="b">
        <v>1</v>
      </c>
      <c r="BJ344" t="s">
        <v>2715</v>
      </c>
      <c r="BK344" t="s">
        <v>2978</v>
      </c>
      <c r="BL344" t="b">
        <v>1</v>
      </c>
      <c r="BM344" t="b">
        <v>1</v>
      </c>
      <c r="BN344" t="b">
        <v>1</v>
      </c>
      <c r="BO344" t="s">
        <v>4337</v>
      </c>
      <c r="BP344" t="b">
        <f>IF(IFERROR(VLOOKUP(A344,[1]Planilha1!$A:$A,1,0),FALSE)=FALSE,FALSE,TRUE)</f>
        <v>1</v>
      </c>
    </row>
    <row r="345" spans="1:68" x14ac:dyDescent="0.25">
      <c r="A345" t="s">
        <v>4338</v>
      </c>
      <c r="B345" t="s">
        <v>68</v>
      </c>
      <c r="D345" s="1">
        <v>46204</v>
      </c>
      <c r="E345" s="1">
        <v>47664</v>
      </c>
      <c r="F345" t="s">
        <v>4339</v>
      </c>
      <c r="G345" t="s">
        <v>4340</v>
      </c>
      <c r="H345" s="2" t="s">
        <v>4341</v>
      </c>
      <c r="I345" t="s">
        <v>4340</v>
      </c>
      <c r="K345" t="s">
        <v>4342</v>
      </c>
      <c r="L345">
        <v>5116842</v>
      </c>
      <c r="M345" t="s">
        <v>4343</v>
      </c>
      <c r="N345" t="s">
        <v>2109</v>
      </c>
      <c r="O345" t="s">
        <v>2018</v>
      </c>
      <c r="P345" t="s">
        <v>230</v>
      </c>
      <c r="Q345" t="s">
        <v>4067</v>
      </c>
      <c r="R345" t="s">
        <v>2972</v>
      </c>
      <c r="S345" t="s">
        <v>2973</v>
      </c>
      <c r="T345" t="s">
        <v>300</v>
      </c>
      <c r="U345" t="s">
        <v>301</v>
      </c>
      <c r="V345" t="s">
        <v>82</v>
      </c>
      <c r="W345" t="s">
        <v>2972</v>
      </c>
      <c r="X345" t="s">
        <v>2973</v>
      </c>
      <c r="Y345" t="s">
        <v>300</v>
      </c>
      <c r="Z345" t="s">
        <v>301</v>
      </c>
      <c r="AA345" t="s">
        <v>82</v>
      </c>
      <c r="AB345" t="s">
        <v>83</v>
      </c>
      <c r="AC345" t="s">
        <v>1013</v>
      </c>
      <c r="AD345" t="s">
        <v>85</v>
      </c>
      <c r="AE345" t="s">
        <v>4344</v>
      </c>
      <c r="AF345" t="s">
        <v>85</v>
      </c>
      <c r="AG345" t="s">
        <v>4345</v>
      </c>
      <c r="AH345">
        <v>6</v>
      </c>
      <c r="AI345">
        <v>1040000</v>
      </c>
      <c r="AJ345">
        <v>148000</v>
      </c>
      <c r="AK345">
        <v>0</v>
      </c>
      <c r="AL345">
        <v>1188000</v>
      </c>
      <c r="AR345" t="s">
        <v>4346</v>
      </c>
      <c r="AS345" s="3">
        <v>46202.465223658182</v>
      </c>
      <c r="AT345" t="s">
        <v>89</v>
      </c>
      <c r="AU345" t="s">
        <v>90</v>
      </c>
      <c r="AV345" t="s">
        <v>2712</v>
      </c>
      <c r="AW345" t="s">
        <v>92</v>
      </c>
      <c r="AX345" t="s">
        <v>2713</v>
      </c>
      <c r="AY345" t="s">
        <v>94</v>
      </c>
      <c r="AZ345" t="s">
        <v>85</v>
      </c>
      <c r="BA345" t="s">
        <v>4347</v>
      </c>
      <c r="BB345" t="s">
        <v>4338</v>
      </c>
      <c r="BC345" t="s">
        <v>4340</v>
      </c>
      <c r="BD345" t="s">
        <v>2972</v>
      </c>
      <c r="BE345" t="s">
        <v>2973</v>
      </c>
      <c r="BF345" t="b">
        <f t="shared" si="5"/>
        <v>0</v>
      </c>
      <c r="BG345" t="b">
        <v>1</v>
      </c>
      <c r="BH345">
        <v>1997</v>
      </c>
      <c r="BI345" t="b">
        <v>0</v>
      </c>
      <c r="BJ345" t="s">
        <v>2715</v>
      </c>
      <c r="BK345" t="s">
        <v>2978</v>
      </c>
      <c r="BL345" t="b">
        <v>1</v>
      </c>
      <c r="BM345" t="b">
        <v>1</v>
      </c>
      <c r="BN345" t="b">
        <v>0</v>
      </c>
      <c r="BO345" t="s">
        <v>4348</v>
      </c>
      <c r="BP345" t="b">
        <f>IF(IFERROR(VLOOKUP(A345,[1]Planilha1!$A:$A,1,0),FALSE)=FALSE,FALSE,TRUE)</f>
        <v>0</v>
      </c>
    </row>
    <row r="346" spans="1:68" x14ac:dyDescent="0.25">
      <c r="A346" t="s">
        <v>4349</v>
      </c>
      <c r="B346" t="s">
        <v>68</v>
      </c>
      <c r="D346" s="1">
        <v>46204</v>
      </c>
      <c r="E346" s="1">
        <v>47664</v>
      </c>
      <c r="F346" t="s">
        <v>4350</v>
      </c>
      <c r="G346" t="s">
        <v>4351</v>
      </c>
      <c r="H346" s="2" t="s">
        <v>4352</v>
      </c>
      <c r="I346" t="s">
        <v>4351</v>
      </c>
      <c r="K346" t="s">
        <v>4353</v>
      </c>
      <c r="L346">
        <v>5116619</v>
      </c>
      <c r="M346" t="s">
        <v>4354</v>
      </c>
      <c r="N346" t="s">
        <v>328</v>
      </c>
      <c r="O346" t="s">
        <v>329</v>
      </c>
      <c r="P346" t="s">
        <v>107</v>
      </c>
      <c r="Q346" t="s">
        <v>4355</v>
      </c>
      <c r="R346" t="s">
        <v>2787</v>
      </c>
      <c r="S346" t="s">
        <v>2788</v>
      </c>
      <c r="T346" t="s">
        <v>111</v>
      </c>
      <c r="U346" t="s">
        <v>112</v>
      </c>
      <c r="V346" t="s">
        <v>82</v>
      </c>
      <c r="W346" t="s">
        <v>2787</v>
      </c>
      <c r="X346" t="s">
        <v>2788</v>
      </c>
      <c r="Y346" t="s">
        <v>111</v>
      </c>
      <c r="Z346" t="s">
        <v>112</v>
      </c>
      <c r="AA346" t="s">
        <v>82</v>
      </c>
      <c r="AB346" t="s">
        <v>83</v>
      </c>
      <c r="AC346" t="s">
        <v>333</v>
      </c>
      <c r="AD346" t="s">
        <v>149</v>
      </c>
      <c r="AE346" t="s">
        <v>4356</v>
      </c>
      <c r="AF346" t="s">
        <v>85</v>
      </c>
      <c r="AG346" t="s">
        <v>4357</v>
      </c>
      <c r="AH346">
        <v>6</v>
      </c>
      <c r="AI346">
        <v>1267500</v>
      </c>
      <c r="AJ346">
        <v>180770</v>
      </c>
      <c r="AK346">
        <v>0</v>
      </c>
      <c r="AL346">
        <v>1448270</v>
      </c>
      <c r="AM346" t="s">
        <v>2787</v>
      </c>
      <c r="AN346" t="s">
        <v>2788</v>
      </c>
      <c r="AO346" t="s">
        <v>111</v>
      </c>
      <c r="AP346" t="s">
        <v>112</v>
      </c>
      <c r="AQ346" t="s">
        <v>82</v>
      </c>
      <c r="AR346" t="s">
        <v>4358</v>
      </c>
      <c r="AS346" s="3">
        <v>46202.465223658182</v>
      </c>
      <c r="AT346" t="s">
        <v>89</v>
      </c>
      <c r="AU346" t="s">
        <v>90</v>
      </c>
      <c r="AV346" t="s">
        <v>2712</v>
      </c>
      <c r="AW346" t="s">
        <v>92</v>
      </c>
      <c r="AX346" t="s">
        <v>2713</v>
      </c>
      <c r="AY346" t="s">
        <v>94</v>
      </c>
      <c r="AZ346" t="s">
        <v>85</v>
      </c>
      <c r="BA346" t="s">
        <v>4359</v>
      </c>
      <c r="BB346" t="s">
        <v>4349</v>
      </c>
      <c r="BC346" t="s">
        <v>4351</v>
      </c>
      <c r="BD346" t="s">
        <v>2787</v>
      </c>
      <c r="BE346" t="s">
        <v>2788</v>
      </c>
      <c r="BF346" t="b">
        <f t="shared" si="5"/>
        <v>1</v>
      </c>
      <c r="BG346" t="b">
        <v>1</v>
      </c>
      <c r="BH346">
        <v>1983</v>
      </c>
      <c r="BI346" t="b">
        <v>1</v>
      </c>
      <c r="BJ346" t="s">
        <v>2715</v>
      </c>
      <c r="BK346" t="s">
        <v>2716</v>
      </c>
      <c r="BL346" t="b">
        <v>1</v>
      </c>
      <c r="BM346" t="b">
        <v>1</v>
      </c>
      <c r="BN346" t="b">
        <v>1</v>
      </c>
      <c r="BO346" t="s">
        <v>4360</v>
      </c>
      <c r="BP346" t="b">
        <f>IF(IFERROR(VLOOKUP(A346,[1]Planilha1!$A:$A,1,0),FALSE)=FALSE,FALSE,TRUE)</f>
        <v>1</v>
      </c>
    </row>
    <row r="347" spans="1:68" x14ac:dyDescent="0.25">
      <c r="A347" t="s">
        <v>4361</v>
      </c>
      <c r="B347" t="s">
        <v>68</v>
      </c>
      <c r="D347" s="1">
        <v>46204</v>
      </c>
      <c r="E347" s="1">
        <v>47664</v>
      </c>
      <c r="F347" t="s">
        <v>4362</v>
      </c>
      <c r="G347" t="s">
        <v>4363</v>
      </c>
      <c r="H347" s="2" t="s">
        <v>4364</v>
      </c>
      <c r="I347" t="s">
        <v>4363</v>
      </c>
      <c r="K347" t="s">
        <v>4365</v>
      </c>
      <c r="L347">
        <v>5116616</v>
      </c>
      <c r="M347" t="s">
        <v>4366</v>
      </c>
      <c r="N347" t="s">
        <v>295</v>
      </c>
      <c r="O347" t="s">
        <v>296</v>
      </c>
      <c r="P347" t="s">
        <v>129</v>
      </c>
      <c r="Q347" t="s">
        <v>471</v>
      </c>
      <c r="R347" t="s">
        <v>2725</v>
      </c>
      <c r="S347" t="s">
        <v>2726</v>
      </c>
      <c r="T347" t="s">
        <v>184</v>
      </c>
      <c r="U347" t="s">
        <v>112</v>
      </c>
      <c r="V347" t="s">
        <v>82</v>
      </c>
      <c r="W347" t="s">
        <v>2725</v>
      </c>
      <c r="X347" t="s">
        <v>2726</v>
      </c>
      <c r="Y347" t="s">
        <v>184</v>
      </c>
      <c r="Z347" t="s">
        <v>112</v>
      </c>
      <c r="AA347" t="s">
        <v>82</v>
      </c>
      <c r="AB347" t="s">
        <v>83</v>
      </c>
      <c r="AC347" t="s">
        <v>135</v>
      </c>
      <c r="AD347" t="s">
        <v>149</v>
      </c>
      <c r="AE347" t="s">
        <v>4367</v>
      </c>
      <c r="AF347" t="s">
        <v>85</v>
      </c>
      <c r="AG347" t="s">
        <v>4368</v>
      </c>
      <c r="AH347">
        <v>9</v>
      </c>
      <c r="AI347">
        <v>1385300</v>
      </c>
      <c r="AJ347">
        <v>114700</v>
      </c>
      <c r="AK347">
        <v>0</v>
      </c>
      <c r="AL347">
        <v>1500000</v>
      </c>
      <c r="AM347" t="s">
        <v>2725</v>
      </c>
      <c r="AN347" t="s">
        <v>2726</v>
      </c>
      <c r="AO347" t="s">
        <v>184</v>
      </c>
      <c r="AP347" t="s">
        <v>112</v>
      </c>
      <c r="AQ347" t="s">
        <v>82</v>
      </c>
      <c r="AR347" t="s">
        <v>4369</v>
      </c>
      <c r="AS347" s="3">
        <v>46202.465223658182</v>
      </c>
      <c r="AT347" t="s">
        <v>89</v>
      </c>
      <c r="AU347" t="s">
        <v>90</v>
      </c>
      <c r="AV347" t="s">
        <v>2712</v>
      </c>
      <c r="AW347" t="s">
        <v>92</v>
      </c>
      <c r="AX347" t="s">
        <v>2713</v>
      </c>
      <c r="AY347" t="s">
        <v>94</v>
      </c>
      <c r="AZ347" t="s">
        <v>85</v>
      </c>
      <c r="BA347" t="s">
        <v>4370</v>
      </c>
      <c r="BB347" t="s">
        <v>4361</v>
      </c>
      <c r="BC347" t="s">
        <v>4363</v>
      </c>
      <c r="BD347" t="s">
        <v>2725</v>
      </c>
      <c r="BE347" t="s">
        <v>2726</v>
      </c>
      <c r="BF347" t="b">
        <f t="shared" si="5"/>
        <v>1</v>
      </c>
      <c r="BG347" t="b">
        <v>1</v>
      </c>
      <c r="BH347">
        <v>1988</v>
      </c>
      <c r="BI347" t="b">
        <v>1</v>
      </c>
      <c r="BJ347" t="s">
        <v>2715</v>
      </c>
      <c r="BK347" t="s">
        <v>2731</v>
      </c>
      <c r="BL347" t="b">
        <v>1</v>
      </c>
      <c r="BM347" t="b">
        <v>1</v>
      </c>
      <c r="BN347" t="b">
        <v>1</v>
      </c>
      <c r="BO347" t="s">
        <v>4371</v>
      </c>
      <c r="BP347" t="b">
        <f>IF(IFERROR(VLOOKUP(A347,[1]Planilha1!$A:$A,1,0),FALSE)=FALSE,FALSE,TRUE)</f>
        <v>1</v>
      </c>
    </row>
    <row r="348" spans="1:68" x14ac:dyDescent="0.25">
      <c r="A348" t="s">
        <v>4372</v>
      </c>
      <c r="B348" t="s">
        <v>68</v>
      </c>
      <c r="D348" s="1">
        <v>46204</v>
      </c>
      <c r="E348" s="1">
        <v>47664</v>
      </c>
      <c r="F348" t="s">
        <v>4373</v>
      </c>
      <c r="G348" t="s">
        <v>4374</v>
      </c>
      <c r="H348" s="2" t="s">
        <v>4375</v>
      </c>
      <c r="I348" t="s">
        <v>4374</v>
      </c>
      <c r="K348" t="s">
        <v>4376</v>
      </c>
      <c r="L348">
        <v>5116887</v>
      </c>
      <c r="M348" t="s">
        <v>4377</v>
      </c>
      <c r="N348" t="s">
        <v>2109</v>
      </c>
      <c r="O348" t="s">
        <v>2018</v>
      </c>
      <c r="P348" t="s">
        <v>230</v>
      </c>
      <c r="Q348" t="s">
        <v>3570</v>
      </c>
      <c r="R348" t="s">
        <v>2972</v>
      </c>
      <c r="S348" t="s">
        <v>2973</v>
      </c>
      <c r="T348" t="s">
        <v>300</v>
      </c>
      <c r="U348" t="s">
        <v>301</v>
      </c>
      <c r="V348" t="s">
        <v>82</v>
      </c>
      <c r="W348" t="s">
        <v>2972</v>
      </c>
      <c r="X348" t="s">
        <v>2973</v>
      </c>
      <c r="Y348" t="s">
        <v>300</v>
      </c>
      <c r="Z348" t="s">
        <v>301</v>
      </c>
      <c r="AA348" t="s">
        <v>82</v>
      </c>
      <c r="AB348" t="s">
        <v>83</v>
      </c>
      <c r="AC348" t="s">
        <v>1013</v>
      </c>
      <c r="AD348" t="s">
        <v>85</v>
      </c>
      <c r="AE348" t="s">
        <v>4378</v>
      </c>
      <c r="AF348" t="s">
        <v>85</v>
      </c>
      <c r="AG348" t="s">
        <v>4379</v>
      </c>
      <c r="AH348">
        <v>16</v>
      </c>
      <c r="AI348">
        <v>1376280</v>
      </c>
      <c r="AJ348">
        <v>120000</v>
      </c>
      <c r="AK348">
        <v>0</v>
      </c>
      <c r="AL348">
        <v>1496280</v>
      </c>
      <c r="AM348" t="s">
        <v>1325</v>
      </c>
      <c r="AN348" t="s">
        <v>1326</v>
      </c>
      <c r="AO348" t="s">
        <v>111</v>
      </c>
      <c r="AP348" t="s">
        <v>112</v>
      </c>
      <c r="AQ348" t="s">
        <v>82</v>
      </c>
      <c r="AR348" t="s">
        <v>4380</v>
      </c>
      <c r="AS348" s="3">
        <v>46202.465223658182</v>
      </c>
      <c r="AT348" t="s">
        <v>89</v>
      </c>
      <c r="AU348" t="s">
        <v>90</v>
      </c>
      <c r="AV348" t="s">
        <v>2712</v>
      </c>
      <c r="AW348" t="s">
        <v>92</v>
      </c>
      <c r="AX348" t="s">
        <v>2713</v>
      </c>
      <c r="AY348" t="s">
        <v>94</v>
      </c>
      <c r="AZ348" t="s">
        <v>85</v>
      </c>
      <c r="BA348" t="s">
        <v>4381</v>
      </c>
      <c r="BB348" t="s">
        <v>4372</v>
      </c>
      <c r="BC348" t="s">
        <v>4374</v>
      </c>
      <c r="BD348" t="s">
        <v>2972</v>
      </c>
      <c r="BE348" t="s">
        <v>2973</v>
      </c>
      <c r="BF348" t="b">
        <f t="shared" si="5"/>
        <v>1</v>
      </c>
      <c r="BG348" t="b">
        <v>1</v>
      </c>
      <c r="BH348">
        <v>2001</v>
      </c>
      <c r="BI348" t="b">
        <v>1</v>
      </c>
      <c r="BJ348" t="s">
        <v>2715</v>
      </c>
      <c r="BK348" t="s">
        <v>2978</v>
      </c>
      <c r="BL348" t="b">
        <v>1</v>
      </c>
      <c r="BM348" t="b">
        <v>1</v>
      </c>
      <c r="BN348" t="b">
        <v>1</v>
      </c>
      <c r="BO348" t="s">
        <v>4382</v>
      </c>
      <c r="BP348" t="b">
        <f>IF(IFERROR(VLOOKUP(A348,[1]Planilha1!$A:$A,1,0),FALSE)=FALSE,FALSE,TRUE)</f>
        <v>1</v>
      </c>
    </row>
    <row r="349" spans="1:68" x14ac:dyDescent="0.25">
      <c r="A349" t="s">
        <v>4383</v>
      </c>
      <c r="B349" t="s">
        <v>68</v>
      </c>
      <c r="D349" s="1">
        <v>46204</v>
      </c>
      <c r="E349" s="1">
        <v>47664</v>
      </c>
      <c r="F349" t="s">
        <v>4384</v>
      </c>
      <c r="G349" t="s">
        <v>4385</v>
      </c>
      <c r="H349" s="2" t="s">
        <v>4386</v>
      </c>
      <c r="I349" t="s">
        <v>4385</v>
      </c>
      <c r="K349" t="s">
        <v>4387</v>
      </c>
      <c r="L349">
        <v>5116709</v>
      </c>
      <c r="M349" t="s">
        <v>4388</v>
      </c>
      <c r="N349" t="s">
        <v>179</v>
      </c>
      <c r="O349" t="s">
        <v>180</v>
      </c>
      <c r="P349" t="s">
        <v>129</v>
      </c>
      <c r="Q349" t="s">
        <v>3185</v>
      </c>
      <c r="R349" t="s">
        <v>1133</v>
      </c>
      <c r="S349" t="s">
        <v>1134</v>
      </c>
      <c r="T349" t="s">
        <v>184</v>
      </c>
      <c r="U349" t="s">
        <v>112</v>
      </c>
      <c r="V349" t="s">
        <v>82</v>
      </c>
      <c r="W349" t="s">
        <v>1133</v>
      </c>
      <c r="X349" t="s">
        <v>1134</v>
      </c>
      <c r="Y349" t="s">
        <v>184</v>
      </c>
      <c r="Z349" t="s">
        <v>112</v>
      </c>
      <c r="AA349" t="s">
        <v>82</v>
      </c>
      <c r="AB349" t="s">
        <v>83</v>
      </c>
      <c r="AC349" t="s">
        <v>185</v>
      </c>
      <c r="AD349" t="s">
        <v>252</v>
      </c>
      <c r="AE349" t="s">
        <v>4389</v>
      </c>
      <c r="AF349" t="s">
        <v>85</v>
      </c>
      <c r="AG349" t="s">
        <v>4390</v>
      </c>
      <c r="AH349">
        <v>13</v>
      </c>
      <c r="AI349">
        <v>1250760</v>
      </c>
      <c r="AJ349">
        <v>120000</v>
      </c>
      <c r="AK349">
        <v>0</v>
      </c>
      <c r="AL349">
        <v>1370760</v>
      </c>
      <c r="AM349" t="s">
        <v>1133</v>
      </c>
      <c r="AN349" t="s">
        <v>1134</v>
      </c>
      <c r="AO349" t="s">
        <v>184</v>
      </c>
      <c r="AP349" t="s">
        <v>112</v>
      </c>
      <c r="AQ349" t="s">
        <v>82</v>
      </c>
      <c r="AR349" t="s">
        <v>4391</v>
      </c>
      <c r="AS349" s="3">
        <v>46202.465223658182</v>
      </c>
      <c r="AT349" t="s">
        <v>89</v>
      </c>
      <c r="AU349" t="s">
        <v>90</v>
      </c>
      <c r="AV349" t="s">
        <v>2712</v>
      </c>
      <c r="AW349" t="s">
        <v>92</v>
      </c>
      <c r="AX349" t="s">
        <v>2713</v>
      </c>
      <c r="AY349" t="s">
        <v>94</v>
      </c>
      <c r="AZ349" t="s">
        <v>85</v>
      </c>
      <c r="BA349" t="s">
        <v>4392</v>
      </c>
      <c r="BB349" t="s">
        <v>4383</v>
      </c>
      <c r="BC349" t="s">
        <v>4385</v>
      </c>
      <c r="BD349" t="s">
        <v>1133</v>
      </c>
      <c r="BE349" t="s">
        <v>1134</v>
      </c>
      <c r="BF349" t="b">
        <f t="shared" si="5"/>
        <v>1</v>
      </c>
      <c r="BG349" t="b">
        <v>1</v>
      </c>
      <c r="BH349">
        <v>2006</v>
      </c>
      <c r="BI349" t="b">
        <v>1</v>
      </c>
      <c r="BJ349" t="s">
        <v>2715</v>
      </c>
      <c r="BK349" t="s">
        <v>1140</v>
      </c>
      <c r="BL349" t="b">
        <v>1</v>
      </c>
      <c r="BM349" t="b">
        <v>1</v>
      </c>
      <c r="BN349" t="b">
        <v>1</v>
      </c>
      <c r="BO349" t="s">
        <v>4393</v>
      </c>
      <c r="BP349" t="b">
        <f>IF(IFERROR(VLOOKUP(A349,[1]Planilha1!$A:$A,1,0),FALSE)=FALSE,FALSE,TRUE)</f>
        <v>1</v>
      </c>
    </row>
    <row r="350" spans="1:68" x14ac:dyDescent="0.25">
      <c r="A350" t="s">
        <v>4394</v>
      </c>
      <c r="B350" t="s">
        <v>68</v>
      </c>
      <c r="D350" s="1">
        <v>46204</v>
      </c>
      <c r="E350" s="1">
        <v>47664</v>
      </c>
      <c r="F350" t="s">
        <v>4395</v>
      </c>
      <c r="G350" t="s">
        <v>4396</v>
      </c>
      <c r="H350" s="2" t="s">
        <v>4397</v>
      </c>
      <c r="I350" t="s">
        <v>4396</v>
      </c>
      <c r="K350" t="s">
        <v>4398</v>
      </c>
      <c r="L350">
        <v>5116538</v>
      </c>
      <c r="M350" t="s">
        <v>4399</v>
      </c>
      <c r="N350" t="s">
        <v>414</v>
      </c>
      <c r="O350" t="s">
        <v>180</v>
      </c>
      <c r="P350" t="s">
        <v>129</v>
      </c>
      <c r="Q350" t="s">
        <v>2403</v>
      </c>
      <c r="R350" t="s">
        <v>2725</v>
      </c>
      <c r="S350" t="s">
        <v>2726</v>
      </c>
      <c r="T350" t="s">
        <v>184</v>
      </c>
      <c r="U350" t="s">
        <v>112</v>
      </c>
      <c r="V350" t="s">
        <v>82</v>
      </c>
      <c r="W350" t="s">
        <v>2725</v>
      </c>
      <c r="X350" t="s">
        <v>2726</v>
      </c>
      <c r="Y350" t="s">
        <v>184</v>
      </c>
      <c r="Z350" t="s">
        <v>112</v>
      </c>
      <c r="AA350" t="s">
        <v>82</v>
      </c>
      <c r="AB350" t="s">
        <v>83</v>
      </c>
      <c r="AC350" t="s">
        <v>185</v>
      </c>
      <c r="AD350" t="s">
        <v>149</v>
      </c>
      <c r="AE350" t="s">
        <v>4400</v>
      </c>
      <c r="AF350" t="s">
        <v>85</v>
      </c>
      <c r="AG350" t="s">
        <v>4401</v>
      </c>
      <c r="AH350">
        <v>7</v>
      </c>
      <c r="AI350">
        <v>1167920</v>
      </c>
      <c r="AJ350">
        <v>110000</v>
      </c>
      <c r="AK350">
        <v>0</v>
      </c>
      <c r="AL350">
        <v>1277920</v>
      </c>
      <c r="AM350" t="s">
        <v>2725</v>
      </c>
      <c r="AN350" t="s">
        <v>2726</v>
      </c>
      <c r="AO350" t="s">
        <v>184</v>
      </c>
      <c r="AP350" t="s">
        <v>112</v>
      </c>
      <c r="AQ350" t="s">
        <v>82</v>
      </c>
      <c r="AR350" t="s">
        <v>4402</v>
      </c>
      <c r="AS350" s="3">
        <v>46202.465223658182</v>
      </c>
      <c r="AT350" t="s">
        <v>89</v>
      </c>
      <c r="AU350" t="s">
        <v>90</v>
      </c>
      <c r="AV350" t="s">
        <v>2712</v>
      </c>
      <c r="AW350" t="s">
        <v>92</v>
      </c>
      <c r="AX350" t="s">
        <v>2713</v>
      </c>
      <c r="AY350" t="s">
        <v>94</v>
      </c>
      <c r="AZ350" t="s">
        <v>85</v>
      </c>
      <c r="BA350" t="s">
        <v>4403</v>
      </c>
      <c r="BB350" t="s">
        <v>4394</v>
      </c>
      <c r="BC350" t="s">
        <v>4396</v>
      </c>
      <c r="BD350" t="s">
        <v>2725</v>
      </c>
      <c r="BE350" t="s">
        <v>2726</v>
      </c>
      <c r="BF350" t="b">
        <f t="shared" si="5"/>
        <v>1</v>
      </c>
      <c r="BG350" t="b">
        <v>1</v>
      </c>
      <c r="BH350">
        <v>2002</v>
      </c>
      <c r="BI350" t="b">
        <v>1</v>
      </c>
      <c r="BJ350" t="s">
        <v>2715</v>
      </c>
      <c r="BK350" t="s">
        <v>2731</v>
      </c>
      <c r="BL350" t="b">
        <v>1</v>
      </c>
      <c r="BM350" t="b">
        <v>1</v>
      </c>
      <c r="BN350" t="b">
        <v>1</v>
      </c>
      <c r="BO350" t="s">
        <v>4404</v>
      </c>
      <c r="BP350" t="b">
        <f>IF(IFERROR(VLOOKUP(A350,[1]Planilha1!$A:$A,1,0),FALSE)=FALSE,FALSE,TRUE)</f>
        <v>1</v>
      </c>
    </row>
    <row r="351" spans="1:68" x14ac:dyDescent="0.25">
      <c r="A351" t="s">
        <v>4405</v>
      </c>
      <c r="B351" t="s">
        <v>68</v>
      </c>
      <c r="D351" s="1">
        <v>46204</v>
      </c>
      <c r="E351" s="1">
        <v>47664</v>
      </c>
      <c r="F351" t="s">
        <v>4395</v>
      </c>
      <c r="G351" t="s">
        <v>4396</v>
      </c>
      <c r="H351" s="2" t="s">
        <v>4397</v>
      </c>
      <c r="I351" t="s">
        <v>4396</v>
      </c>
      <c r="K351" t="s">
        <v>4406</v>
      </c>
      <c r="L351">
        <v>5116570</v>
      </c>
      <c r="M351" t="s">
        <v>4399</v>
      </c>
      <c r="N351" t="s">
        <v>414</v>
      </c>
      <c r="O351" t="s">
        <v>180</v>
      </c>
      <c r="P351" t="s">
        <v>129</v>
      </c>
      <c r="Q351" t="s">
        <v>2403</v>
      </c>
      <c r="R351" t="s">
        <v>2725</v>
      </c>
      <c r="S351" t="s">
        <v>2726</v>
      </c>
      <c r="T351" t="s">
        <v>184</v>
      </c>
      <c r="U351" t="s">
        <v>112</v>
      </c>
      <c r="V351" t="s">
        <v>82</v>
      </c>
      <c r="W351" t="s">
        <v>2725</v>
      </c>
      <c r="X351" t="s">
        <v>2726</v>
      </c>
      <c r="Y351" t="s">
        <v>184</v>
      </c>
      <c r="Z351" t="s">
        <v>112</v>
      </c>
      <c r="AA351" t="s">
        <v>82</v>
      </c>
      <c r="AB351" t="s">
        <v>83</v>
      </c>
      <c r="AC351" t="s">
        <v>185</v>
      </c>
      <c r="AD351" t="s">
        <v>149</v>
      </c>
      <c r="AE351" t="s">
        <v>4407</v>
      </c>
      <c r="AF351" t="s">
        <v>85</v>
      </c>
      <c r="AG351" t="s">
        <v>4408</v>
      </c>
      <c r="AH351">
        <v>7</v>
      </c>
      <c r="AI351">
        <v>1167920</v>
      </c>
      <c r="AJ351">
        <v>110000</v>
      </c>
      <c r="AK351">
        <v>0</v>
      </c>
      <c r="AL351">
        <v>1277920</v>
      </c>
      <c r="AM351" t="s">
        <v>2725</v>
      </c>
      <c r="AN351" t="s">
        <v>2726</v>
      </c>
      <c r="AO351" t="s">
        <v>184</v>
      </c>
      <c r="AP351" t="s">
        <v>112</v>
      </c>
      <c r="AQ351" t="s">
        <v>82</v>
      </c>
      <c r="AR351" t="s">
        <v>4402</v>
      </c>
      <c r="AS351" s="3">
        <v>46202.465223658182</v>
      </c>
      <c r="AT351" t="s">
        <v>89</v>
      </c>
      <c r="AU351" t="s">
        <v>90</v>
      </c>
      <c r="AV351" t="s">
        <v>2712</v>
      </c>
      <c r="AW351" t="s">
        <v>92</v>
      </c>
      <c r="AX351" t="s">
        <v>2713</v>
      </c>
      <c r="AY351" t="s">
        <v>94</v>
      </c>
      <c r="AZ351" t="s">
        <v>85</v>
      </c>
      <c r="BA351" t="s">
        <v>4403</v>
      </c>
      <c r="BB351" t="s">
        <v>4405</v>
      </c>
      <c r="BC351" t="s">
        <v>4396</v>
      </c>
      <c r="BD351" t="s">
        <v>2725</v>
      </c>
      <c r="BE351" t="s">
        <v>2726</v>
      </c>
      <c r="BF351" t="b">
        <f t="shared" si="5"/>
        <v>1</v>
      </c>
      <c r="BG351" t="b">
        <v>1</v>
      </c>
      <c r="BH351">
        <v>2002</v>
      </c>
      <c r="BI351" t="b">
        <v>1</v>
      </c>
      <c r="BJ351" t="s">
        <v>2715</v>
      </c>
      <c r="BK351" t="s">
        <v>2731</v>
      </c>
      <c r="BL351" t="b">
        <v>1</v>
      </c>
      <c r="BM351" t="b">
        <v>1</v>
      </c>
      <c r="BN351" t="b">
        <v>1</v>
      </c>
      <c r="BO351" t="s">
        <v>4404</v>
      </c>
      <c r="BP351" t="b">
        <f>IF(IFERROR(VLOOKUP(A351,[1]Planilha1!$A:$A,1,0),FALSE)=FALSE,FALSE,TRUE)</f>
        <v>1</v>
      </c>
    </row>
    <row r="352" spans="1:68" x14ac:dyDescent="0.25">
      <c r="A352" t="s">
        <v>4409</v>
      </c>
      <c r="B352" t="s">
        <v>68</v>
      </c>
      <c r="D352" s="1">
        <v>46204</v>
      </c>
      <c r="E352" s="1">
        <v>47664</v>
      </c>
      <c r="F352" t="s">
        <v>4410</v>
      </c>
      <c r="G352" t="s">
        <v>4411</v>
      </c>
      <c r="H352" s="2" t="s">
        <v>4412</v>
      </c>
      <c r="I352" t="s">
        <v>4411</v>
      </c>
      <c r="K352" t="s">
        <v>4413</v>
      </c>
      <c r="L352">
        <v>5116908</v>
      </c>
      <c r="M352" t="s">
        <v>4414</v>
      </c>
      <c r="N352" t="s">
        <v>228</v>
      </c>
      <c r="O352" t="s">
        <v>229</v>
      </c>
      <c r="P352" t="s">
        <v>230</v>
      </c>
      <c r="Q352" t="s">
        <v>483</v>
      </c>
      <c r="R352" t="s">
        <v>2972</v>
      </c>
      <c r="S352" t="s">
        <v>2973</v>
      </c>
      <c r="T352" t="s">
        <v>300</v>
      </c>
      <c r="U352" t="s">
        <v>301</v>
      </c>
      <c r="V352" t="s">
        <v>82</v>
      </c>
      <c r="W352" t="s">
        <v>2972</v>
      </c>
      <c r="X352" t="s">
        <v>2973</v>
      </c>
      <c r="Y352" t="s">
        <v>300</v>
      </c>
      <c r="Z352" t="s">
        <v>301</v>
      </c>
      <c r="AA352" t="s">
        <v>82</v>
      </c>
      <c r="AB352" t="s">
        <v>83</v>
      </c>
      <c r="AC352" t="s">
        <v>235</v>
      </c>
      <c r="AD352" t="s">
        <v>85</v>
      </c>
      <c r="AE352" t="s">
        <v>4415</v>
      </c>
      <c r="AF352" t="s">
        <v>85</v>
      </c>
      <c r="AG352" t="s">
        <v>4416</v>
      </c>
      <c r="AH352">
        <v>9</v>
      </c>
      <c r="AI352">
        <v>1090180</v>
      </c>
      <c r="AJ352">
        <v>307600</v>
      </c>
      <c r="AK352">
        <v>0</v>
      </c>
      <c r="AL352">
        <v>1397780</v>
      </c>
      <c r="AR352" t="s">
        <v>4417</v>
      </c>
      <c r="AS352" s="3">
        <v>46202.465223658182</v>
      </c>
      <c r="AT352" t="s">
        <v>89</v>
      </c>
      <c r="AU352" t="s">
        <v>90</v>
      </c>
      <c r="AV352" t="s">
        <v>2712</v>
      </c>
      <c r="AW352" t="s">
        <v>92</v>
      </c>
      <c r="AX352" t="s">
        <v>2713</v>
      </c>
      <c r="AY352" t="s">
        <v>94</v>
      </c>
      <c r="AZ352" t="s">
        <v>85</v>
      </c>
      <c r="BA352" t="s">
        <v>4418</v>
      </c>
      <c r="BB352" t="s">
        <v>4409</v>
      </c>
      <c r="BC352" t="s">
        <v>4411</v>
      </c>
      <c r="BD352" t="s">
        <v>2972</v>
      </c>
      <c r="BE352" t="s">
        <v>2973</v>
      </c>
      <c r="BF352" t="b">
        <f t="shared" si="5"/>
        <v>1</v>
      </c>
      <c r="BG352" t="b">
        <v>1</v>
      </c>
      <c r="BH352">
        <v>2024</v>
      </c>
      <c r="BI352" t="b">
        <v>1</v>
      </c>
      <c r="BJ352" t="s">
        <v>2715</v>
      </c>
      <c r="BK352" t="s">
        <v>2978</v>
      </c>
      <c r="BL352" t="b">
        <v>1</v>
      </c>
      <c r="BM352" t="b">
        <v>1</v>
      </c>
      <c r="BN352" t="b">
        <v>1</v>
      </c>
      <c r="BO352" t="s">
        <v>4419</v>
      </c>
      <c r="BP352" t="b">
        <f>IF(IFERROR(VLOOKUP(A352,[1]Planilha1!$A:$A,1,0),FALSE)=FALSE,FALSE,TRUE)</f>
        <v>1</v>
      </c>
    </row>
    <row r="353" spans="1:68" x14ac:dyDescent="0.25">
      <c r="A353" t="s">
        <v>4420</v>
      </c>
      <c r="B353" t="s">
        <v>68</v>
      </c>
      <c r="D353" s="1">
        <v>46204</v>
      </c>
      <c r="E353" s="1">
        <v>47664</v>
      </c>
      <c r="F353" t="s">
        <v>4421</v>
      </c>
      <c r="G353" t="s">
        <v>4422</v>
      </c>
      <c r="H353" s="2" t="s">
        <v>4423</v>
      </c>
      <c r="I353" t="s">
        <v>4422</v>
      </c>
      <c r="K353" t="s">
        <v>4424</v>
      </c>
      <c r="L353">
        <v>5116859</v>
      </c>
      <c r="M353" t="s">
        <v>4425</v>
      </c>
      <c r="N353" t="s">
        <v>389</v>
      </c>
      <c r="O353" t="s">
        <v>390</v>
      </c>
      <c r="P353" t="s">
        <v>107</v>
      </c>
      <c r="Q353" t="s">
        <v>391</v>
      </c>
      <c r="R353" t="s">
        <v>2787</v>
      </c>
      <c r="S353" t="s">
        <v>2788</v>
      </c>
      <c r="T353" t="s">
        <v>111</v>
      </c>
      <c r="U353" t="s">
        <v>112</v>
      </c>
      <c r="V353" t="s">
        <v>82</v>
      </c>
      <c r="W353" t="s">
        <v>2787</v>
      </c>
      <c r="X353" t="s">
        <v>2788</v>
      </c>
      <c r="Y353" t="s">
        <v>111</v>
      </c>
      <c r="Z353" t="s">
        <v>112</v>
      </c>
      <c r="AA353" t="s">
        <v>82</v>
      </c>
      <c r="AB353" t="s">
        <v>83</v>
      </c>
      <c r="AC353" t="s">
        <v>202</v>
      </c>
      <c r="AD353" t="s">
        <v>85</v>
      </c>
      <c r="AE353" t="s">
        <v>4426</v>
      </c>
      <c r="AF353" t="s">
        <v>85</v>
      </c>
      <c r="AG353" t="s">
        <v>4427</v>
      </c>
      <c r="AH353">
        <v>7</v>
      </c>
      <c r="AI353">
        <v>1241474</v>
      </c>
      <c r="AJ353">
        <v>124147.4</v>
      </c>
      <c r="AK353">
        <v>0</v>
      </c>
      <c r="AL353">
        <v>1365621.4</v>
      </c>
      <c r="AM353" t="s">
        <v>2787</v>
      </c>
      <c r="AN353" t="s">
        <v>2788</v>
      </c>
      <c r="AO353" t="s">
        <v>111</v>
      </c>
      <c r="AP353" t="s">
        <v>112</v>
      </c>
      <c r="AQ353" t="s">
        <v>82</v>
      </c>
      <c r="AR353" t="s">
        <v>4428</v>
      </c>
      <c r="AS353" s="3">
        <v>46202.465223658182</v>
      </c>
      <c r="AT353" t="s">
        <v>89</v>
      </c>
      <c r="AU353" t="s">
        <v>90</v>
      </c>
      <c r="AV353" t="s">
        <v>2712</v>
      </c>
      <c r="AW353" t="s">
        <v>92</v>
      </c>
      <c r="AX353" t="s">
        <v>2713</v>
      </c>
      <c r="AY353" t="s">
        <v>94</v>
      </c>
      <c r="AZ353" t="s">
        <v>85</v>
      </c>
      <c r="BA353" t="s">
        <v>4429</v>
      </c>
      <c r="BB353" t="s">
        <v>4420</v>
      </c>
      <c r="BC353" t="s">
        <v>4422</v>
      </c>
      <c r="BD353" t="s">
        <v>2787</v>
      </c>
      <c r="BE353" t="s">
        <v>2788</v>
      </c>
      <c r="BF353" t="b">
        <f t="shared" si="5"/>
        <v>1</v>
      </c>
      <c r="BG353" t="b">
        <v>1</v>
      </c>
      <c r="BH353">
        <v>2001</v>
      </c>
      <c r="BI353" t="b">
        <v>1</v>
      </c>
      <c r="BJ353" t="s">
        <v>2715</v>
      </c>
      <c r="BK353" t="s">
        <v>2716</v>
      </c>
      <c r="BL353" t="b">
        <v>1</v>
      </c>
      <c r="BM353" t="b">
        <v>1</v>
      </c>
      <c r="BN353" t="b">
        <v>1</v>
      </c>
      <c r="BO353" t="s">
        <v>4430</v>
      </c>
      <c r="BP353" t="b">
        <f>IF(IFERROR(VLOOKUP(A353,[1]Planilha1!$A:$A,1,0),FALSE)=FALSE,FALSE,TRUE)</f>
        <v>1</v>
      </c>
    </row>
    <row r="354" spans="1:68" x14ac:dyDescent="0.25">
      <c r="A354" t="s">
        <v>4431</v>
      </c>
      <c r="B354" t="s">
        <v>68</v>
      </c>
      <c r="D354" s="1">
        <v>46204</v>
      </c>
      <c r="E354" s="1">
        <v>47664</v>
      </c>
      <c r="F354" t="s">
        <v>4432</v>
      </c>
      <c r="G354" t="s">
        <v>4433</v>
      </c>
      <c r="H354" s="2" t="s">
        <v>4434</v>
      </c>
      <c r="I354" t="s">
        <v>4433</v>
      </c>
      <c r="K354" t="s">
        <v>4435</v>
      </c>
      <c r="L354">
        <v>5116434</v>
      </c>
      <c r="M354" t="s">
        <v>4436</v>
      </c>
      <c r="N354" t="s">
        <v>179</v>
      </c>
      <c r="O354" t="s">
        <v>180</v>
      </c>
      <c r="P354" t="s">
        <v>129</v>
      </c>
      <c r="Q354" t="s">
        <v>181</v>
      </c>
      <c r="R354" t="s">
        <v>1133</v>
      </c>
      <c r="S354" t="s">
        <v>1134</v>
      </c>
      <c r="T354" t="s">
        <v>184</v>
      </c>
      <c r="U354" t="s">
        <v>112</v>
      </c>
      <c r="V354" t="s">
        <v>82</v>
      </c>
      <c r="W354" t="s">
        <v>1133</v>
      </c>
      <c r="X354" t="s">
        <v>1134</v>
      </c>
      <c r="Y354" t="s">
        <v>184</v>
      </c>
      <c r="Z354" t="s">
        <v>112</v>
      </c>
      <c r="AA354" t="s">
        <v>82</v>
      </c>
      <c r="AB354" t="s">
        <v>83</v>
      </c>
      <c r="AC354" t="s">
        <v>185</v>
      </c>
      <c r="AD354" t="s">
        <v>252</v>
      </c>
      <c r="AE354" t="s">
        <v>4437</v>
      </c>
      <c r="AF354" t="s">
        <v>252</v>
      </c>
      <c r="AG354" t="s">
        <v>4438</v>
      </c>
      <c r="AH354">
        <v>17</v>
      </c>
      <c r="AI354">
        <v>1204480</v>
      </c>
      <c r="AJ354">
        <v>121980.44</v>
      </c>
      <c r="AK354">
        <v>0</v>
      </c>
      <c r="AL354">
        <v>1326460.44</v>
      </c>
      <c r="AM354" t="s">
        <v>1133</v>
      </c>
      <c r="AN354" t="s">
        <v>1134</v>
      </c>
      <c r="AO354" t="s">
        <v>184</v>
      </c>
      <c r="AP354" t="s">
        <v>112</v>
      </c>
      <c r="AQ354" t="s">
        <v>82</v>
      </c>
      <c r="AR354" t="s">
        <v>4439</v>
      </c>
      <c r="AS354" s="3">
        <v>46202.465223658182</v>
      </c>
      <c r="AT354" t="s">
        <v>89</v>
      </c>
      <c r="AU354" t="s">
        <v>90</v>
      </c>
      <c r="AV354" t="s">
        <v>2712</v>
      </c>
      <c r="AW354" t="s">
        <v>92</v>
      </c>
      <c r="AX354" t="s">
        <v>2713</v>
      </c>
      <c r="AY354" t="s">
        <v>94</v>
      </c>
      <c r="AZ354" t="s">
        <v>85</v>
      </c>
      <c r="BA354" t="s">
        <v>4440</v>
      </c>
      <c r="BB354" t="s">
        <v>4431</v>
      </c>
      <c r="BC354" t="s">
        <v>4433</v>
      </c>
      <c r="BD354" t="s">
        <v>1133</v>
      </c>
      <c r="BE354" t="s">
        <v>1134</v>
      </c>
      <c r="BF354" t="b">
        <f t="shared" si="5"/>
        <v>1</v>
      </c>
      <c r="BG354" t="b">
        <v>1</v>
      </c>
      <c r="BH354">
        <v>2003</v>
      </c>
      <c r="BI354" t="b">
        <v>1</v>
      </c>
      <c r="BJ354" t="s">
        <v>2715</v>
      </c>
      <c r="BK354" t="s">
        <v>1140</v>
      </c>
      <c r="BL354" t="b">
        <v>1</v>
      </c>
      <c r="BM354" t="b">
        <v>1</v>
      </c>
      <c r="BN354" t="b">
        <v>1</v>
      </c>
      <c r="BO354" t="s">
        <v>4441</v>
      </c>
      <c r="BP354" t="b">
        <f>IF(IFERROR(VLOOKUP(A354,[1]Planilha1!$A:$A,1,0),FALSE)=FALSE,FALSE,TRUE)</f>
        <v>1</v>
      </c>
    </row>
    <row r="355" spans="1:68" x14ac:dyDescent="0.25">
      <c r="A355" t="s">
        <v>4442</v>
      </c>
      <c r="B355" t="s">
        <v>68</v>
      </c>
      <c r="D355" s="1">
        <v>46204</v>
      </c>
      <c r="E355" s="1">
        <v>47664</v>
      </c>
      <c r="F355" t="s">
        <v>4443</v>
      </c>
      <c r="G355" t="s">
        <v>4444</v>
      </c>
      <c r="H355" s="2" t="s">
        <v>4445</v>
      </c>
      <c r="I355" t="s">
        <v>4444</v>
      </c>
      <c r="K355" t="s">
        <v>4446</v>
      </c>
      <c r="L355">
        <v>5116569</v>
      </c>
      <c r="M355" t="s">
        <v>4447</v>
      </c>
      <c r="N355" t="s">
        <v>127</v>
      </c>
      <c r="O355" t="s">
        <v>128</v>
      </c>
      <c r="P355" t="s">
        <v>129</v>
      </c>
      <c r="Q355" t="s">
        <v>3034</v>
      </c>
      <c r="R355" t="s">
        <v>4448</v>
      </c>
      <c r="S355" t="s">
        <v>4449</v>
      </c>
      <c r="T355" t="s">
        <v>1537</v>
      </c>
      <c r="U355" t="s">
        <v>769</v>
      </c>
      <c r="V355" t="s">
        <v>82</v>
      </c>
      <c r="W355" t="s">
        <v>4448</v>
      </c>
      <c r="X355" t="s">
        <v>4449</v>
      </c>
      <c r="Y355" t="s">
        <v>1537</v>
      </c>
      <c r="Z355" t="s">
        <v>769</v>
      </c>
      <c r="AA355" t="s">
        <v>82</v>
      </c>
      <c r="AB355" t="s">
        <v>83</v>
      </c>
      <c r="AC355" t="s">
        <v>135</v>
      </c>
      <c r="AD355" t="s">
        <v>149</v>
      </c>
      <c r="AE355" t="s">
        <v>1097</v>
      </c>
      <c r="AF355" t="s">
        <v>85</v>
      </c>
      <c r="AG355" t="s">
        <v>4450</v>
      </c>
      <c r="AH355">
        <v>4</v>
      </c>
      <c r="AI355">
        <v>742080</v>
      </c>
      <c r="AJ355">
        <v>107000</v>
      </c>
      <c r="AK355">
        <v>0</v>
      </c>
      <c r="AL355">
        <v>849080</v>
      </c>
      <c r="AM355" t="s">
        <v>4448</v>
      </c>
      <c r="AN355" t="s">
        <v>4449</v>
      </c>
      <c r="AO355" t="s">
        <v>1537</v>
      </c>
      <c r="AP355" t="s">
        <v>769</v>
      </c>
      <c r="AQ355" t="s">
        <v>82</v>
      </c>
      <c r="AR355" t="s">
        <v>4451</v>
      </c>
      <c r="AS355" s="3">
        <v>46202.465223658182</v>
      </c>
      <c r="AT355" t="s">
        <v>89</v>
      </c>
      <c r="AU355" t="s">
        <v>90</v>
      </c>
      <c r="AV355" t="s">
        <v>2712</v>
      </c>
      <c r="AW355" t="s">
        <v>92</v>
      </c>
      <c r="AX355" t="s">
        <v>2713</v>
      </c>
      <c r="AY355" t="s">
        <v>94</v>
      </c>
      <c r="AZ355" t="s">
        <v>85</v>
      </c>
      <c r="BA355" t="s">
        <v>4452</v>
      </c>
      <c r="BB355" t="s">
        <v>4442</v>
      </c>
      <c r="BC355" t="s">
        <v>4444</v>
      </c>
      <c r="BD355" t="s">
        <v>4448</v>
      </c>
      <c r="BE355" t="s">
        <v>4449</v>
      </c>
      <c r="BF355" t="b">
        <f t="shared" si="5"/>
        <v>1</v>
      </c>
      <c r="BG355" t="b">
        <v>1</v>
      </c>
      <c r="BH355">
        <v>2022</v>
      </c>
      <c r="BI355" t="b">
        <v>1</v>
      </c>
      <c r="BJ355" t="s">
        <v>2715</v>
      </c>
      <c r="BK355" t="s">
        <v>1911</v>
      </c>
      <c r="BL355" t="b">
        <v>1</v>
      </c>
      <c r="BM355" t="b">
        <v>1</v>
      </c>
      <c r="BN355" t="b">
        <v>1</v>
      </c>
      <c r="BO355" t="s">
        <v>4453</v>
      </c>
      <c r="BP355" t="b">
        <f>IF(IFERROR(VLOOKUP(A355,[1]Planilha1!$A:$A,1,0),FALSE)=FALSE,FALSE,TRUE)</f>
        <v>1</v>
      </c>
    </row>
    <row r="356" spans="1:68" x14ac:dyDescent="0.25">
      <c r="A356" t="s">
        <v>4454</v>
      </c>
      <c r="B356" t="s">
        <v>68</v>
      </c>
      <c r="D356" s="1">
        <v>46204</v>
      </c>
      <c r="E356" s="1">
        <v>47664</v>
      </c>
      <c r="F356" t="s">
        <v>4455</v>
      </c>
      <c r="G356" t="s">
        <v>4456</v>
      </c>
      <c r="H356" s="2" t="s">
        <v>4457</v>
      </c>
      <c r="I356" t="s">
        <v>4456</v>
      </c>
      <c r="K356" t="s">
        <v>4458</v>
      </c>
      <c r="L356">
        <v>5116378</v>
      </c>
      <c r="M356" t="s">
        <v>4459</v>
      </c>
      <c r="N356" t="s">
        <v>127</v>
      </c>
      <c r="O356" t="s">
        <v>128</v>
      </c>
      <c r="P356" t="s">
        <v>129</v>
      </c>
      <c r="Q356" t="s">
        <v>4460</v>
      </c>
      <c r="R356" t="s">
        <v>2707</v>
      </c>
      <c r="S356" t="s">
        <v>2708</v>
      </c>
      <c r="T356" t="s">
        <v>184</v>
      </c>
      <c r="U356" t="s">
        <v>112</v>
      </c>
      <c r="V356" t="s">
        <v>82</v>
      </c>
      <c r="W356" t="s">
        <v>2707</v>
      </c>
      <c r="X356" t="s">
        <v>2708</v>
      </c>
      <c r="Y356" t="s">
        <v>184</v>
      </c>
      <c r="Z356" t="s">
        <v>112</v>
      </c>
      <c r="AA356" t="s">
        <v>82</v>
      </c>
      <c r="AB356" t="s">
        <v>83</v>
      </c>
      <c r="AC356" t="s">
        <v>135</v>
      </c>
      <c r="AD356" t="s">
        <v>252</v>
      </c>
      <c r="AE356" t="s">
        <v>4461</v>
      </c>
      <c r="AF356" t="s">
        <v>252</v>
      </c>
      <c r="AG356" t="s">
        <v>4462</v>
      </c>
      <c r="AH356">
        <v>3</v>
      </c>
      <c r="AI356">
        <v>648960</v>
      </c>
      <c r="AJ356">
        <v>72106.67</v>
      </c>
      <c r="AK356">
        <v>0</v>
      </c>
      <c r="AL356">
        <v>721066.67</v>
      </c>
      <c r="AM356" t="s">
        <v>2707</v>
      </c>
      <c r="AN356" t="s">
        <v>2708</v>
      </c>
      <c r="AO356" t="s">
        <v>184</v>
      </c>
      <c r="AP356" t="s">
        <v>112</v>
      </c>
      <c r="AQ356" t="s">
        <v>82</v>
      </c>
      <c r="AR356" t="s">
        <v>4463</v>
      </c>
      <c r="AS356" s="3">
        <v>46202.465223658182</v>
      </c>
      <c r="AT356" t="s">
        <v>89</v>
      </c>
      <c r="AU356" t="s">
        <v>90</v>
      </c>
      <c r="AV356" t="s">
        <v>2712</v>
      </c>
      <c r="AW356" t="s">
        <v>92</v>
      </c>
      <c r="AX356" t="s">
        <v>2713</v>
      </c>
      <c r="AY356" t="s">
        <v>94</v>
      </c>
      <c r="AZ356" t="s">
        <v>85</v>
      </c>
      <c r="BA356" t="s">
        <v>4464</v>
      </c>
      <c r="BB356" t="s">
        <v>4454</v>
      </c>
      <c r="BC356" t="s">
        <v>4456</v>
      </c>
      <c r="BD356" t="s">
        <v>2707</v>
      </c>
      <c r="BE356" t="s">
        <v>2708</v>
      </c>
      <c r="BF356" t="b">
        <f t="shared" si="5"/>
        <v>1</v>
      </c>
      <c r="BG356" t="b">
        <v>1</v>
      </c>
      <c r="BH356">
        <v>2017</v>
      </c>
      <c r="BI356" t="b">
        <v>1</v>
      </c>
      <c r="BJ356" t="s">
        <v>2715</v>
      </c>
      <c r="BK356" t="s">
        <v>2716</v>
      </c>
      <c r="BL356" t="b">
        <v>1</v>
      </c>
      <c r="BM356" t="b">
        <v>1</v>
      </c>
      <c r="BN356" t="b">
        <v>1</v>
      </c>
      <c r="BO356" t="s">
        <v>4465</v>
      </c>
      <c r="BP356" t="b">
        <f>IF(IFERROR(VLOOKUP(A356,[1]Planilha1!$A:$A,1,0),FALSE)=FALSE,FALSE,TRUE)</f>
        <v>1</v>
      </c>
    </row>
    <row r="357" spans="1:68" x14ac:dyDescent="0.25">
      <c r="A357" t="s">
        <v>4466</v>
      </c>
      <c r="B357" t="s">
        <v>68</v>
      </c>
      <c r="D357" s="1">
        <v>46204</v>
      </c>
      <c r="E357" s="1">
        <v>47664</v>
      </c>
      <c r="F357" t="s">
        <v>4467</v>
      </c>
      <c r="G357" t="s">
        <v>4468</v>
      </c>
      <c r="H357" s="2" t="s">
        <v>4469</v>
      </c>
      <c r="I357" t="s">
        <v>4468</v>
      </c>
      <c r="K357" t="s">
        <v>4470</v>
      </c>
      <c r="L357">
        <v>5116756</v>
      </c>
      <c r="M357" t="s">
        <v>4471</v>
      </c>
      <c r="N357" t="s">
        <v>328</v>
      </c>
      <c r="O357" t="s">
        <v>329</v>
      </c>
      <c r="P357" t="s">
        <v>439</v>
      </c>
      <c r="Q357" t="s">
        <v>440</v>
      </c>
      <c r="R357" t="s">
        <v>2800</v>
      </c>
      <c r="S357" t="s">
        <v>2801</v>
      </c>
      <c r="T357" t="s">
        <v>111</v>
      </c>
      <c r="U357" t="s">
        <v>112</v>
      </c>
      <c r="V357" t="s">
        <v>82</v>
      </c>
      <c r="W357" t="s">
        <v>2800</v>
      </c>
      <c r="X357" t="s">
        <v>2801</v>
      </c>
      <c r="Y357" t="s">
        <v>111</v>
      </c>
      <c r="Z357" t="s">
        <v>112</v>
      </c>
      <c r="AA357" t="s">
        <v>82</v>
      </c>
      <c r="AB357" t="s">
        <v>83</v>
      </c>
      <c r="AC357" t="s">
        <v>333</v>
      </c>
      <c r="AD357" t="s">
        <v>149</v>
      </c>
      <c r="AE357" t="s">
        <v>4472</v>
      </c>
      <c r="AF357" t="s">
        <v>85</v>
      </c>
      <c r="AG357" t="s">
        <v>4473</v>
      </c>
      <c r="AH357">
        <v>6</v>
      </c>
      <c r="AI357">
        <v>1360320</v>
      </c>
      <c r="AJ357">
        <v>144199</v>
      </c>
      <c r="AK357">
        <v>0</v>
      </c>
      <c r="AL357">
        <v>1504519</v>
      </c>
      <c r="AR357" t="s">
        <v>4474</v>
      </c>
      <c r="AS357" s="3">
        <v>46202.465223658182</v>
      </c>
      <c r="AT357" t="s">
        <v>89</v>
      </c>
      <c r="AU357" t="s">
        <v>90</v>
      </c>
      <c r="AV357" t="s">
        <v>2712</v>
      </c>
      <c r="AW357" t="s">
        <v>92</v>
      </c>
      <c r="AX357" t="s">
        <v>2713</v>
      </c>
      <c r="AY357" t="s">
        <v>94</v>
      </c>
      <c r="AZ357" t="s">
        <v>85</v>
      </c>
      <c r="BA357" t="s">
        <v>4475</v>
      </c>
      <c r="BB357" t="s">
        <v>4466</v>
      </c>
      <c r="BC357" t="s">
        <v>4468</v>
      </c>
      <c r="BD357" t="s">
        <v>2800</v>
      </c>
      <c r="BE357" t="s">
        <v>2801</v>
      </c>
      <c r="BF357" t="b">
        <f t="shared" si="5"/>
        <v>1</v>
      </c>
      <c r="BG357" t="b">
        <v>1</v>
      </c>
      <c r="BH357">
        <v>2013</v>
      </c>
      <c r="BI357" t="b">
        <v>1</v>
      </c>
      <c r="BJ357" t="s">
        <v>2715</v>
      </c>
      <c r="BK357" t="s">
        <v>2806</v>
      </c>
      <c r="BL357" t="b">
        <v>1</v>
      </c>
      <c r="BM357" t="b">
        <v>1</v>
      </c>
      <c r="BN357" t="b">
        <v>0</v>
      </c>
      <c r="BO357" t="s">
        <v>4476</v>
      </c>
      <c r="BP357" t="b">
        <f>IF(IFERROR(VLOOKUP(A357,[1]Planilha1!$A:$A,1,0),FALSE)=FALSE,FALSE,TRUE)</f>
        <v>1</v>
      </c>
    </row>
    <row r="358" spans="1:68" x14ac:dyDescent="0.25">
      <c r="A358" t="s">
        <v>4477</v>
      </c>
      <c r="B358" t="s">
        <v>68</v>
      </c>
      <c r="D358" s="1">
        <v>46204</v>
      </c>
      <c r="E358" s="1">
        <v>47664</v>
      </c>
      <c r="F358" t="s">
        <v>4478</v>
      </c>
      <c r="G358" t="s">
        <v>4479</v>
      </c>
      <c r="H358" s="2" t="s">
        <v>4480</v>
      </c>
      <c r="I358" t="s">
        <v>4479</v>
      </c>
      <c r="K358" t="s">
        <v>4481</v>
      </c>
      <c r="L358">
        <v>5116898</v>
      </c>
      <c r="M358" t="s">
        <v>4482</v>
      </c>
      <c r="N358" t="s">
        <v>2109</v>
      </c>
      <c r="O358" t="s">
        <v>2018</v>
      </c>
      <c r="P358" t="s">
        <v>230</v>
      </c>
      <c r="Q358" t="s">
        <v>4067</v>
      </c>
      <c r="R358" t="s">
        <v>2972</v>
      </c>
      <c r="S358" t="s">
        <v>2973</v>
      </c>
      <c r="T358" t="s">
        <v>300</v>
      </c>
      <c r="U358" t="s">
        <v>301</v>
      </c>
      <c r="V358" t="s">
        <v>82</v>
      </c>
      <c r="W358" t="s">
        <v>2972</v>
      </c>
      <c r="X358" t="s">
        <v>2973</v>
      </c>
      <c r="Y358" t="s">
        <v>300</v>
      </c>
      <c r="Z358" t="s">
        <v>301</v>
      </c>
      <c r="AA358" t="s">
        <v>82</v>
      </c>
      <c r="AB358" t="s">
        <v>83</v>
      </c>
      <c r="AC358" t="s">
        <v>1013</v>
      </c>
      <c r="AD358" t="s">
        <v>85</v>
      </c>
      <c r="AE358" t="s">
        <v>4483</v>
      </c>
      <c r="AF358" t="s">
        <v>85</v>
      </c>
      <c r="AG358" t="s">
        <v>4484</v>
      </c>
      <c r="AH358">
        <v>6</v>
      </c>
      <c r="AI358">
        <v>1042400</v>
      </c>
      <c r="AJ358">
        <v>135000</v>
      </c>
      <c r="AK358">
        <v>0</v>
      </c>
      <c r="AL358">
        <v>1177400</v>
      </c>
      <c r="AM358" t="s">
        <v>2972</v>
      </c>
      <c r="AN358" t="s">
        <v>2973</v>
      </c>
      <c r="AO358" t="s">
        <v>300</v>
      </c>
      <c r="AP358" t="s">
        <v>301</v>
      </c>
      <c r="AQ358" t="s">
        <v>82</v>
      </c>
      <c r="AR358" t="s">
        <v>4485</v>
      </c>
      <c r="AS358" s="3">
        <v>46202.465223658182</v>
      </c>
      <c r="AT358" t="s">
        <v>89</v>
      </c>
      <c r="AU358" t="s">
        <v>90</v>
      </c>
      <c r="AV358" t="s">
        <v>2712</v>
      </c>
      <c r="AW358" t="s">
        <v>92</v>
      </c>
      <c r="AX358" t="s">
        <v>2713</v>
      </c>
      <c r="AY358" t="s">
        <v>94</v>
      </c>
      <c r="AZ358" t="s">
        <v>85</v>
      </c>
      <c r="BA358" t="s">
        <v>4486</v>
      </c>
      <c r="BB358" t="s">
        <v>4477</v>
      </c>
      <c r="BC358" t="s">
        <v>4479</v>
      </c>
      <c r="BD358" t="s">
        <v>2972</v>
      </c>
      <c r="BE358" t="s">
        <v>2973</v>
      </c>
      <c r="BF358" t="b">
        <f t="shared" si="5"/>
        <v>1</v>
      </c>
      <c r="BG358" t="b">
        <v>1</v>
      </c>
      <c r="BH358">
        <v>2018</v>
      </c>
      <c r="BI358" t="b">
        <v>1</v>
      </c>
      <c r="BJ358" t="s">
        <v>2715</v>
      </c>
      <c r="BK358" t="s">
        <v>2978</v>
      </c>
      <c r="BL358" t="b">
        <v>1</v>
      </c>
      <c r="BM358" t="b">
        <v>1</v>
      </c>
      <c r="BN358" t="b">
        <v>1</v>
      </c>
      <c r="BO358" t="s">
        <v>4487</v>
      </c>
      <c r="BP358" t="b">
        <f>IF(IFERROR(VLOOKUP(A358,[1]Planilha1!$A:$A,1,0),FALSE)=FALSE,FALSE,TRUE)</f>
        <v>1</v>
      </c>
    </row>
    <row r="359" spans="1:68" x14ac:dyDescent="0.25">
      <c r="A359" t="s">
        <v>4488</v>
      </c>
      <c r="B359" t="s">
        <v>68</v>
      </c>
      <c r="D359" s="1">
        <v>46204</v>
      </c>
      <c r="E359" s="1">
        <v>47664</v>
      </c>
      <c r="F359" t="s">
        <v>4489</v>
      </c>
      <c r="G359" t="s">
        <v>4490</v>
      </c>
      <c r="H359" s="2" t="s">
        <v>4491</v>
      </c>
      <c r="I359" t="s">
        <v>4490</v>
      </c>
      <c r="K359" t="s">
        <v>4492</v>
      </c>
      <c r="L359">
        <v>5116770</v>
      </c>
      <c r="M359" t="s">
        <v>4493</v>
      </c>
      <c r="N359" t="s">
        <v>179</v>
      </c>
      <c r="O359" t="s">
        <v>180</v>
      </c>
      <c r="P359" t="s">
        <v>129</v>
      </c>
      <c r="Q359" t="s">
        <v>1174</v>
      </c>
      <c r="R359" t="s">
        <v>1133</v>
      </c>
      <c r="S359" t="s">
        <v>1134</v>
      </c>
      <c r="T359" t="s">
        <v>184</v>
      </c>
      <c r="U359" t="s">
        <v>112</v>
      </c>
      <c r="V359" t="s">
        <v>82</v>
      </c>
      <c r="W359" t="s">
        <v>1133</v>
      </c>
      <c r="X359" t="s">
        <v>1134</v>
      </c>
      <c r="Y359" t="s">
        <v>184</v>
      </c>
      <c r="Z359" t="s">
        <v>112</v>
      </c>
      <c r="AA359" t="s">
        <v>82</v>
      </c>
      <c r="AB359" t="s">
        <v>83</v>
      </c>
      <c r="AC359" t="s">
        <v>185</v>
      </c>
      <c r="AD359" t="s">
        <v>149</v>
      </c>
      <c r="AE359" t="s">
        <v>4494</v>
      </c>
      <c r="AF359" t="s">
        <v>85</v>
      </c>
      <c r="AG359" t="s">
        <v>4495</v>
      </c>
      <c r="AH359">
        <v>10</v>
      </c>
      <c r="AI359">
        <v>1272960</v>
      </c>
      <c r="AJ359">
        <v>149352</v>
      </c>
      <c r="AK359">
        <v>0</v>
      </c>
      <c r="AL359">
        <v>1422312</v>
      </c>
      <c r="AM359" t="s">
        <v>1133</v>
      </c>
      <c r="AN359" t="s">
        <v>1134</v>
      </c>
      <c r="AO359" t="s">
        <v>184</v>
      </c>
      <c r="AP359" t="s">
        <v>112</v>
      </c>
      <c r="AQ359" t="s">
        <v>82</v>
      </c>
      <c r="AR359" t="s">
        <v>4496</v>
      </c>
      <c r="AS359" s="3">
        <v>46202.465223658182</v>
      </c>
      <c r="AT359" t="s">
        <v>89</v>
      </c>
      <c r="AU359" t="s">
        <v>90</v>
      </c>
      <c r="AV359" t="s">
        <v>2712</v>
      </c>
      <c r="AW359" t="s">
        <v>92</v>
      </c>
      <c r="AX359" t="s">
        <v>2713</v>
      </c>
      <c r="AY359" t="s">
        <v>94</v>
      </c>
      <c r="AZ359" t="s">
        <v>85</v>
      </c>
      <c r="BA359" t="s">
        <v>4497</v>
      </c>
      <c r="BB359" t="s">
        <v>4488</v>
      </c>
      <c r="BC359" t="s">
        <v>4490</v>
      </c>
      <c r="BD359" t="s">
        <v>1133</v>
      </c>
      <c r="BE359" t="s">
        <v>1134</v>
      </c>
      <c r="BF359" t="b">
        <f t="shared" si="5"/>
        <v>1</v>
      </c>
      <c r="BG359" t="b">
        <v>1</v>
      </c>
      <c r="BH359">
        <v>2007</v>
      </c>
      <c r="BI359" t="b">
        <v>1</v>
      </c>
      <c r="BJ359" t="s">
        <v>2715</v>
      </c>
      <c r="BK359" t="s">
        <v>1140</v>
      </c>
      <c r="BL359" t="b">
        <v>1</v>
      </c>
      <c r="BM359" t="b">
        <v>1</v>
      </c>
      <c r="BN359" t="b">
        <v>1</v>
      </c>
      <c r="BO359" t="s">
        <v>4498</v>
      </c>
      <c r="BP359" t="b">
        <f>IF(IFERROR(VLOOKUP(A359,[1]Planilha1!$A:$A,1,0),FALSE)=FALSE,FALSE,TRUE)</f>
        <v>1</v>
      </c>
    </row>
    <row r="360" spans="1:68" x14ac:dyDescent="0.25">
      <c r="A360" t="s">
        <v>4499</v>
      </c>
      <c r="B360" t="s">
        <v>68</v>
      </c>
      <c r="D360" s="1">
        <v>46204</v>
      </c>
      <c r="E360" s="1">
        <v>47664</v>
      </c>
      <c r="F360" t="s">
        <v>4500</v>
      </c>
      <c r="G360" t="s">
        <v>4501</v>
      </c>
      <c r="H360" s="2" t="s">
        <v>4502</v>
      </c>
      <c r="I360" t="s">
        <v>4501</v>
      </c>
      <c r="K360" t="s">
        <v>4503</v>
      </c>
      <c r="L360">
        <v>5116313</v>
      </c>
      <c r="M360" t="s">
        <v>4504</v>
      </c>
      <c r="N360" t="s">
        <v>295</v>
      </c>
      <c r="O360" t="s">
        <v>296</v>
      </c>
      <c r="P360" t="s">
        <v>129</v>
      </c>
      <c r="Q360" t="s">
        <v>471</v>
      </c>
      <c r="R360" t="s">
        <v>2725</v>
      </c>
      <c r="S360" t="s">
        <v>2726</v>
      </c>
      <c r="T360" t="s">
        <v>184</v>
      </c>
      <c r="U360" t="s">
        <v>112</v>
      </c>
      <c r="V360" t="s">
        <v>82</v>
      </c>
      <c r="W360" t="s">
        <v>2725</v>
      </c>
      <c r="X360" t="s">
        <v>2726</v>
      </c>
      <c r="Y360" t="s">
        <v>184</v>
      </c>
      <c r="Z360" t="s">
        <v>112</v>
      </c>
      <c r="AA360" t="s">
        <v>82</v>
      </c>
      <c r="AB360" t="s">
        <v>83</v>
      </c>
      <c r="AC360" t="s">
        <v>135</v>
      </c>
      <c r="AD360" t="s">
        <v>136</v>
      </c>
      <c r="AE360" t="s">
        <v>4505</v>
      </c>
      <c r="AF360" t="s">
        <v>136</v>
      </c>
      <c r="AG360" t="s">
        <v>2468</v>
      </c>
      <c r="AH360">
        <v>6</v>
      </c>
      <c r="AI360">
        <v>1048320</v>
      </c>
      <c r="AJ360">
        <v>149909.76999999999</v>
      </c>
      <c r="AK360">
        <v>0</v>
      </c>
      <c r="AL360">
        <v>1198229.77</v>
      </c>
      <c r="AM360" t="s">
        <v>2725</v>
      </c>
      <c r="AN360" t="s">
        <v>2726</v>
      </c>
      <c r="AO360" t="s">
        <v>184</v>
      </c>
      <c r="AP360" t="s">
        <v>112</v>
      </c>
      <c r="AQ360" t="s">
        <v>82</v>
      </c>
      <c r="AR360" t="s">
        <v>4506</v>
      </c>
      <c r="AS360" s="3">
        <v>46202.465223658182</v>
      </c>
      <c r="AT360" t="s">
        <v>89</v>
      </c>
      <c r="AU360" t="s">
        <v>90</v>
      </c>
      <c r="AV360" t="s">
        <v>2712</v>
      </c>
      <c r="AW360" t="s">
        <v>92</v>
      </c>
      <c r="AX360" t="s">
        <v>2713</v>
      </c>
      <c r="AY360" t="s">
        <v>94</v>
      </c>
      <c r="AZ360" t="s">
        <v>85</v>
      </c>
      <c r="BA360" t="s">
        <v>4507</v>
      </c>
      <c r="BB360" t="s">
        <v>4499</v>
      </c>
      <c r="BC360" t="s">
        <v>4501</v>
      </c>
      <c r="BD360" t="s">
        <v>2725</v>
      </c>
      <c r="BE360" t="s">
        <v>2726</v>
      </c>
      <c r="BF360" t="b">
        <f t="shared" si="5"/>
        <v>1</v>
      </c>
      <c r="BG360" t="b">
        <v>1</v>
      </c>
      <c r="BH360">
        <v>2013</v>
      </c>
      <c r="BI360" t="b">
        <v>1</v>
      </c>
      <c r="BJ360" t="s">
        <v>2715</v>
      </c>
      <c r="BK360" t="s">
        <v>2731</v>
      </c>
      <c r="BL360" t="b">
        <v>1</v>
      </c>
      <c r="BM360" t="b">
        <v>1</v>
      </c>
      <c r="BN360" t="b">
        <v>1</v>
      </c>
      <c r="BO360" t="s">
        <v>4508</v>
      </c>
      <c r="BP360" t="b">
        <f>IF(IFERROR(VLOOKUP(A360,[1]Planilha1!$A:$A,1,0),FALSE)=FALSE,FALSE,TRUE)</f>
        <v>1</v>
      </c>
    </row>
    <row r="361" spans="1:68" x14ac:dyDescent="0.25">
      <c r="A361" t="s">
        <v>4509</v>
      </c>
      <c r="B361" t="s">
        <v>68</v>
      </c>
      <c r="D361" s="1">
        <v>46204</v>
      </c>
      <c r="E361" s="1">
        <v>47664</v>
      </c>
      <c r="F361" t="s">
        <v>4510</v>
      </c>
      <c r="G361" t="s">
        <v>4511</v>
      </c>
      <c r="H361" s="2" t="s">
        <v>4512</v>
      </c>
      <c r="I361" t="s">
        <v>4511</v>
      </c>
      <c r="K361" t="s">
        <v>4513</v>
      </c>
      <c r="L361">
        <v>5115552</v>
      </c>
      <c r="M361" t="s">
        <v>4514</v>
      </c>
      <c r="N361" t="s">
        <v>105</v>
      </c>
      <c r="O361" t="s">
        <v>106</v>
      </c>
      <c r="P361" t="s">
        <v>107</v>
      </c>
      <c r="Q361" t="s">
        <v>2960</v>
      </c>
      <c r="R361" t="s">
        <v>4515</v>
      </c>
      <c r="S361" t="s">
        <v>4516</v>
      </c>
      <c r="T361" t="s">
        <v>111</v>
      </c>
      <c r="U361" t="s">
        <v>112</v>
      </c>
      <c r="V361" t="s">
        <v>82</v>
      </c>
      <c r="W361" t="s">
        <v>4515</v>
      </c>
      <c r="X361" t="s">
        <v>4516</v>
      </c>
      <c r="Y361" t="s">
        <v>111</v>
      </c>
      <c r="Z361" t="s">
        <v>112</v>
      </c>
      <c r="AA361" t="s">
        <v>82</v>
      </c>
      <c r="AB361" t="s">
        <v>83</v>
      </c>
      <c r="AC361" t="s">
        <v>113</v>
      </c>
      <c r="AD361" t="s">
        <v>559</v>
      </c>
      <c r="AE361" t="s">
        <v>4517</v>
      </c>
      <c r="AF361" t="s">
        <v>559</v>
      </c>
      <c r="AG361" t="s">
        <v>4518</v>
      </c>
      <c r="AH361">
        <v>252</v>
      </c>
      <c r="AI361">
        <v>32522400</v>
      </c>
      <c r="AJ361">
        <v>105000</v>
      </c>
      <c r="AK361">
        <v>0</v>
      </c>
      <c r="AL361">
        <v>32627400</v>
      </c>
      <c r="AM361" t="s">
        <v>4515</v>
      </c>
      <c r="AN361" t="s">
        <v>4516</v>
      </c>
      <c r="AO361" t="s">
        <v>111</v>
      </c>
      <c r="AP361" t="s">
        <v>112</v>
      </c>
      <c r="AQ361" t="s">
        <v>82</v>
      </c>
      <c r="AR361" t="s">
        <v>4519</v>
      </c>
      <c r="AS361" s="3">
        <v>46202.465223658182</v>
      </c>
      <c r="AT361" t="s">
        <v>89</v>
      </c>
      <c r="AU361" t="s">
        <v>90</v>
      </c>
      <c r="AV361" t="s">
        <v>2712</v>
      </c>
      <c r="AW361" t="s">
        <v>92</v>
      </c>
      <c r="AX361" t="s">
        <v>2713</v>
      </c>
      <c r="AY361" t="s">
        <v>94</v>
      </c>
      <c r="AZ361" t="s">
        <v>85</v>
      </c>
      <c r="BA361" t="s">
        <v>4520</v>
      </c>
      <c r="BB361" t="s">
        <v>4509</v>
      </c>
      <c r="BC361" t="s">
        <v>4511</v>
      </c>
      <c r="BD361" t="s">
        <v>4515</v>
      </c>
      <c r="BE361" t="s">
        <v>4516</v>
      </c>
      <c r="BF361" t="b">
        <f t="shared" si="5"/>
        <v>0</v>
      </c>
      <c r="BG361" t="b">
        <v>0</v>
      </c>
      <c r="BH361">
        <v>2002</v>
      </c>
      <c r="BI361" t="b">
        <v>0</v>
      </c>
      <c r="BJ361" t="s">
        <v>2715</v>
      </c>
      <c r="BK361" t="s">
        <v>1911</v>
      </c>
      <c r="BL361" t="b">
        <v>1</v>
      </c>
      <c r="BM361" t="b">
        <v>1</v>
      </c>
      <c r="BN361" t="b">
        <v>1</v>
      </c>
      <c r="BO361" t="s">
        <v>4521</v>
      </c>
      <c r="BP361" t="b">
        <f>IF(IFERROR(VLOOKUP(A361,[1]Planilha1!$A:$A,1,0),FALSE)=FALSE,FALSE,TRUE)</f>
        <v>0</v>
      </c>
    </row>
    <row r="362" spans="1:68" x14ac:dyDescent="0.25">
      <c r="A362" t="s">
        <v>4522</v>
      </c>
      <c r="B362" t="s">
        <v>68</v>
      </c>
      <c r="D362" s="1">
        <v>46204</v>
      </c>
      <c r="E362" s="1">
        <v>47664</v>
      </c>
      <c r="F362" t="s">
        <v>4523</v>
      </c>
      <c r="G362" t="s">
        <v>4524</v>
      </c>
      <c r="H362" s="2" t="s">
        <v>4525</v>
      </c>
      <c r="I362" t="s">
        <v>4524</v>
      </c>
      <c r="K362" t="s">
        <v>4526</v>
      </c>
      <c r="L362">
        <v>5116563</v>
      </c>
      <c r="M362" t="s">
        <v>4527</v>
      </c>
      <c r="N362" t="s">
        <v>389</v>
      </c>
      <c r="O362" t="s">
        <v>390</v>
      </c>
      <c r="P362" t="s">
        <v>107</v>
      </c>
      <c r="Q362" t="s">
        <v>2854</v>
      </c>
      <c r="R362" t="s">
        <v>2773</v>
      </c>
      <c r="S362" t="s">
        <v>2774</v>
      </c>
      <c r="T362" t="s">
        <v>184</v>
      </c>
      <c r="U362" t="s">
        <v>112</v>
      </c>
      <c r="V362" t="s">
        <v>82</v>
      </c>
      <c r="W362" t="s">
        <v>2773</v>
      </c>
      <c r="X362" t="s">
        <v>2774</v>
      </c>
      <c r="Y362" t="s">
        <v>184</v>
      </c>
      <c r="Z362" t="s">
        <v>112</v>
      </c>
      <c r="AA362" t="s">
        <v>82</v>
      </c>
      <c r="AB362" t="s">
        <v>83</v>
      </c>
      <c r="AC362" t="s">
        <v>202</v>
      </c>
      <c r="AD362" t="s">
        <v>149</v>
      </c>
      <c r="AE362" t="s">
        <v>4528</v>
      </c>
      <c r="AF362" t="s">
        <v>85</v>
      </c>
      <c r="AG362" t="s">
        <v>4529</v>
      </c>
      <c r="AH362">
        <v>3</v>
      </c>
      <c r="AI362">
        <v>324480</v>
      </c>
      <c r="AJ362">
        <v>39000</v>
      </c>
      <c r="AK362">
        <v>0</v>
      </c>
      <c r="AL362">
        <v>363480</v>
      </c>
      <c r="AM362" t="s">
        <v>4530</v>
      </c>
      <c r="AN362" t="s">
        <v>4531</v>
      </c>
      <c r="AO362" t="s">
        <v>80</v>
      </c>
      <c r="AP362" t="s">
        <v>81</v>
      </c>
      <c r="AQ362" t="s">
        <v>82</v>
      </c>
      <c r="AR362" t="s">
        <v>4532</v>
      </c>
      <c r="AS362" s="3">
        <v>46202.465223658182</v>
      </c>
      <c r="AT362" t="s">
        <v>89</v>
      </c>
      <c r="AU362" t="s">
        <v>90</v>
      </c>
      <c r="AV362" t="s">
        <v>2712</v>
      </c>
      <c r="AW362" t="s">
        <v>92</v>
      </c>
      <c r="AX362" t="s">
        <v>2713</v>
      </c>
      <c r="AY362" t="s">
        <v>94</v>
      </c>
      <c r="AZ362" t="s">
        <v>85</v>
      </c>
      <c r="BA362" t="s">
        <v>4533</v>
      </c>
      <c r="BB362" t="s">
        <v>4522</v>
      </c>
      <c r="BC362" t="s">
        <v>4524</v>
      </c>
      <c r="BD362" t="s">
        <v>2773</v>
      </c>
      <c r="BE362" t="s">
        <v>2774</v>
      </c>
      <c r="BF362" t="b">
        <f t="shared" si="5"/>
        <v>0</v>
      </c>
      <c r="BG362" t="b">
        <v>1</v>
      </c>
      <c r="BH362">
        <v>2021</v>
      </c>
      <c r="BI362" t="b">
        <v>1</v>
      </c>
      <c r="BJ362" t="s">
        <v>2715</v>
      </c>
      <c r="BK362" t="s">
        <v>2779</v>
      </c>
      <c r="BL362" t="b">
        <v>1</v>
      </c>
      <c r="BM362" t="b">
        <v>0</v>
      </c>
      <c r="BN362" t="b">
        <v>0</v>
      </c>
      <c r="BO362" t="s">
        <v>4534</v>
      </c>
      <c r="BP362" t="b">
        <f>IF(IFERROR(VLOOKUP(A362,[1]Planilha1!$A:$A,1,0),FALSE)=FALSE,FALSE,TRUE)</f>
        <v>0</v>
      </c>
    </row>
    <row r="363" spans="1:68" x14ac:dyDescent="0.25">
      <c r="A363" t="s">
        <v>4535</v>
      </c>
      <c r="B363" t="s">
        <v>68</v>
      </c>
      <c r="D363" s="1">
        <v>46204</v>
      </c>
      <c r="E363" s="1">
        <v>47664</v>
      </c>
      <c r="F363" t="s">
        <v>4536</v>
      </c>
      <c r="G363" t="s">
        <v>4537</v>
      </c>
      <c r="H363" s="2" t="s">
        <v>4538</v>
      </c>
      <c r="I363" t="s">
        <v>4537</v>
      </c>
      <c r="K363" t="s">
        <v>4539</v>
      </c>
      <c r="L363">
        <v>5116376</v>
      </c>
      <c r="M363" t="s">
        <v>4540</v>
      </c>
      <c r="N363" t="s">
        <v>4541</v>
      </c>
      <c r="O363" t="s">
        <v>1811</v>
      </c>
      <c r="P363" t="s">
        <v>230</v>
      </c>
      <c r="Q363" t="s">
        <v>4542</v>
      </c>
      <c r="R363" t="s">
        <v>2800</v>
      </c>
      <c r="S363" t="s">
        <v>2801</v>
      </c>
      <c r="T363" t="s">
        <v>111</v>
      </c>
      <c r="U363" t="s">
        <v>112</v>
      </c>
      <c r="V363" t="s">
        <v>82</v>
      </c>
      <c r="W363" t="s">
        <v>2800</v>
      </c>
      <c r="X363" t="s">
        <v>2801</v>
      </c>
      <c r="Y363" t="s">
        <v>111</v>
      </c>
      <c r="Z363" t="s">
        <v>112</v>
      </c>
      <c r="AA363" t="s">
        <v>82</v>
      </c>
      <c r="AB363" t="s">
        <v>83</v>
      </c>
      <c r="AC363" t="s">
        <v>235</v>
      </c>
      <c r="AD363" t="s">
        <v>252</v>
      </c>
      <c r="AE363" t="s">
        <v>4543</v>
      </c>
      <c r="AF363" t="s">
        <v>252</v>
      </c>
      <c r="AG363" t="s">
        <v>4544</v>
      </c>
      <c r="AH363">
        <v>7</v>
      </c>
      <c r="AI363">
        <v>1192100</v>
      </c>
      <c r="AJ363">
        <v>128000</v>
      </c>
      <c r="AK363">
        <v>0</v>
      </c>
      <c r="AL363">
        <v>1320100</v>
      </c>
      <c r="AM363" t="s">
        <v>2800</v>
      </c>
      <c r="AN363" t="s">
        <v>2801</v>
      </c>
      <c r="AO363" t="s">
        <v>111</v>
      </c>
      <c r="AP363" t="s">
        <v>112</v>
      </c>
      <c r="AQ363" t="s">
        <v>82</v>
      </c>
      <c r="AR363" t="s">
        <v>4545</v>
      </c>
      <c r="AS363" s="3">
        <v>46202.465223658182</v>
      </c>
      <c r="AT363" t="s">
        <v>89</v>
      </c>
      <c r="AU363" t="s">
        <v>90</v>
      </c>
      <c r="AV363" t="s">
        <v>2712</v>
      </c>
      <c r="AW363" t="s">
        <v>92</v>
      </c>
      <c r="AX363" t="s">
        <v>2713</v>
      </c>
      <c r="AY363" t="s">
        <v>94</v>
      </c>
      <c r="AZ363" t="s">
        <v>85</v>
      </c>
      <c r="BA363" t="s">
        <v>4546</v>
      </c>
      <c r="BB363" t="s">
        <v>4535</v>
      </c>
      <c r="BC363" t="s">
        <v>4537</v>
      </c>
      <c r="BD363" t="s">
        <v>2800</v>
      </c>
      <c r="BE363" t="s">
        <v>2801</v>
      </c>
      <c r="BF363" t="b">
        <f t="shared" si="5"/>
        <v>1</v>
      </c>
      <c r="BG363" t="b">
        <v>1</v>
      </c>
      <c r="BH363">
        <v>2013</v>
      </c>
      <c r="BI363" t="b">
        <v>1</v>
      </c>
      <c r="BJ363" t="s">
        <v>2715</v>
      </c>
      <c r="BK363" t="s">
        <v>2806</v>
      </c>
      <c r="BL363" t="b">
        <v>1</v>
      </c>
      <c r="BM363" t="b">
        <v>1</v>
      </c>
      <c r="BN363" t="b">
        <v>1</v>
      </c>
      <c r="BO363" t="s">
        <v>4547</v>
      </c>
      <c r="BP363" t="b">
        <f>IF(IFERROR(VLOOKUP(A363,[1]Planilha1!$A:$A,1,0),FALSE)=FALSE,FALSE,TRUE)</f>
        <v>1</v>
      </c>
    </row>
    <row r="364" spans="1:68" x14ac:dyDescent="0.25">
      <c r="A364" t="s">
        <v>4548</v>
      </c>
      <c r="B364" t="s">
        <v>68</v>
      </c>
      <c r="D364" s="1">
        <v>46204</v>
      </c>
      <c r="E364" s="1">
        <v>47664</v>
      </c>
      <c r="F364" t="s">
        <v>4549</v>
      </c>
      <c r="G364" t="s">
        <v>4550</v>
      </c>
      <c r="H364" s="2" t="s">
        <v>4551</v>
      </c>
      <c r="I364" t="s">
        <v>4550</v>
      </c>
      <c r="K364" t="s">
        <v>4552</v>
      </c>
      <c r="L364">
        <v>5116780</v>
      </c>
      <c r="M364" t="s">
        <v>4553</v>
      </c>
      <c r="N364" t="s">
        <v>1576</v>
      </c>
      <c r="O364" t="s">
        <v>1577</v>
      </c>
      <c r="P364" t="s">
        <v>439</v>
      </c>
      <c r="Q364" t="s">
        <v>1578</v>
      </c>
      <c r="R364" t="s">
        <v>2972</v>
      </c>
      <c r="S364" t="s">
        <v>2973</v>
      </c>
      <c r="T364" t="s">
        <v>300</v>
      </c>
      <c r="U364" t="s">
        <v>301</v>
      </c>
      <c r="V364" t="s">
        <v>82</v>
      </c>
      <c r="W364" t="s">
        <v>2972</v>
      </c>
      <c r="X364" t="s">
        <v>2973</v>
      </c>
      <c r="Y364" t="s">
        <v>300</v>
      </c>
      <c r="Z364" t="s">
        <v>301</v>
      </c>
      <c r="AA364" t="s">
        <v>82</v>
      </c>
      <c r="AB364" t="s">
        <v>83</v>
      </c>
      <c r="AC364" t="s">
        <v>1135</v>
      </c>
      <c r="AD364" t="s">
        <v>149</v>
      </c>
      <c r="AE364" t="s">
        <v>4554</v>
      </c>
      <c r="AF364" t="s">
        <v>85</v>
      </c>
      <c r="AG364" t="s">
        <v>4555</v>
      </c>
      <c r="AH364">
        <v>3</v>
      </c>
      <c r="AI364">
        <v>196560</v>
      </c>
      <c r="AJ364">
        <v>26384</v>
      </c>
      <c r="AK364">
        <v>0</v>
      </c>
      <c r="AL364">
        <v>222944</v>
      </c>
      <c r="AM364" t="s">
        <v>2972</v>
      </c>
      <c r="AN364" t="s">
        <v>2973</v>
      </c>
      <c r="AO364" t="s">
        <v>300</v>
      </c>
      <c r="AP364" t="s">
        <v>301</v>
      </c>
      <c r="AQ364" t="s">
        <v>82</v>
      </c>
      <c r="AR364" t="s">
        <v>4556</v>
      </c>
      <c r="AS364" s="3">
        <v>46202.465223658182</v>
      </c>
      <c r="AT364" t="s">
        <v>89</v>
      </c>
      <c r="AU364" t="s">
        <v>90</v>
      </c>
      <c r="AV364" t="s">
        <v>2712</v>
      </c>
      <c r="AW364" t="s">
        <v>92</v>
      </c>
      <c r="AX364" t="s">
        <v>2713</v>
      </c>
      <c r="AY364" t="s">
        <v>94</v>
      </c>
      <c r="AZ364" t="s">
        <v>85</v>
      </c>
      <c r="BA364" t="s">
        <v>4557</v>
      </c>
      <c r="BB364" t="s">
        <v>4548</v>
      </c>
      <c r="BC364" t="s">
        <v>4550</v>
      </c>
      <c r="BD364" t="s">
        <v>2972</v>
      </c>
      <c r="BE364" t="s">
        <v>2973</v>
      </c>
      <c r="BF364" t="b">
        <f t="shared" si="5"/>
        <v>1</v>
      </c>
      <c r="BG364" t="b">
        <v>1</v>
      </c>
      <c r="BH364">
        <v>2023</v>
      </c>
      <c r="BI364" t="b">
        <v>1</v>
      </c>
      <c r="BJ364" t="s">
        <v>2715</v>
      </c>
      <c r="BK364" t="s">
        <v>2978</v>
      </c>
      <c r="BL364" t="b">
        <v>1</v>
      </c>
      <c r="BM364" t="b">
        <v>1</v>
      </c>
      <c r="BN364" t="b">
        <v>1</v>
      </c>
      <c r="BO364" t="s">
        <v>4558</v>
      </c>
      <c r="BP364" t="b">
        <f>IF(IFERROR(VLOOKUP(A364,[1]Planilha1!$A:$A,1,0),FALSE)=FALSE,FALSE,TRUE)</f>
        <v>1</v>
      </c>
    </row>
    <row r="365" spans="1:68" x14ac:dyDescent="0.25">
      <c r="A365" t="s">
        <v>4559</v>
      </c>
      <c r="B365" t="s">
        <v>68</v>
      </c>
      <c r="D365" s="1">
        <v>46204</v>
      </c>
      <c r="E365" s="1">
        <v>47664</v>
      </c>
      <c r="F365" t="s">
        <v>4560</v>
      </c>
      <c r="G365" t="s">
        <v>4561</v>
      </c>
      <c r="H365" s="2" t="s">
        <v>4562</v>
      </c>
      <c r="I365" t="s">
        <v>4561</v>
      </c>
      <c r="K365" t="s">
        <v>4563</v>
      </c>
      <c r="L365">
        <v>5115104</v>
      </c>
      <c r="M365" t="s">
        <v>4564</v>
      </c>
      <c r="N365" t="s">
        <v>214</v>
      </c>
      <c r="O365" t="s">
        <v>215</v>
      </c>
      <c r="P365" t="s">
        <v>76</v>
      </c>
      <c r="Q365" t="s">
        <v>4565</v>
      </c>
      <c r="R365" t="s">
        <v>4566</v>
      </c>
      <c r="S365" t="s">
        <v>4567</v>
      </c>
      <c r="T365" t="s">
        <v>184</v>
      </c>
      <c r="U365" t="s">
        <v>112</v>
      </c>
      <c r="V365" t="s">
        <v>82</v>
      </c>
      <c r="W365" t="s">
        <v>4566</v>
      </c>
      <c r="X365" t="s">
        <v>4567</v>
      </c>
      <c r="Y365" t="s">
        <v>184</v>
      </c>
      <c r="Z365" t="s">
        <v>112</v>
      </c>
      <c r="AA365" t="s">
        <v>82</v>
      </c>
      <c r="AB365" t="s">
        <v>83</v>
      </c>
      <c r="AC365" t="s">
        <v>84</v>
      </c>
      <c r="AD365" t="s">
        <v>238</v>
      </c>
      <c r="AE365" t="s">
        <v>4568</v>
      </c>
      <c r="AF365" t="s">
        <v>238</v>
      </c>
      <c r="AG365" t="s">
        <v>4569</v>
      </c>
      <c r="AH365">
        <v>7</v>
      </c>
      <c r="AI365">
        <v>1297920</v>
      </c>
      <c r="AJ365">
        <v>150000</v>
      </c>
      <c r="AK365">
        <v>0</v>
      </c>
      <c r="AL365">
        <v>1447920</v>
      </c>
      <c r="AM365" t="s">
        <v>4566</v>
      </c>
      <c r="AN365" t="s">
        <v>4567</v>
      </c>
      <c r="AO365" t="s">
        <v>184</v>
      </c>
      <c r="AP365" t="s">
        <v>112</v>
      </c>
      <c r="AQ365" t="s">
        <v>82</v>
      </c>
      <c r="AR365" t="s">
        <v>4570</v>
      </c>
      <c r="AS365" s="3">
        <v>46202.465223658182</v>
      </c>
      <c r="AT365" t="s">
        <v>89</v>
      </c>
      <c r="AU365" t="s">
        <v>90</v>
      </c>
      <c r="AV365" t="s">
        <v>2712</v>
      </c>
      <c r="AW365" t="s">
        <v>92</v>
      </c>
      <c r="AX365" t="s">
        <v>2713</v>
      </c>
      <c r="AY365" t="s">
        <v>94</v>
      </c>
      <c r="AZ365" t="s">
        <v>85</v>
      </c>
      <c r="BA365" t="s">
        <v>4571</v>
      </c>
      <c r="BB365" t="s">
        <v>4559</v>
      </c>
      <c r="BC365" t="s">
        <v>4561</v>
      </c>
      <c r="BD365" t="s">
        <v>4566</v>
      </c>
      <c r="BE365" t="s">
        <v>4567</v>
      </c>
      <c r="BF365" t="b">
        <f t="shared" si="5"/>
        <v>0</v>
      </c>
      <c r="BG365" t="b">
        <v>0</v>
      </c>
      <c r="BH365">
        <v>2002</v>
      </c>
      <c r="BI365" t="b">
        <v>0</v>
      </c>
      <c r="BJ365" t="s">
        <v>2715</v>
      </c>
      <c r="BK365" t="s">
        <v>1911</v>
      </c>
      <c r="BL365" t="b">
        <v>1</v>
      </c>
      <c r="BM365" t="b">
        <v>1</v>
      </c>
      <c r="BN365" t="b">
        <v>1</v>
      </c>
      <c r="BO365" t="s">
        <v>4572</v>
      </c>
      <c r="BP365" t="b">
        <f>IF(IFERROR(VLOOKUP(A365,[1]Planilha1!$A:$A,1,0),FALSE)=FALSE,FALSE,TRUE)</f>
        <v>0</v>
      </c>
    </row>
    <row r="366" spans="1:68" x14ac:dyDescent="0.25">
      <c r="A366" t="s">
        <v>4573</v>
      </c>
      <c r="B366" t="s">
        <v>68</v>
      </c>
      <c r="D366" s="1">
        <v>46204</v>
      </c>
      <c r="E366" s="1">
        <v>47664</v>
      </c>
      <c r="F366" t="s">
        <v>4574</v>
      </c>
      <c r="G366" t="s">
        <v>4575</v>
      </c>
      <c r="H366" s="2" t="s">
        <v>4576</v>
      </c>
      <c r="I366" t="s">
        <v>4575</v>
      </c>
      <c r="K366" t="s">
        <v>4577</v>
      </c>
      <c r="L366">
        <v>5116632</v>
      </c>
      <c r="M366" t="s">
        <v>4578</v>
      </c>
      <c r="N366" t="s">
        <v>1865</v>
      </c>
      <c r="O366" t="s">
        <v>1866</v>
      </c>
      <c r="P366" t="s">
        <v>439</v>
      </c>
      <c r="Q366" t="s">
        <v>4579</v>
      </c>
      <c r="R366" t="s">
        <v>2787</v>
      </c>
      <c r="S366" t="s">
        <v>2788</v>
      </c>
      <c r="T366" t="s">
        <v>111</v>
      </c>
      <c r="U366" t="s">
        <v>112</v>
      </c>
      <c r="V366" t="s">
        <v>82</v>
      </c>
      <c r="W366" t="s">
        <v>2787</v>
      </c>
      <c r="X366" t="s">
        <v>2788</v>
      </c>
      <c r="Y366" t="s">
        <v>111</v>
      </c>
      <c r="Z366" t="s">
        <v>112</v>
      </c>
      <c r="AA366" t="s">
        <v>82</v>
      </c>
      <c r="AB366" t="s">
        <v>83</v>
      </c>
      <c r="AC366" t="s">
        <v>185</v>
      </c>
      <c r="AD366" t="s">
        <v>149</v>
      </c>
      <c r="AE366" t="s">
        <v>4580</v>
      </c>
      <c r="AF366" t="s">
        <v>85</v>
      </c>
      <c r="AG366" t="s">
        <v>4581</v>
      </c>
      <c r="AH366">
        <v>4</v>
      </c>
      <c r="AI366">
        <v>742080</v>
      </c>
      <c r="AJ366">
        <v>106000</v>
      </c>
      <c r="AK366">
        <v>0</v>
      </c>
      <c r="AL366">
        <v>848080</v>
      </c>
      <c r="AM366" t="s">
        <v>2787</v>
      </c>
      <c r="AN366" t="s">
        <v>2788</v>
      </c>
      <c r="AO366" t="s">
        <v>111</v>
      </c>
      <c r="AP366" t="s">
        <v>112</v>
      </c>
      <c r="AQ366" t="s">
        <v>82</v>
      </c>
      <c r="AR366" t="s">
        <v>4582</v>
      </c>
      <c r="AS366" s="3">
        <v>46202.465223658182</v>
      </c>
      <c r="AT366" t="s">
        <v>89</v>
      </c>
      <c r="AU366" t="s">
        <v>90</v>
      </c>
      <c r="AV366" t="s">
        <v>2712</v>
      </c>
      <c r="AW366" t="s">
        <v>92</v>
      </c>
      <c r="AX366" t="s">
        <v>2713</v>
      </c>
      <c r="AY366" t="s">
        <v>94</v>
      </c>
      <c r="AZ366" t="s">
        <v>85</v>
      </c>
      <c r="BA366" t="s">
        <v>4583</v>
      </c>
      <c r="BB366" t="s">
        <v>4573</v>
      </c>
      <c r="BC366" t="s">
        <v>4575</v>
      </c>
      <c r="BD366" t="s">
        <v>2787</v>
      </c>
      <c r="BE366" t="s">
        <v>2788</v>
      </c>
      <c r="BF366" t="b">
        <f t="shared" si="5"/>
        <v>1</v>
      </c>
      <c r="BG366" t="b">
        <v>1</v>
      </c>
      <c r="BH366">
        <v>2020</v>
      </c>
      <c r="BI366" t="b">
        <v>1</v>
      </c>
      <c r="BJ366" t="s">
        <v>2715</v>
      </c>
      <c r="BK366" t="s">
        <v>2716</v>
      </c>
      <c r="BL366" t="b">
        <v>1</v>
      </c>
      <c r="BM366" t="b">
        <v>1</v>
      </c>
      <c r="BN366" t="b">
        <v>1</v>
      </c>
      <c r="BO366" t="s">
        <v>4584</v>
      </c>
      <c r="BP366" t="b">
        <f>IF(IFERROR(VLOOKUP(A366,[1]Planilha1!$A:$A,1,0),FALSE)=FALSE,FALSE,TRUE)</f>
        <v>1</v>
      </c>
    </row>
    <row r="367" spans="1:68" x14ac:dyDescent="0.25">
      <c r="A367" t="s">
        <v>4585</v>
      </c>
      <c r="B367" t="s">
        <v>68</v>
      </c>
      <c r="D367" s="1">
        <v>46204</v>
      </c>
      <c r="E367" s="1">
        <v>47664</v>
      </c>
      <c r="F367" t="s">
        <v>4586</v>
      </c>
      <c r="G367" t="s">
        <v>4587</v>
      </c>
      <c r="H367" s="2" t="s">
        <v>4588</v>
      </c>
      <c r="I367" t="s">
        <v>4587</v>
      </c>
      <c r="K367" t="s">
        <v>4589</v>
      </c>
      <c r="L367">
        <v>5116372</v>
      </c>
      <c r="M367" t="s">
        <v>4590</v>
      </c>
      <c r="N367" t="s">
        <v>249</v>
      </c>
      <c r="O367" t="s">
        <v>250</v>
      </c>
      <c r="P367" t="s">
        <v>76</v>
      </c>
      <c r="Q367" t="s">
        <v>3067</v>
      </c>
      <c r="R367" t="s">
        <v>2707</v>
      </c>
      <c r="S367" t="s">
        <v>2708</v>
      </c>
      <c r="T367" t="s">
        <v>184</v>
      </c>
      <c r="U367" t="s">
        <v>112</v>
      </c>
      <c r="V367" t="s">
        <v>82</v>
      </c>
      <c r="W367" t="s">
        <v>2707</v>
      </c>
      <c r="X367" t="s">
        <v>2708</v>
      </c>
      <c r="Y367" t="s">
        <v>184</v>
      </c>
      <c r="Z367" t="s">
        <v>112</v>
      </c>
      <c r="AA367" t="s">
        <v>82</v>
      </c>
      <c r="AB367" t="s">
        <v>83</v>
      </c>
      <c r="AC367" t="s">
        <v>202</v>
      </c>
      <c r="AD367" t="s">
        <v>252</v>
      </c>
      <c r="AE367" t="s">
        <v>379</v>
      </c>
      <c r="AF367" t="s">
        <v>252</v>
      </c>
      <c r="AG367" t="s">
        <v>1500</v>
      </c>
      <c r="AH367">
        <v>5</v>
      </c>
      <c r="AI367">
        <v>942240</v>
      </c>
      <c r="AJ367">
        <v>104554.67</v>
      </c>
      <c r="AK367">
        <v>0</v>
      </c>
      <c r="AL367">
        <v>1046794.67</v>
      </c>
      <c r="AM367" t="s">
        <v>2707</v>
      </c>
      <c r="AN367" t="s">
        <v>2708</v>
      </c>
      <c r="AO367" t="s">
        <v>184</v>
      </c>
      <c r="AP367" t="s">
        <v>112</v>
      </c>
      <c r="AQ367" t="s">
        <v>82</v>
      </c>
      <c r="AR367" t="s">
        <v>4591</v>
      </c>
      <c r="AS367" s="3">
        <v>46202.465223658182</v>
      </c>
      <c r="AT367" t="s">
        <v>89</v>
      </c>
      <c r="AU367" t="s">
        <v>90</v>
      </c>
      <c r="AV367" t="s">
        <v>2712</v>
      </c>
      <c r="AW367" t="s">
        <v>92</v>
      </c>
      <c r="AX367" t="s">
        <v>2713</v>
      </c>
      <c r="AY367" t="s">
        <v>94</v>
      </c>
      <c r="AZ367" t="s">
        <v>85</v>
      </c>
      <c r="BA367" t="s">
        <v>4592</v>
      </c>
      <c r="BB367" t="s">
        <v>4585</v>
      </c>
      <c r="BC367" t="s">
        <v>4587</v>
      </c>
      <c r="BD367" t="s">
        <v>2707</v>
      </c>
      <c r="BE367" t="s">
        <v>2708</v>
      </c>
      <c r="BF367" t="b">
        <f t="shared" si="5"/>
        <v>1</v>
      </c>
      <c r="BG367" t="b">
        <v>1</v>
      </c>
      <c r="BH367">
        <v>2003</v>
      </c>
      <c r="BI367" t="b">
        <v>1</v>
      </c>
      <c r="BJ367" t="s">
        <v>2715</v>
      </c>
      <c r="BK367" t="s">
        <v>2716</v>
      </c>
      <c r="BL367" t="b">
        <v>1</v>
      </c>
      <c r="BM367" t="b">
        <v>1</v>
      </c>
      <c r="BN367" t="b">
        <v>0</v>
      </c>
      <c r="BO367" t="s">
        <v>4593</v>
      </c>
      <c r="BP367" t="b">
        <f>IF(IFERROR(VLOOKUP(A367,[1]Planilha1!$A:$A,1,0),FALSE)=FALSE,FALSE,TRUE)</f>
        <v>1</v>
      </c>
    </row>
    <row r="368" spans="1:68" x14ac:dyDescent="0.25">
      <c r="A368" t="s">
        <v>4594</v>
      </c>
      <c r="B368" t="s">
        <v>68</v>
      </c>
      <c r="D368" s="1">
        <v>46204</v>
      </c>
      <c r="E368" s="1">
        <v>47664</v>
      </c>
      <c r="F368" t="s">
        <v>4595</v>
      </c>
      <c r="G368" t="s">
        <v>4596</v>
      </c>
      <c r="H368" s="2" t="s">
        <v>4597</v>
      </c>
      <c r="I368" t="s">
        <v>4596</v>
      </c>
      <c r="K368" t="s">
        <v>4598</v>
      </c>
      <c r="L368">
        <v>5116754</v>
      </c>
      <c r="M368" t="s">
        <v>4599</v>
      </c>
      <c r="N368" t="s">
        <v>2109</v>
      </c>
      <c r="O368" t="s">
        <v>2018</v>
      </c>
      <c r="P368" t="s">
        <v>230</v>
      </c>
      <c r="Q368" t="s">
        <v>4067</v>
      </c>
      <c r="R368" t="s">
        <v>2972</v>
      </c>
      <c r="S368" t="s">
        <v>2973</v>
      </c>
      <c r="T368" t="s">
        <v>300</v>
      </c>
      <c r="U368" t="s">
        <v>301</v>
      </c>
      <c r="V368" t="s">
        <v>82</v>
      </c>
      <c r="W368" t="s">
        <v>2972</v>
      </c>
      <c r="X368" t="s">
        <v>2973</v>
      </c>
      <c r="Y368" t="s">
        <v>300</v>
      </c>
      <c r="Z368" t="s">
        <v>301</v>
      </c>
      <c r="AA368" t="s">
        <v>82</v>
      </c>
      <c r="AB368" t="s">
        <v>83</v>
      </c>
      <c r="AC368" t="s">
        <v>1013</v>
      </c>
      <c r="AD368" t="s">
        <v>85</v>
      </c>
      <c r="AE368" t="s">
        <v>4600</v>
      </c>
      <c r="AF368" t="s">
        <v>85</v>
      </c>
      <c r="AG368" t="s">
        <v>4601</v>
      </c>
      <c r="AH368">
        <v>4</v>
      </c>
      <c r="AI368">
        <v>599040</v>
      </c>
      <c r="AJ368">
        <v>85400</v>
      </c>
      <c r="AK368">
        <v>0</v>
      </c>
      <c r="AL368">
        <v>684440</v>
      </c>
      <c r="AM368" t="s">
        <v>2972</v>
      </c>
      <c r="AN368" t="s">
        <v>2973</v>
      </c>
      <c r="AO368" t="s">
        <v>300</v>
      </c>
      <c r="AP368" t="s">
        <v>301</v>
      </c>
      <c r="AQ368" t="s">
        <v>82</v>
      </c>
      <c r="AR368" t="s">
        <v>4602</v>
      </c>
      <c r="AS368" s="3">
        <v>46202.465223658182</v>
      </c>
      <c r="AT368" t="s">
        <v>89</v>
      </c>
      <c r="AU368" t="s">
        <v>90</v>
      </c>
      <c r="AV368" t="s">
        <v>2712</v>
      </c>
      <c r="AW368" t="s">
        <v>92</v>
      </c>
      <c r="AX368" t="s">
        <v>2713</v>
      </c>
      <c r="AY368" t="s">
        <v>94</v>
      </c>
      <c r="AZ368" t="s">
        <v>85</v>
      </c>
      <c r="BA368" t="s">
        <v>4603</v>
      </c>
      <c r="BB368" t="s">
        <v>4594</v>
      </c>
      <c r="BC368" t="s">
        <v>4596</v>
      </c>
      <c r="BD368" t="s">
        <v>2972</v>
      </c>
      <c r="BE368" t="s">
        <v>2973</v>
      </c>
      <c r="BF368" t="b">
        <f t="shared" si="5"/>
        <v>1</v>
      </c>
      <c r="BG368" t="b">
        <v>1</v>
      </c>
      <c r="BH368">
        <v>2018</v>
      </c>
      <c r="BI368" t="b">
        <v>1</v>
      </c>
      <c r="BJ368" t="s">
        <v>2715</v>
      </c>
      <c r="BK368" t="s">
        <v>2978</v>
      </c>
      <c r="BL368" t="b">
        <v>1</v>
      </c>
      <c r="BM368" t="b">
        <v>1</v>
      </c>
      <c r="BN368" t="b">
        <v>1</v>
      </c>
      <c r="BO368" t="s">
        <v>4604</v>
      </c>
      <c r="BP368" t="b">
        <f>IF(IFERROR(VLOOKUP(A368,[1]Planilha1!$A:$A,1,0),FALSE)=FALSE,FALSE,TRUE)</f>
        <v>1</v>
      </c>
    </row>
    <row r="369" spans="1:68" x14ac:dyDescent="0.25">
      <c r="A369" t="s">
        <v>4605</v>
      </c>
      <c r="B369" t="s">
        <v>68</v>
      </c>
      <c r="D369" s="1">
        <v>46204</v>
      </c>
      <c r="E369" s="1">
        <v>47664</v>
      </c>
      <c r="F369" t="s">
        <v>4606</v>
      </c>
      <c r="G369" t="s">
        <v>4607</v>
      </c>
      <c r="H369" s="2" t="s">
        <v>4608</v>
      </c>
      <c r="I369" t="s">
        <v>4607</v>
      </c>
      <c r="K369" t="s">
        <v>4609</v>
      </c>
      <c r="L369">
        <v>5116368</v>
      </c>
      <c r="M369" t="s">
        <v>4610</v>
      </c>
      <c r="N369" t="s">
        <v>161</v>
      </c>
      <c r="O369" t="s">
        <v>162</v>
      </c>
      <c r="P369" t="s">
        <v>76</v>
      </c>
      <c r="Q369" t="s">
        <v>1277</v>
      </c>
      <c r="R369" t="s">
        <v>2707</v>
      </c>
      <c r="S369" t="s">
        <v>2708</v>
      </c>
      <c r="T369" t="s">
        <v>184</v>
      </c>
      <c r="U369" t="s">
        <v>112</v>
      </c>
      <c r="V369" t="s">
        <v>82</v>
      </c>
      <c r="W369" t="s">
        <v>2707</v>
      </c>
      <c r="X369" t="s">
        <v>2708</v>
      </c>
      <c r="Y369" t="s">
        <v>184</v>
      </c>
      <c r="Z369" t="s">
        <v>112</v>
      </c>
      <c r="AA369" t="s">
        <v>82</v>
      </c>
      <c r="AB369" t="s">
        <v>83</v>
      </c>
      <c r="AC369" t="s">
        <v>166</v>
      </c>
      <c r="AD369" t="s">
        <v>252</v>
      </c>
      <c r="AE369" t="s">
        <v>4611</v>
      </c>
      <c r="AF369" t="s">
        <v>252</v>
      </c>
      <c r="AG369" t="s">
        <v>4612</v>
      </c>
      <c r="AH369">
        <v>5</v>
      </c>
      <c r="AI369">
        <v>998400</v>
      </c>
      <c r="AJ369">
        <v>108160</v>
      </c>
      <c r="AK369">
        <v>0</v>
      </c>
      <c r="AL369">
        <v>1106560</v>
      </c>
      <c r="AM369" t="s">
        <v>2707</v>
      </c>
      <c r="AN369" t="s">
        <v>2708</v>
      </c>
      <c r="AO369" t="s">
        <v>184</v>
      </c>
      <c r="AP369" t="s">
        <v>112</v>
      </c>
      <c r="AQ369" t="s">
        <v>82</v>
      </c>
      <c r="AR369" t="s">
        <v>4613</v>
      </c>
      <c r="AS369" s="3">
        <v>46202.465223658182</v>
      </c>
      <c r="AT369" t="s">
        <v>89</v>
      </c>
      <c r="AU369" t="s">
        <v>90</v>
      </c>
      <c r="AV369" t="s">
        <v>2712</v>
      </c>
      <c r="AW369" t="s">
        <v>92</v>
      </c>
      <c r="AX369" t="s">
        <v>2713</v>
      </c>
      <c r="AY369" t="s">
        <v>94</v>
      </c>
      <c r="AZ369" t="s">
        <v>85</v>
      </c>
      <c r="BA369" t="s">
        <v>4614</v>
      </c>
      <c r="BB369" t="s">
        <v>4605</v>
      </c>
      <c r="BC369" t="s">
        <v>4607</v>
      </c>
      <c r="BD369" t="s">
        <v>2707</v>
      </c>
      <c r="BE369" t="s">
        <v>2708</v>
      </c>
      <c r="BF369" t="b">
        <f t="shared" si="5"/>
        <v>1</v>
      </c>
      <c r="BG369" t="b">
        <v>1</v>
      </c>
      <c r="BH369">
        <v>2004</v>
      </c>
      <c r="BI369" t="b">
        <v>1</v>
      </c>
      <c r="BJ369" t="s">
        <v>2715</v>
      </c>
      <c r="BK369" t="s">
        <v>2716</v>
      </c>
      <c r="BL369" t="b">
        <v>1</v>
      </c>
      <c r="BM369" t="b">
        <v>1</v>
      </c>
      <c r="BN369" t="b">
        <v>1</v>
      </c>
      <c r="BO369" t="s">
        <v>4615</v>
      </c>
      <c r="BP369" t="b">
        <f>IF(IFERROR(VLOOKUP(A369,[1]Planilha1!$A:$A,1,0),FALSE)=FALSE,FALSE,TRUE)</f>
        <v>1</v>
      </c>
    </row>
    <row r="370" spans="1:68" x14ac:dyDescent="0.25">
      <c r="A370" t="s">
        <v>4616</v>
      </c>
      <c r="B370" t="s">
        <v>68</v>
      </c>
      <c r="D370" s="1">
        <v>46204</v>
      </c>
      <c r="E370" s="1">
        <v>47664</v>
      </c>
      <c r="F370" t="s">
        <v>4617</v>
      </c>
      <c r="G370" t="s">
        <v>4618</v>
      </c>
      <c r="H370" s="2" t="s">
        <v>4619</v>
      </c>
      <c r="I370" t="s">
        <v>4618</v>
      </c>
      <c r="K370" t="s">
        <v>4620</v>
      </c>
      <c r="L370">
        <v>5116818</v>
      </c>
      <c r="M370" t="s">
        <v>4621</v>
      </c>
      <c r="N370" t="s">
        <v>2109</v>
      </c>
      <c r="O370" t="s">
        <v>2018</v>
      </c>
      <c r="P370" t="s">
        <v>230</v>
      </c>
      <c r="Q370" t="s">
        <v>2110</v>
      </c>
      <c r="R370" t="s">
        <v>2972</v>
      </c>
      <c r="S370" t="s">
        <v>2973</v>
      </c>
      <c r="T370" t="s">
        <v>300</v>
      </c>
      <c r="U370" t="s">
        <v>301</v>
      </c>
      <c r="V370" t="s">
        <v>82</v>
      </c>
      <c r="W370" t="s">
        <v>2972</v>
      </c>
      <c r="X370" t="s">
        <v>2973</v>
      </c>
      <c r="Y370" t="s">
        <v>300</v>
      </c>
      <c r="Z370" t="s">
        <v>301</v>
      </c>
      <c r="AA370" t="s">
        <v>82</v>
      </c>
      <c r="AB370" t="s">
        <v>83</v>
      </c>
      <c r="AC370" t="s">
        <v>1013</v>
      </c>
      <c r="AD370" t="s">
        <v>85</v>
      </c>
      <c r="AE370" t="s">
        <v>4622</v>
      </c>
      <c r="AF370" t="s">
        <v>85</v>
      </c>
      <c r="AG370" t="s">
        <v>4623</v>
      </c>
      <c r="AH370">
        <v>5</v>
      </c>
      <c r="AI370">
        <v>798720</v>
      </c>
      <c r="AJ370">
        <v>115371</v>
      </c>
      <c r="AK370">
        <v>0</v>
      </c>
      <c r="AL370">
        <v>914091</v>
      </c>
      <c r="AM370" t="s">
        <v>2972</v>
      </c>
      <c r="AN370" t="s">
        <v>2973</v>
      </c>
      <c r="AO370" t="s">
        <v>300</v>
      </c>
      <c r="AP370" t="s">
        <v>301</v>
      </c>
      <c r="AQ370" t="s">
        <v>82</v>
      </c>
      <c r="AR370" t="s">
        <v>4624</v>
      </c>
      <c r="AS370" s="3">
        <v>46202.465223658182</v>
      </c>
      <c r="AT370" t="s">
        <v>89</v>
      </c>
      <c r="AU370" t="s">
        <v>90</v>
      </c>
      <c r="AV370" t="s">
        <v>2712</v>
      </c>
      <c r="AW370" t="s">
        <v>92</v>
      </c>
      <c r="AX370" t="s">
        <v>2713</v>
      </c>
      <c r="AY370" t="s">
        <v>94</v>
      </c>
      <c r="AZ370" t="s">
        <v>85</v>
      </c>
      <c r="BA370" t="s">
        <v>4625</v>
      </c>
      <c r="BB370" t="s">
        <v>4616</v>
      </c>
      <c r="BC370" t="s">
        <v>4618</v>
      </c>
      <c r="BD370" t="s">
        <v>2972</v>
      </c>
      <c r="BE370" t="s">
        <v>2973</v>
      </c>
      <c r="BF370" t="b">
        <f t="shared" si="5"/>
        <v>0</v>
      </c>
      <c r="BG370" t="b">
        <v>1</v>
      </c>
      <c r="BH370">
        <v>2022</v>
      </c>
      <c r="BI370" t="b">
        <v>0</v>
      </c>
      <c r="BJ370" t="s">
        <v>2715</v>
      </c>
      <c r="BK370" t="s">
        <v>2978</v>
      </c>
      <c r="BL370" t="b">
        <v>1</v>
      </c>
      <c r="BM370" t="b">
        <v>1</v>
      </c>
      <c r="BN370" t="b">
        <v>1</v>
      </c>
      <c r="BO370" t="s">
        <v>4626</v>
      </c>
      <c r="BP370" t="b">
        <f>IF(IFERROR(VLOOKUP(A370,[1]Planilha1!$A:$A,1,0),FALSE)=FALSE,FALSE,TRUE)</f>
        <v>0</v>
      </c>
    </row>
    <row r="371" spans="1:68" x14ac:dyDescent="0.25">
      <c r="A371" t="s">
        <v>4627</v>
      </c>
      <c r="B371" t="s">
        <v>68</v>
      </c>
      <c r="D371" s="1">
        <v>46204</v>
      </c>
      <c r="E371" s="1">
        <v>47664</v>
      </c>
      <c r="F371" t="s">
        <v>4628</v>
      </c>
      <c r="G371" t="s">
        <v>4629</v>
      </c>
      <c r="H371" s="2" t="s">
        <v>4630</v>
      </c>
      <c r="I371" t="s">
        <v>4629</v>
      </c>
      <c r="K371" t="s">
        <v>4631</v>
      </c>
      <c r="L371">
        <v>5116873</v>
      </c>
      <c r="M371" t="s">
        <v>4632</v>
      </c>
      <c r="N371" t="s">
        <v>2109</v>
      </c>
      <c r="O371" t="s">
        <v>2018</v>
      </c>
      <c r="P371" t="s">
        <v>230</v>
      </c>
      <c r="Q371" t="s">
        <v>3231</v>
      </c>
      <c r="R371" t="s">
        <v>2972</v>
      </c>
      <c r="S371" t="s">
        <v>2973</v>
      </c>
      <c r="T371" t="s">
        <v>300</v>
      </c>
      <c r="U371" t="s">
        <v>301</v>
      </c>
      <c r="V371" t="s">
        <v>82</v>
      </c>
      <c r="W371" t="s">
        <v>2972</v>
      </c>
      <c r="X371" t="s">
        <v>2973</v>
      </c>
      <c r="Y371" t="s">
        <v>300</v>
      </c>
      <c r="Z371" t="s">
        <v>301</v>
      </c>
      <c r="AA371" t="s">
        <v>82</v>
      </c>
      <c r="AB371" t="s">
        <v>83</v>
      </c>
      <c r="AC371" t="s">
        <v>1013</v>
      </c>
      <c r="AD371" t="s">
        <v>85</v>
      </c>
      <c r="AE371" t="s">
        <v>4633</v>
      </c>
      <c r="AF371" t="s">
        <v>85</v>
      </c>
      <c r="AG371" t="s">
        <v>4634</v>
      </c>
      <c r="AH371">
        <v>8</v>
      </c>
      <c r="AI371">
        <v>1235520</v>
      </c>
      <c r="AJ371">
        <v>136470.39999999999</v>
      </c>
      <c r="AK371">
        <v>0</v>
      </c>
      <c r="AL371">
        <v>1371990.4</v>
      </c>
      <c r="AM371" t="s">
        <v>2972</v>
      </c>
      <c r="AN371" t="s">
        <v>2973</v>
      </c>
      <c r="AO371" t="s">
        <v>300</v>
      </c>
      <c r="AP371" t="s">
        <v>301</v>
      </c>
      <c r="AQ371" t="s">
        <v>82</v>
      </c>
      <c r="AR371" t="s">
        <v>4635</v>
      </c>
      <c r="AS371" s="3">
        <v>46202.465223658182</v>
      </c>
      <c r="AT371" t="s">
        <v>89</v>
      </c>
      <c r="AU371" t="s">
        <v>90</v>
      </c>
      <c r="AV371" t="s">
        <v>2712</v>
      </c>
      <c r="AW371" t="s">
        <v>92</v>
      </c>
      <c r="AX371" t="s">
        <v>2713</v>
      </c>
      <c r="AY371" t="s">
        <v>94</v>
      </c>
      <c r="AZ371" t="s">
        <v>85</v>
      </c>
      <c r="BA371" t="s">
        <v>4636</v>
      </c>
      <c r="BB371" t="s">
        <v>4627</v>
      </c>
      <c r="BC371" t="s">
        <v>4629</v>
      </c>
      <c r="BD371" t="s">
        <v>2972</v>
      </c>
      <c r="BE371" t="s">
        <v>2973</v>
      </c>
      <c r="BF371" t="b">
        <f t="shared" si="5"/>
        <v>0</v>
      </c>
      <c r="BG371" t="b">
        <v>1</v>
      </c>
      <c r="BH371">
        <v>2019</v>
      </c>
      <c r="BI371" t="b">
        <v>0</v>
      </c>
      <c r="BJ371" t="s">
        <v>2715</v>
      </c>
      <c r="BK371" t="s">
        <v>2978</v>
      </c>
      <c r="BL371" t="b">
        <v>1</v>
      </c>
      <c r="BM371" t="b">
        <v>1</v>
      </c>
      <c r="BN371" t="b">
        <v>1</v>
      </c>
      <c r="BO371" t="s">
        <v>4637</v>
      </c>
      <c r="BP371" t="b">
        <f>IF(IFERROR(VLOOKUP(A371,[1]Planilha1!$A:$A,1,0),FALSE)=FALSE,FALSE,TRUE)</f>
        <v>0</v>
      </c>
    </row>
    <row r="372" spans="1:68" x14ac:dyDescent="0.25">
      <c r="A372" t="s">
        <v>4638</v>
      </c>
      <c r="B372" t="s">
        <v>68</v>
      </c>
      <c r="D372" s="1">
        <v>46204</v>
      </c>
      <c r="E372" s="1">
        <v>47664</v>
      </c>
      <c r="F372" t="s">
        <v>4639</v>
      </c>
      <c r="G372" t="s">
        <v>4640</v>
      </c>
      <c r="H372" s="2" t="s">
        <v>4641</v>
      </c>
      <c r="I372" t="s">
        <v>4640</v>
      </c>
      <c r="K372" t="s">
        <v>4642</v>
      </c>
      <c r="L372">
        <v>5116904</v>
      </c>
      <c r="M372" t="s">
        <v>4643</v>
      </c>
      <c r="N372" t="s">
        <v>328</v>
      </c>
      <c r="O372" t="s">
        <v>329</v>
      </c>
      <c r="P372" t="s">
        <v>439</v>
      </c>
      <c r="Q372" t="s">
        <v>440</v>
      </c>
      <c r="R372" t="s">
        <v>4644</v>
      </c>
      <c r="S372" t="s">
        <v>4645</v>
      </c>
      <c r="T372" t="s">
        <v>1537</v>
      </c>
      <c r="U372" t="s">
        <v>769</v>
      </c>
      <c r="V372" t="s">
        <v>82</v>
      </c>
      <c r="W372" t="s">
        <v>4646</v>
      </c>
      <c r="X372" t="s">
        <v>4647</v>
      </c>
      <c r="Y372" t="s">
        <v>1537</v>
      </c>
      <c r="Z372" t="s">
        <v>769</v>
      </c>
      <c r="AA372" t="s">
        <v>82</v>
      </c>
      <c r="AB372" t="s">
        <v>83</v>
      </c>
      <c r="AC372" t="s">
        <v>333</v>
      </c>
      <c r="AD372" t="s">
        <v>85</v>
      </c>
      <c r="AE372" t="s">
        <v>4648</v>
      </c>
      <c r="AF372" t="s">
        <v>85</v>
      </c>
      <c r="AG372" t="s">
        <v>4649</v>
      </c>
      <c r="AH372">
        <v>25</v>
      </c>
      <c r="AI372">
        <v>1353120</v>
      </c>
      <c r="AJ372">
        <v>146880</v>
      </c>
      <c r="AK372">
        <v>0</v>
      </c>
      <c r="AL372">
        <v>1500000</v>
      </c>
      <c r="AR372" t="s">
        <v>4650</v>
      </c>
      <c r="AS372" s="3">
        <v>46202.465223658182</v>
      </c>
      <c r="AT372" t="s">
        <v>89</v>
      </c>
      <c r="AU372" t="s">
        <v>90</v>
      </c>
      <c r="AV372" t="s">
        <v>2712</v>
      </c>
      <c r="AW372" t="s">
        <v>92</v>
      </c>
      <c r="AX372" t="s">
        <v>2713</v>
      </c>
      <c r="AY372" t="s">
        <v>94</v>
      </c>
      <c r="AZ372" t="s">
        <v>85</v>
      </c>
      <c r="BA372" t="s">
        <v>4651</v>
      </c>
      <c r="BB372" t="s">
        <v>4638</v>
      </c>
      <c r="BC372" t="s">
        <v>4640</v>
      </c>
      <c r="BD372" t="s">
        <v>4646</v>
      </c>
      <c r="BE372" t="s">
        <v>4647</v>
      </c>
      <c r="BF372" t="b">
        <f t="shared" si="5"/>
        <v>0</v>
      </c>
      <c r="BG372" t="b">
        <v>0</v>
      </c>
      <c r="BH372">
        <v>2023</v>
      </c>
      <c r="BI372" t="b">
        <v>0</v>
      </c>
      <c r="BJ372" t="s">
        <v>2715</v>
      </c>
      <c r="BK372" t="s">
        <v>1911</v>
      </c>
      <c r="BL372" t="b">
        <v>1</v>
      </c>
      <c r="BM372" t="b">
        <v>1</v>
      </c>
      <c r="BN372" t="b">
        <v>1</v>
      </c>
      <c r="BO372" t="s">
        <v>4652</v>
      </c>
      <c r="BP372" t="b">
        <f>IF(IFERROR(VLOOKUP(A372,[1]Planilha1!$A:$A,1,0),FALSE)=FALSE,FALSE,TRUE)</f>
        <v>0</v>
      </c>
    </row>
    <row r="373" spans="1:68" x14ac:dyDescent="0.25">
      <c r="A373" t="s">
        <v>4653</v>
      </c>
      <c r="B373" t="s">
        <v>68</v>
      </c>
      <c r="D373" s="1">
        <v>46204</v>
      </c>
      <c r="E373" s="1">
        <v>47664</v>
      </c>
      <c r="F373" t="s">
        <v>4654</v>
      </c>
      <c r="G373" t="s">
        <v>4655</v>
      </c>
      <c r="H373" s="2" t="s">
        <v>4656</v>
      </c>
      <c r="I373" t="s">
        <v>4655</v>
      </c>
      <c r="K373" t="s">
        <v>4657</v>
      </c>
      <c r="L373">
        <v>5116468</v>
      </c>
      <c r="M373" t="s">
        <v>4658</v>
      </c>
      <c r="N373" t="s">
        <v>389</v>
      </c>
      <c r="O373" t="s">
        <v>390</v>
      </c>
      <c r="P373" t="s">
        <v>107</v>
      </c>
      <c r="Q373" t="s">
        <v>2097</v>
      </c>
      <c r="R373" t="s">
        <v>2773</v>
      </c>
      <c r="S373" t="s">
        <v>2774</v>
      </c>
      <c r="T373" t="s">
        <v>184</v>
      </c>
      <c r="U373" t="s">
        <v>112</v>
      </c>
      <c r="V373" t="s">
        <v>82</v>
      </c>
      <c r="W373" t="s">
        <v>2773</v>
      </c>
      <c r="X373" t="s">
        <v>2774</v>
      </c>
      <c r="Y373" t="s">
        <v>184</v>
      </c>
      <c r="Z373" t="s">
        <v>112</v>
      </c>
      <c r="AA373" t="s">
        <v>82</v>
      </c>
      <c r="AB373" t="s">
        <v>83</v>
      </c>
      <c r="AC373" t="s">
        <v>202</v>
      </c>
      <c r="AD373" t="s">
        <v>252</v>
      </c>
      <c r="AE373" t="s">
        <v>4659</v>
      </c>
      <c r="AF373" t="s">
        <v>252</v>
      </c>
      <c r="AG373" t="s">
        <v>4660</v>
      </c>
      <c r="AH373">
        <v>9</v>
      </c>
      <c r="AI373">
        <v>1306890</v>
      </c>
      <c r="AJ373">
        <v>145114.67000000001</v>
      </c>
      <c r="AK373">
        <v>0</v>
      </c>
      <c r="AL373">
        <v>1452004.67</v>
      </c>
      <c r="AM373" t="s">
        <v>2773</v>
      </c>
      <c r="AN373" t="s">
        <v>2774</v>
      </c>
      <c r="AO373" t="s">
        <v>184</v>
      </c>
      <c r="AP373" t="s">
        <v>112</v>
      </c>
      <c r="AQ373" t="s">
        <v>82</v>
      </c>
      <c r="AR373" t="s">
        <v>4661</v>
      </c>
      <c r="AS373" s="3">
        <v>46202.465223658182</v>
      </c>
      <c r="AT373" t="s">
        <v>89</v>
      </c>
      <c r="AU373" t="s">
        <v>90</v>
      </c>
      <c r="AV373" t="s">
        <v>2712</v>
      </c>
      <c r="AW373" t="s">
        <v>92</v>
      </c>
      <c r="AX373" t="s">
        <v>2713</v>
      </c>
      <c r="AY373" t="s">
        <v>94</v>
      </c>
      <c r="AZ373" t="s">
        <v>85</v>
      </c>
      <c r="BA373" t="s">
        <v>4662</v>
      </c>
      <c r="BB373" t="s">
        <v>4653</v>
      </c>
      <c r="BC373" t="s">
        <v>4655</v>
      </c>
      <c r="BD373" t="s">
        <v>2773</v>
      </c>
      <c r="BE373" t="s">
        <v>2774</v>
      </c>
      <c r="BF373" t="b">
        <f t="shared" si="5"/>
        <v>1</v>
      </c>
      <c r="BG373" t="b">
        <v>1</v>
      </c>
      <c r="BH373">
        <v>2008</v>
      </c>
      <c r="BI373" t="b">
        <v>1</v>
      </c>
      <c r="BJ373" t="s">
        <v>2715</v>
      </c>
      <c r="BK373" t="s">
        <v>2779</v>
      </c>
      <c r="BL373" t="b">
        <v>1</v>
      </c>
      <c r="BM373" t="b">
        <v>1</v>
      </c>
      <c r="BN373" t="b">
        <v>1</v>
      </c>
      <c r="BO373" t="s">
        <v>2780</v>
      </c>
      <c r="BP373" t="b">
        <f>IF(IFERROR(VLOOKUP(A373,[1]Planilha1!$A:$A,1,0),FALSE)=FALSE,FALSE,TRUE)</f>
        <v>1</v>
      </c>
    </row>
    <row r="374" spans="1:68" x14ac:dyDescent="0.25">
      <c r="A374" t="s">
        <v>4663</v>
      </c>
      <c r="B374" t="s">
        <v>68</v>
      </c>
      <c r="D374" s="1">
        <v>46204</v>
      </c>
      <c r="E374" s="1">
        <v>47664</v>
      </c>
      <c r="F374" t="s">
        <v>4664</v>
      </c>
      <c r="G374" t="s">
        <v>4665</v>
      </c>
      <c r="H374" s="2" t="s">
        <v>4666</v>
      </c>
      <c r="I374" t="s">
        <v>4665</v>
      </c>
      <c r="K374" t="s">
        <v>4667</v>
      </c>
      <c r="L374">
        <v>5116479</v>
      </c>
      <c r="M374" t="s">
        <v>4668</v>
      </c>
      <c r="N374" t="s">
        <v>295</v>
      </c>
      <c r="O374" t="s">
        <v>296</v>
      </c>
      <c r="P374" t="s">
        <v>129</v>
      </c>
      <c r="Q374" t="s">
        <v>2667</v>
      </c>
      <c r="R374" t="s">
        <v>331</v>
      </c>
      <c r="S374" t="s">
        <v>332</v>
      </c>
      <c r="T374" t="s">
        <v>111</v>
      </c>
      <c r="U374" t="s">
        <v>112</v>
      </c>
      <c r="V374" t="s">
        <v>82</v>
      </c>
      <c r="W374" t="s">
        <v>331</v>
      </c>
      <c r="X374" t="s">
        <v>332</v>
      </c>
      <c r="Y374" t="s">
        <v>111</v>
      </c>
      <c r="Z374" t="s">
        <v>112</v>
      </c>
      <c r="AA374" t="s">
        <v>82</v>
      </c>
      <c r="AB374" t="s">
        <v>83</v>
      </c>
      <c r="AC374" t="s">
        <v>135</v>
      </c>
      <c r="AD374" t="s">
        <v>252</v>
      </c>
      <c r="AE374" t="s">
        <v>4669</v>
      </c>
      <c r="AF374" t="s">
        <v>252</v>
      </c>
      <c r="AG374" t="s">
        <v>4670</v>
      </c>
      <c r="AH374">
        <v>13</v>
      </c>
      <c r="AI374">
        <v>1054560</v>
      </c>
      <c r="AJ374">
        <v>129072</v>
      </c>
      <c r="AK374">
        <v>0</v>
      </c>
      <c r="AL374">
        <v>1183632</v>
      </c>
      <c r="AM374" t="s">
        <v>331</v>
      </c>
      <c r="AN374" t="s">
        <v>332</v>
      </c>
      <c r="AO374" t="s">
        <v>111</v>
      </c>
      <c r="AP374" t="s">
        <v>112</v>
      </c>
      <c r="AQ374" t="s">
        <v>82</v>
      </c>
      <c r="AR374" t="s">
        <v>4671</v>
      </c>
      <c r="AS374" s="3">
        <v>46202.465223999308</v>
      </c>
      <c r="AT374" t="s">
        <v>89</v>
      </c>
      <c r="AU374" t="s">
        <v>90</v>
      </c>
      <c r="AV374" t="s">
        <v>91</v>
      </c>
      <c r="AW374" t="s">
        <v>92</v>
      </c>
      <c r="AX374" t="s">
        <v>93</v>
      </c>
      <c r="AY374" t="s">
        <v>94</v>
      </c>
      <c r="AZ374" t="s">
        <v>85</v>
      </c>
      <c r="BA374" t="s">
        <v>4672</v>
      </c>
      <c r="BB374" t="s">
        <v>4663</v>
      </c>
      <c r="BC374" t="s">
        <v>4665</v>
      </c>
      <c r="BD374" t="s">
        <v>331</v>
      </c>
      <c r="BE374" t="s">
        <v>332</v>
      </c>
      <c r="BF374" t="b">
        <f t="shared" si="5"/>
        <v>1</v>
      </c>
      <c r="BG374" t="b">
        <v>1</v>
      </c>
      <c r="BH374">
        <v>2012</v>
      </c>
      <c r="BI374" t="b">
        <v>1</v>
      </c>
      <c r="BJ374" t="s">
        <v>96</v>
      </c>
      <c r="BK374" t="s">
        <v>338</v>
      </c>
      <c r="BL374" t="b">
        <v>1</v>
      </c>
      <c r="BM374" t="b">
        <v>1</v>
      </c>
      <c r="BN374" t="b">
        <v>1</v>
      </c>
      <c r="BO374" t="s">
        <v>4673</v>
      </c>
      <c r="BP374" t="b">
        <f>IF(IFERROR(VLOOKUP(A374,[1]Planilha1!$A:$A,1,0),FALSE)=FALSE,FALSE,TRUE)</f>
        <v>1</v>
      </c>
    </row>
    <row r="375" spans="1:68" x14ac:dyDescent="0.25">
      <c r="A375" t="s">
        <v>4674</v>
      </c>
      <c r="B375" t="s">
        <v>68</v>
      </c>
      <c r="D375" s="1">
        <v>46204</v>
      </c>
      <c r="E375" s="1">
        <v>47664</v>
      </c>
      <c r="F375" t="s">
        <v>4675</v>
      </c>
      <c r="G375" t="s">
        <v>4676</v>
      </c>
      <c r="H375" s="2" t="s">
        <v>4677</v>
      </c>
      <c r="I375" t="s">
        <v>4676</v>
      </c>
      <c r="K375" t="s">
        <v>4678</v>
      </c>
      <c r="L375">
        <v>5116609</v>
      </c>
      <c r="M375" t="s">
        <v>4679</v>
      </c>
      <c r="N375" t="s">
        <v>359</v>
      </c>
      <c r="O375" t="s">
        <v>360</v>
      </c>
      <c r="P375" t="s">
        <v>129</v>
      </c>
      <c r="Q375" t="s">
        <v>1767</v>
      </c>
      <c r="R375" t="s">
        <v>331</v>
      </c>
      <c r="S375" t="s">
        <v>332</v>
      </c>
      <c r="T375" t="s">
        <v>111</v>
      </c>
      <c r="U375" t="s">
        <v>112</v>
      </c>
      <c r="V375" t="s">
        <v>82</v>
      </c>
      <c r="W375" t="s">
        <v>331</v>
      </c>
      <c r="X375" t="s">
        <v>332</v>
      </c>
      <c r="Y375" t="s">
        <v>111</v>
      </c>
      <c r="Z375" t="s">
        <v>112</v>
      </c>
      <c r="AA375" t="s">
        <v>82</v>
      </c>
      <c r="AB375" t="s">
        <v>83</v>
      </c>
      <c r="AC375" t="s">
        <v>185</v>
      </c>
      <c r="AD375" t="s">
        <v>149</v>
      </c>
      <c r="AE375" t="s">
        <v>4680</v>
      </c>
      <c r="AF375" t="s">
        <v>85</v>
      </c>
      <c r="AG375" t="s">
        <v>4681</v>
      </c>
      <c r="AH375">
        <v>6</v>
      </c>
      <c r="AI375">
        <v>917280</v>
      </c>
      <c r="AJ375">
        <v>130140</v>
      </c>
      <c r="AK375">
        <v>0</v>
      </c>
      <c r="AL375">
        <v>1047420</v>
      </c>
      <c r="AM375" t="s">
        <v>331</v>
      </c>
      <c r="AN375" t="s">
        <v>332</v>
      </c>
      <c r="AO375" t="s">
        <v>111</v>
      </c>
      <c r="AP375" t="s">
        <v>112</v>
      </c>
      <c r="AQ375" t="s">
        <v>82</v>
      </c>
      <c r="AR375" t="s">
        <v>4682</v>
      </c>
      <c r="AS375" s="3">
        <v>46202.465223999308</v>
      </c>
      <c r="AT375" t="s">
        <v>89</v>
      </c>
      <c r="AU375" t="s">
        <v>90</v>
      </c>
      <c r="AV375" t="s">
        <v>91</v>
      </c>
      <c r="AW375" t="s">
        <v>92</v>
      </c>
      <c r="AX375" t="s">
        <v>93</v>
      </c>
      <c r="AY375" t="s">
        <v>94</v>
      </c>
      <c r="AZ375" t="s">
        <v>85</v>
      </c>
      <c r="BA375" t="s">
        <v>4683</v>
      </c>
      <c r="BB375" t="s">
        <v>4674</v>
      </c>
      <c r="BC375" t="s">
        <v>4676</v>
      </c>
      <c r="BD375" t="s">
        <v>331</v>
      </c>
      <c r="BE375" t="s">
        <v>332</v>
      </c>
      <c r="BF375" t="b">
        <f t="shared" si="5"/>
        <v>1</v>
      </c>
      <c r="BG375" t="b">
        <v>1</v>
      </c>
      <c r="BH375">
        <v>2011</v>
      </c>
      <c r="BI375" t="b">
        <v>1</v>
      </c>
      <c r="BJ375" t="s">
        <v>96</v>
      </c>
      <c r="BK375" t="s">
        <v>338</v>
      </c>
      <c r="BL375" t="b">
        <v>1</v>
      </c>
      <c r="BM375" t="b">
        <v>1</v>
      </c>
      <c r="BN375" t="b">
        <v>1</v>
      </c>
      <c r="BO375" t="s">
        <v>4684</v>
      </c>
      <c r="BP375" t="b">
        <f>IF(IFERROR(VLOOKUP(A375,[1]Planilha1!$A:$A,1,0),FALSE)=FALSE,FALSE,TRUE)</f>
        <v>1</v>
      </c>
    </row>
    <row r="376" spans="1:68" x14ac:dyDescent="0.25">
      <c r="A376" t="s">
        <v>4685</v>
      </c>
      <c r="B376" t="s">
        <v>68</v>
      </c>
      <c r="D376" s="1">
        <v>46204</v>
      </c>
      <c r="E376" s="1">
        <v>47664</v>
      </c>
      <c r="F376" t="s">
        <v>4686</v>
      </c>
      <c r="G376" t="s">
        <v>4687</v>
      </c>
      <c r="H376" s="2" t="s">
        <v>4688</v>
      </c>
      <c r="I376" t="s">
        <v>4687</v>
      </c>
      <c r="K376" t="s">
        <v>4689</v>
      </c>
      <c r="L376">
        <v>5116727</v>
      </c>
      <c r="M376" t="s">
        <v>4690</v>
      </c>
      <c r="N376" t="s">
        <v>714</v>
      </c>
      <c r="O376" t="s">
        <v>715</v>
      </c>
      <c r="P376" t="s">
        <v>107</v>
      </c>
      <c r="Q376" t="s">
        <v>1992</v>
      </c>
      <c r="R376" t="s">
        <v>331</v>
      </c>
      <c r="S376" t="s">
        <v>332</v>
      </c>
      <c r="T376" t="s">
        <v>111</v>
      </c>
      <c r="U376" t="s">
        <v>112</v>
      </c>
      <c r="V376" t="s">
        <v>82</v>
      </c>
      <c r="W376" t="s">
        <v>331</v>
      </c>
      <c r="X376" t="s">
        <v>332</v>
      </c>
      <c r="Y376" t="s">
        <v>111</v>
      </c>
      <c r="Z376" t="s">
        <v>112</v>
      </c>
      <c r="AA376" t="s">
        <v>82</v>
      </c>
      <c r="AB376" t="s">
        <v>83</v>
      </c>
      <c r="AC376" t="s">
        <v>113</v>
      </c>
      <c r="AD376" t="s">
        <v>149</v>
      </c>
      <c r="AE376" t="s">
        <v>4691</v>
      </c>
      <c r="AF376" t="s">
        <v>85</v>
      </c>
      <c r="AG376" t="s">
        <v>4692</v>
      </c>
      <c r="AH376">
        <v>7</v>
      </c>
      <c r="AI376">
        <v>1042080</v>
      </c>
      <c r="AJ376">
        <v>135000</v>
      </c>
      <c r="AK376">
        <v>0</v>
      </c>
      <c r="AL376">
        <v>1177080</v>
      </c>
      <c r="AM376" t="s">
        <v>331</v>
      </c>
      <c r="AN376" t="s">
        <v>332</v>
      </c>
      <c r="AO376" t="s">
        <v>111</v>
      </c>
      <c r="AP376" t="s">
        <v>112</v>
      </c>
      <c r="AQ376" t="s">
        <v>82</v>
      </c>
      <c r="AR376" t="s">
        <v>4693</v>
      </c>
      <c r="AS376" s="3">
        <v>46202.465223999308</v>
      </c>
      <c r="AT376" t="s">
        <v>89</v>
      </c>
      <c r="AU376" t="s">
        <v>90</v>
      </c>
      <c r="AV376" t="s">
        <v>91</v>
      </c>
      <c r="AW376" t="s">
        <v>92</v>
      </c>
      <c r="AX376" t="s">
        <v>93</v>
      </c>
      <c r="AY376" t="s">
        <v>94</v>
      </c>
      <c r="AZ376" t="s">
        <v>85</v>
      </c>
      <c r="BA376" t="s">
        <v>4694</v>
      </c>
      <c r="BB376" t="s">
        <v>4685</v>
      </c>
      <c r="BC376" t="s">
        <v>4687</v>
      </c>
      <c r="BD376" t="s">
        <v>331</v>
      </c>
      <c r="BE376" t="s">
        <v>332</v>
      </c>
      <c r="BF376" t="b">
        <f t="shared" si="5"/>
        <v>1</v>
      </c>
      <c r="BG376" t="b">
        <v>1</v>
      </c>
      <c r="BH376">
        <v>2008</v>
      </c>
      <c r="BI376" t="b">
        <v>1</v>
      </c>
      <c r="BJ376" t="s">
        <v>96</v>
      </c>
      <c r="BK376" t="s">
        <v>338</v>
      </c>
      <c r="BL376" t="b">
        <v>1</v>
      </c>
      <c r="BM376" t="b">
        <v>1</v>
      </c>
      <c r="BN376" t="b">
        <v>1</v>
      </c>
      <c r="BO376" t="s">
        <v>4695</v>
      </c>
      <c r="BP376" t="b">
        <f>IF(IFERROR(VLOOKUP(A376,[1]Planilha1!$A:$A,1,0),FALSE)=FALSE,FALSE,TRUE)</f>
        <v>1</v>
      </c>
    </row>
    <row r="377" spans="1:68" x14ac:dyDescent="0.25">
      <c r="A377" t="s">
        <v>4696</v>
      </c>
      <c r="B377" t="s">
        <v>68</v>
      </c>
      <c r="D377" s="1">
        <v>46204</v>
      </c>
      <c r="E377" s="1">
        <v>47664</v>
      </c>
      <c r="F377" t="s">
        <v>4697</v>
      </c>
      <c r="G377" t="s">
        <v>4698</v>
      </c>
      <c r="H377" s="2" t="s">
        <v>4699</v>
      </c>
      <c r="I377" t="s">
        <v>4698</v>
      </c>
      <c r="K377" t="s">
        <v>4698</v>
      </c>
      <c r="L377">
        <v>5115140</v>
      </c>
      <c r="M377" t="s">
        <v>4700</v>
      </c>
      <c r="N377" t="s">
        <v>452</v>
      </c>
      <c r="O377" t="s">
        <v>453</v>
      </c>
      <c r="P377" t="s">
        <v>454</v>
      </c>
      <c r="Q377" t="s">
        <v>1324</v>
      </c>
      <c r="R377" t="s">
        <v>4701</v>
      </c>
      <c r="S377" t="s">
        <v>4702</v>
      </c>
      <c r="T377" t="s">
        <v>234</v>
      </c>
      <c r="U377" t="s">
        <v>112</v>
      </c>
      <c r="V377" t="s">
        <v>82</v>
      </c>
      <c r="W377" t="s">
        <v>4701</v>
      </c>
      <c r="X377" t="s">
        <v>4702</v>
      </c>
      <c r="Y377" t="s">
        <v>234</v>
      </c>
      <c r="Z377" t="s">
        <v>112</v>
      </c>
      <c r="AA377" t="s">
        <v>82</v>
      </c>
      <c r="AB377" t="s">
        <v>83</v>
      </c>
      <c r="AC377" t="s">
        <v>459</v>
      </c>
      <c r="AD377" t="s">
        <v>238</v>
      </c>
      <c r="AE377" t="s">
        <v>4703</v>
      </c>
      <c r="AF377" t="s">
        <v>238</v>
      </c>
      <c r="AG377" t="s">
        <v>4704</v>
      </c>
      <c r="AH377">
        <v>4</v>
      </c>
      <c r="AI377">
        <v>268200</v>
      </c>
      <c r="AJ377">
        <v>20000</v>
      </c>
      <c r="AK377">
        <v>0</v>
      </c>
      <c r="AL377">
        <v>288200</v>
      </c>
      <c r="AM377" t="s">
        <v>4701</v>
      </c>
      <c r="AN377" t="s">
        <v>4702</v>
      </c>
      <c r="AO377" t="s">
        <v>234</v>
      </c>
      <c r="AP377" t="s">
        <v>112</v>
      </c>
      <c r="AQ377" t="s">
        <v>82</v>
      </c>
      <c r="AR377" t="s">
        <v>4705</v>
      </c>
      <c r="AS377" s="3">
        <v>46202.465224200983</v>
      </c>
      <c r="AT377" t="s">
        <v>89</v>
      </c>
      <c r="AU377" t="s">
        <v>90</v>
      </c>
      <c r="AV377" t="s">
        <v>2116</v>
      </c>
      <c r="AW377" t="s">
        <v>92</v>
      </c>
      <c r="AX377" t="s">
        <v>2117</v>
      </c>
      <c r="AY377" t="s">
        <v>94</v>
      </c>
      <c r="AZ377" t="s">
        <v>85</v>
      </c>
      <c r="BA377" t="s">
        <v>4706</v>
      </c>
      <c r="BB377" t="s">
        <v>4696</v>
      </c>
      <c r="BC377" t="s">
        <v>4698</v>
      </c>
      <c r="BD377" t="s">
        <v>4701</v>
      </c>
      <c r="BE377" t="s">
        <v>4702</v>
      </c>
      <c r="BF377" t="b">
        <f t="shared" si="5"/>
        <v>0</v>
      </c>
      <c r="BG377" t="b">
        <v>0</v>
      </c>
      <c r="BH377">
        <v>2012</v>
      </c>
      <c r="BI377" t="b">
        <v>0</v>
      </c>
      <c r="BJ377" t="s">
        <v>2119</v>
      </c>
      <c r="BK377" t="s">
        <v>2169</v>
      </c>
      <c r="BL377" t="b">
        <v>1</v>
      </c>
      <c r="BM377" t="b">
        <v>1</v>
      </c>
      <c r="BN377" t="b">
        <v>1</v>
      </c>
      <c r="BO377" t="s">
        <v>4707</v>
      </c>
      <c r="BP377" t="b">
        <f>IF(IFERROR(VLOOKUP(A377,[1]Planilha1!$A:$A,1,0),FALSE)=FALSE,FALSE,TRUE)</f>
        <v>0</v>
      </c>
    </row>
    <row r="378" spans="1:68" x14ac:dyDescent="0.25">
      <c r="A378" t="s">
        <v>4708</v>
      </c>
      <c r="B378" t="s">
        <v>68</v>
      </c>
      <c r="D378" s="1">
        <v>46204</v>
      </c>
      <c r="E378" s="1">
        <v>47664</v>
      </c>
      <c r="F378" t="s">
        <v>4709</v>
      </c>
      <c r="G378" t="s">
        <v>4710</v>
      </c>
      <c r="H378" s="2" t="s">
        <v>4711</v>
      </c>
      <c r="I378" t="s">
        <v>4710</v>
      </c>
      <c r="K378" t="s">
        <v>4712</v>
      </c>
      <c r="L378">
        <v>5116560</v>
      </c>
      <c r="M378" t="s">
        <v>4713</v>
      </c>
      <c r="N378" t="s">
        <v>527</v>
      </c>
      <c r="O378" t="s">
        <v>528</v>
      </c>
      <c r="P378" t="s">
        <v>529</v>
      </c>
      <c r="Q378" t="s">
        <v>687</v>
      </c>
      <c r="R378" t="s">
        <v>2131</v>
      </c>
      <c r="S378" t="s">
        <v>2132</v>
      </c>
      <c r="T378" t="s">
        <v>364</v>
      </c>
      <c r="U378" t="s">
        <v>81</v>
      </c>
      <c r="V378" t="s">
        <v>82</v>
      </c>
      <c r="W378" t="s">
        <v>2131</v>
      </c>
      <c r="X378" t="s">
        <v>2132</v>
      </c>
      <c r="Y378" t="s">
        <v>364</v>
      </c>
      <c r="Z378" t="s">
        <v>81</v>
      </c>
      <c r="AA378" t="s">
        <v>82</v>
      </c>
      <c r="AB378" t="s">
        <v>83</v>
      </c>
      <c r="AC378" t="s">
        <v>235</v>
      </c>
      <c r="AD378" t="s">
        <v>85</v>
      </c>
      <c r="AE378" t="s">
        <v>4714</v>
      </c>
      <c r="AF378" t="s">
        <v>85</v>
      </c>
      <c r="AG378" t="s">
        <v>4715</v>
      </c>
      <c r="AH378">
        <v>10</v>
      </c>
      <c r="AI378">
        <v>1364220</v>
      </c>
      <c r="AJ378">
        <v>136349</v>
      </c>
      <c r="AK378">
        <v>0</v>
      </c>
      <c r="AL378">
        <v>1500569</v>
      </c>
      <c r="AM378" t="s">
        <v>2131</v>
      </c>
      <c r="AN378" t="s">
        <v>2132</v>
      </c>
      <c r="AO378" t="s">
        <v>364</v>
      </c>
      <c r="AP378" t="s">
        <v>81</v>
      </c>
      <c r="AQ378" t="s">
        <v>82</v>
      </c>
      <c r="AR378" t="s">
        <v>4716</v>
      </c>
      <c r="AS378" s="3">
        <v>46202.465224200983</v>
      </c>
      <c r="AT378" t="s">
        <v>89</v>
      </c>
      <c r="AU378" t="s">
        <v>90</v>
      </c>
      <c r="AV378" t="s">
        <v>2116</v>
      </c>
      <c r="AW378" t="s">
        <v>92</v>
      </c>
      <c r="AX378" t="s">
        <v>2117</v>
      </c>
      <c r="AY378" t="s">
        <v>94</v>
      </c>
      <c r="AZ378" t="s">
        <v>85</v>
      </c>
      <c r="BA378" t="s">
        <v>4717</v>
      </c>
      <c r="BB378" t="s">
        <v>4708</v>
      </c>
      <c r="BC378" t="s">
        <v>4710</v>
      </c>
      <c r="BD378" t="s">
        <v>2131</v>
      </c>
      <c r="BE378" t="s">
        <v>2132</v>
      </c>
      <c r="BF378" t="b">
        <f t="shared" si="5"/>
        <v>1</v>
      </c>
      <c r="BG378" t="b">
        <v>1</v>
      </c>
      <c r="BH378">
        <v>2025</v>
      </c>
      <c r="BI378" t="b">
        <v>1</v>
      </c>
      <c r="BJ378" t="s">
        <v>2119</v>
      </c>
      <c r="BK378" t="s">
        <v>2137</v>
      </c>
      <c r="BL378" t="b">
        <v>1</v>
      </c>
      <c r="BM378" t="b">
        <v>1</v>
      </c>
      <c r="BN378" t="b">
        <v>1</v>
      </c>
      <c r="BO378" t="s">
        <v>4718</v>
      </c>
      <c r="BP378" t="b">
        <f>IF(IFERROR(VLOOKUP(A378,[1]Planilha1!$A:$A,1,0),FALSE)=FALSE,FALSE,TRUE)</f>
        <v>1</v>
      </c>
    </row>
    <row r="379" spans="1:68" x14ac:dyDescent="0.25">
      <c r="A379" t="s">
        <v>4719</v>
      </c>
      <c r="B379" t="s">
        <v>68</v>
      </c>
      <c r="D379" s="1">
        <v>46204</v>
      </c>
      <c r="E379" s="1">
        <v>47664</v>
      </c>
      <c r="F379" t="s">
        <v>4720</v>
      </c>
      <c r="G379" t="s">
        <v>4721</v>
      </c>
      <c r="H379" s="2" t="s">
        <v>4722</v>
      </c>
      <c r="I379" t="s">
        <v>4721</v>
      </c>
      <c r="K379" t="s">
        <v>4723</v>
      </c>
      <c r="L379">
        <v>5116713</v>
      </c>
      <c r="M379" t="s">
        <v>4724</v>
      </c>
      <c r="N379" t="s">
        <v>886</v>
      </c>
      <c r="O379" t="s">
        <v>887</v>
      </c>
      <c r="P379" t="s">
        <v>107</v>
      </c>
      <c r="Q379" t="s">
        <v>2031</v>
      </c>
      <c r="R379" t="s">
        <v>2453</v>
      </c>
      <c r="S379" t="s">
        <v>2454</v>
      </c>
      <c r="T379" t="s">
        <v>768</v>
      </c>
      <c r="U379" t="s">
        <v>769</v>
      </c>
      <c r="V379" t="s">
        <v>82</v>
      </c>
      <c r="W379" t="s">
        <v>2453</v>
      </c>
      <c r="X379" t="s">
        <v>2454</v>
      </c>
      <c r="Y379" t="s">
        <v>768</v>
      </c>
      <c r="Z379" t="s">
        <v>769</v>
      </c>
      <c r="AA379" t="s">
        <v>82</v>
      </c>
      <c r="AB379" t="s">
        <v>83</v>
      </c>
      <c r="AC379" t="s">
        <v>202</v>
      </c>
      <c r="AD379" t="s">
        <v>149</v>
      </c>
      <c r="AE379" t="s">
        <v>4725</v>
      </c>
      <c r="AF379" t="s">
        <v>85</v>
      </c>
      <c r="AG379" t="s">
        <v>4726</v>
      </c>
      <c r="AH379">
        <v>6</v>
      </c>
      <c r="AI379">
        <v>1002378</v>
      </c>
      <c r="AJ379">
        <v>97962.73</v>
      </c>
      <c r="AK379">
        <v>0</v>
      </c>
      <c r="AL379">
        <v>1100340.73</v>
      </c>
      <c r="AM379" t="s">
        <v>2453</v>
      </c>
      <c r="AN379" t="s">
        <v>2454</v>
      </c>
      <c r="AO379" t="s">
        <v>768</v>
      </c>
      <c r="AP379" t="s">
        <v>769</v>
      </c>
      <c r="AQ379" t="s">
        <v>82</v>
      </c>
      <c r="AR379" t="s">
        <v>4727</v>
      </c>
      <c r="AS379" s="3">
        <v>46202.46522332255</v>
      </c>
      <c r="AT379" t="s">
        <v>89</v>
      </c>
      <c r="AU379" t="s">
        <v>90</v>
      </c>
      <c r="AV379" t="s">
        <v>2294</v>
      </c>
      <c r="AW379" t="s">
        <v>92</v>
      </c>
      <c r="AX379" t="s">
        <v>2295</v>
      </c>
      <c r="AY379" t="s">
        <v>94</v>
      </c>
      <c r="AZ379" t="s">
        <v>85</v>
      </c>
      <c r="BA379" t="s">
        <v>4728</v>
      </c>
      <c r="BB379" t="s">
        <v>4719</v>
      </c>
      <c r="BC379" t="s">
        <v>4721</v>
      </c>
      <c r="BD379" t="s">
        <v>2453</v>
      </c>
      <c r="BE379" t="s">
        <v>2454</v>
      </c>
      <c r="BF379" t="b">
        <f t="shared" si="5"/>
        <v>1</v>
      </c>
      <c r="BG379" t="b">
        <v>1</v>
      </c>
      <c r="BH379">
        <v>2025</v>
      </c>
      <c r="BI379" t="b">
        <v>1</v>
      </c>
      <c r="BJ379" t="s">
        <v>2297</v>
      </c>
      <c r="BK379" t="s">
        <v>2459</v>
      </c>
      <c r="BL379" t="b">
        <v>1</v>
      </c>
      <c r="BM379" t="b">
        <v>1</v>
      </c>
      <c r="BN379" t="b">
        <v>1</v>
      </c>
      <c r="BO379" t="s">
        <v>2484</v>
      </c>
      <c r="BP379" t="b">
        <f>IF(IFERROR(VLOOKUP(A379,[1]Planilha1!$A:$A,1,0),FALSE)=FALSE,FALSE,TRUE)</f>
        <v>1</v>
      </c>
    </row>
    <row r="380" spans="1:68" x14ac:dyDescent="0.25">
      <c r="A380" t="s">
        <v>4729</v>
      </c>
      <c r="B380" t="s">
        <v>68</v>
      </c>
      <c r="D380" s="1">
        <v>46204</v>
      </c>
      <c r="E380" s="1">
        <v>47664</v>
      </c>
      <c r="F380" t="s">
        <v>4730</v>
      </c>
      <c r="G380" t="s">
        <v>4731</v>
      </c>
      <c r="H380" s="2" t="s">
        <v>4732</v>
      </c>
      <c r="I380" t="s">
        <v>4731</v>
      </c>
      <c r="K380" t="s">
        <v>4733</v>
      </c>
      <c r="L380">
        <v>5116691</v>
      </c>
      <c r="M380" t="s">
        <v>4734</v>
      </c>
      <c r="N380" t="s">
        <v>328</v>
      </c>
      <c r="O380" t="s">
        <v>329</v>
      </c>
      <c r="P380" t="s">
        <v>439</v>
      </c>
      <c r="Q380" t="s">
        <v>440</v>
      </c>
      <c r="R380" t="s">
        <v>2378</v>
      </c>
      <c r="S380" t="s">
        <v>2379</v>
      </c>
      <c r="T380" t="s">
        <v>1151</v>
      </c>
      <c r="U380" t="s">
        <v>769</v>
      </c>
      <c r="V380" t="s">
        <v>82</v>
      </c>
      <c r="W380" t="s">
        <v>2378</v>
      </c>
      <c r="X380" t="s">
        <v>2379</v>
      </c>
      <c r="Y380" t="s">
        <v>1151</v>
      </c>
      <c r="Z380" t="s">
        <v>769</v>
      </c>
      <c r="AA380" t="s">
        <v>82</v>
      </c>
      <c r="AB380" t="s">
        <v>83</v>
      </c>
      <c r="AC380" t="s">
        <v>333</v>
      </c>
      <c r="AD380" t="s">
        <v>149</v>
      </c>
      <c r="AE380" t="s">
        <v>4735</v>
      </c>
      <c r="AF380" t="s">
        <v>85</v>
      </c>
      <c r="AG380" t="s">
        <v>4736</v>
      </c>
      <c r="AH380">
        <v>6</v>
      </c>
      <c r="AI380">
        <v>1060800</v>
      </c>
      <c r="AJ380">
        <v>120960</v>
      </c>
      <c r="AK380">
        <v>0</v>
      </c>
      <c r="AL380">
        <v>1181760</v>
      </c>
      <c r="AR380" t="s">
        <v>4737</v>
      </c>
      <c r="AS380" s="3">
        <v>46202.46522332255</v>
      </c>
      <c r="AT380" t="s">
        <v>89</v>
      </c>
      <c r="AU380" t="s">
        <v>90</v>
      </c>
      <c r="AV380" t="s">
        <v>2294</v>
      </c>
      <c r="AW380" t="s">
        <v>92</v>
      </c>
      <c r="AX380" t="s">
        <v>2295</v>
      </c>
      <c r="AY380" t="s">
        <v>94</v>
      </c>
      <c r="AZ380" t="s">
        <v>85</v>
      </c>
      <c r="BA380" t="s">
        <v>4738</v>
      </c>
      <c r="BB380" t="s">
        <v>4729</v>
      </c>
      <c r="BC380" t="s">
        <v>4731</v>
      </c>
      <c r="BD380" t="s">
        <v>2378</v>
      </c>
      <c r="BE380" t="s">
        <v>2379</v>
      </c>
      <c r="BF380" t="b">
        <f t="shared" si="5"/>
        <v>1</v>
      </c>
      <c r="BG380" t="b">
        <v>1</v>
      </c>
      <c r="BH380">
        <v>2006</v>
      </c>
      <c r="BI380" t="b">
        <v>1</v>
      </c>
      <c r="BJ380" t="s">
        <v>2297</v>
      </c>
      <c r="BK380" t="s">
        <v>2384</v>
      </c>
      <c r="BL380" t="b">
        <v>1</v>
      </c>
      <c r="BM380" t="b">
        <v>1</v>
      </c>
      <c r="BN380" t="b">
        <v>1</v>
      </c>
      <c r="BO380" t="s">
        <v>4739</v>
      </c>
      <c r="BP380" t="b">
        <f>IF(IFERROR(VLOOKUP(A380,[1]Planilha1!$A:$A,1,0),FALSE)=FALSE,FALSE,TRUE)</f>
        <v>1</v>
      </c>
    </row>
    <row r="381" spans="1:68" x14ac:dyDescent="0.25">
      <c r="A381" t="s">
        <v>4740</v>
      </c>
      <c r="B381" t="s">
        <v>68</v>
      </c>
      <c r="D381" s="1">
        <v>46204</v>
      </c>
      <c r="E381" s="1">
        <v>47664</v>
      </c>
      <c r="F381" t="s">
        <v>4741</v>
      </c>
      <c r="G381" t="s">
        <v>4742</v>
      </c>
      <c r="H381" s="2" t="s">
        <v>4743</v>
      </c>
      <c r="I381" t="s">
        <v>4742</v>
      </c>
      <c r="K381" t="s">
        <v>4744</v>
      </c>
      <c r="L381">
        <v>5116374</v>
      </c>
      <c r="M381" t="s">
        <v>4745</v>
      </c>
      <c r="N381" t="s">
        <v>793</v>
      </c>
      <c r="O381" t="s">
        <v>794</v>
      </c>
      <c r="P381" t="s">
        <v>647</v>
      </c>
      <c r="Q381" t="s">
        <v>2609</v>
      </c>
      <c r="R381" t="s">
        <v>4746</v>
      </c>
      <c r="S381" t="s">
        <v>4747</v>
      </c>
      <c r="T381" t="s">
        <v>1151</v>
      </c>
      <c r="U381" t="s">
        <v>769</v>
      </c>
      <c r="V381" t="s">
        <v>82</v>
      </c>
      <c r="W381" t="s">
        <v>2378</v>
      </c>
      <c r="X381" t="s">
        <v>2379</v>
      </c>
      <c r="Y381" t="s">
        <v>1151</v>
      </c>
      <c r="Z381" t="s">
        <v>769</v>
      </c>
      <c r="AA381" t="s">
        <v>82</v>
      </c>
      <c r="AB381" t="s">
        <v>83</v>
      </c>
      <c r="AC381" t="s">
        <v>649</v>
      </c>
      <c r="AD381" t="s">
        <v>252</v>
      </c>
      <c r="AE381" t="s">
        <v>4748</v>
      </c>
      <c r="AF381" t="s">
        <v>252</v>
      </c>
      <c r="AG381" t="s">
        <v>4749</v>
      </c>
      <c r="AH381">
        <v>4</v>
      </c>
      <c r="AI381">
        <v>773760</v>
      </c>
      <c r="AJ381">
        <v>111765.33</v>
      </c>
      <c r="AK381">
        <v>0</v>
      </c>
      <c r="AL381">
        <v>885525.33</v>
      </c>
      <c r="AR381" t="s">
        <v>4750</v>
      </c>
      <c r="AS381" s="3">
        <v>46202.46522332255</v>
      </c>
      <c r="AT381" t="s">
        <v>89</v>
      </c>
      <c r="AU381" t="s">
        <v>90</v>
      </c>
      <c r="AV381" t="s">
        <v>2294</v>
      </c>
      <c r="AW381" t="s">
        <v>92</v>
      </c>
      <c r="AX381" t="s">
        <v>2295</v>
      </c>
      <c r="AY381" t="s">
        <v>94</v>
      </c>
      <c r="AZ381" t="s">
        <v>85</v>
      </c>
      <c r="BA381" t="s">
        <v>4751</v>
      </c>
      <c r="BB381" t="s">
        <v>4740</v>
      </c>
      <c r="BC381" t="s">
        <v>4742</v>
      </c>
      <c r="BD381" t="s">
        <v>2378</v>
      </c>
      <c r="BE381" t="s">
        <v>2379</v>
      </c>
      <c r="BF381" t="b">
        <f t="shared" si="5"/>
        <v>0</v>
      </c>
      <c r="BG381" t="b">
        <v>1</v>
      </c>
      <c r="BH381">
        <v>2004</v>
      </c>
      <c r="BI381" t="b">
        <v>1</v>
      </c>
      <c r="BJ381" t="s">
        <v>2297</v>
      </c>
      <c r="BK381" t="s">
        <v>2384</v>
      </c>
      <c r="BL381" t="b">
        <v>1</v>
      </c>
      <c r="BM381" t="b">
        <v>0</v>
      </c>
      <c r="BN381" t="b">
        <v>0</v>
      </c>
      <c r="BO381" t="s">
        <v>4752</v>
      </c>
      <c r="BP381" t="b">
        <f>IF(IFERROR(VLOOKUP(A381,[1]Planilha1!$A:$A,1,0),FALSE)=FALSE,FALSE,TRUE)</f>
        <v>0</v>
      </c>
    </row>
    <row r="382" spans="1:68" x14ac:dyDescent="0.25">
      <c r="A382" t="s">
        <v>4753</v>
      </c>
      <c r="B382" t="s">
        <v>68</v>
      </c>
      <c r="D382" s="1">
        <v>46204</v>
      </c>
      <c r="E382" s="1">
        <v>47664</v>
      </c>
      <c r="F382" t="s">
        <v>4754</v>
      </c>
      <c r="G382" t="s">
        <v>4755</v>
      </c>
      <c r="H382" s="2" t="s">
        <v>4756</v>
      </c>
      <c r="I382" t="s">
        <v>4755</v>
      </c>
      <c r="K382" t="s">
        <v>4757</v>
      </c>
      <c r="L382">
        <v>5116883</v>
      </c>
      <c r="M382" t="s">
        <v>4758</v>
      </c>
      <c r="N382" t="s">
        <v>1378</v>
      </c>
      <c r="O382" t="s">
        <v>1379</v>
      </c>
      <c r="P382" t="s">
        <v>529</v>
      </c>
      <c r="Q382" t="s">
        <v>2574</v>
      </c>
      <c r="R382" t="s">
        <v>2289</v>
      </c>
      <c r="S382" t="s">
        <v>2290</v>
      </c>
      <c r="T382" t="s">
        <v>184</v>
      </c>
      <c r="U382" t="s">
        <v>112</v>
      </c>
      <c r="V382" t="s">
        <v>82</v>
      </c>
      <c r="W382" t="s">
        <v>2289</v>
      </c>
      <c r="X382" t="s">
        <v>2290</v>
      </c>
      <c r="Y382" t="s">
        <v>184</v>
      </c>
      <c r="Z382" t="s">
        <v>112</v>
      </c>
      <c r="AA382" t="s">
        <v>82</v>
      </c>
      <c r="AB382" t="s">
        <v>83</v>
      </c>
      <c r="AC382" t="s">
        <v>1013</v>
      </c>
      <c r="AD382" t="s">
        <v>85</v>
      </c>
      <c r="AE382" t="s">
        <v>4759</v>
      </c>
      <c r="AF382" t="s">
        <v>85</v>
      </c>
      <c r="AG382" t="s">
        <v>4760</v>
      </c>
      <c r="AH382">
        <v>4</v>
      </c>
      <c r="AI382">
        <v>848640</v>
      </c>
      <c r="AJ382">
        <v>120000</v>
      </c>
      <c r="AK382">
        <v>0</v>
      </c>
      <c r="AL382">
        <v>968640</v>
      </c>
      <c r="AM382" t="s">
        <v>2289</v>
      </c>
      <c r="AN382" t="s">
        <v>2290</v>
      </c>
      <c r="AO382" t="s">
        <v>184</v>
      </c>
      <c r="AP382" t="s">
        <v>112</v>
      </c>
      <c r="AQ382" t="s">
        <v>82</v>
      </c>
      <c r="AR382" t="s">
        <v>4761</v>
      </c>
      <c r="AS382" s="3">
        <v>46202.46522332255</v>
      </c>
      <c r="AT382" t="s">
        <v>89</v>
      </c>
      <c r="AU382" t="s">
        <v>90</v>
      </c>
      <c r="AV382" t="s">
        <v>2294</v>
      </c>
      <c r="AW382" t="s">
        <v>92</v>
      </c>
      <c r="AX382" t="s">
        <v>2295</v>
      </c>
      <c r="AY382" t="s">
        <v>94</v>
      </c>
      <c r="AZ382" t="s">
        <v>85</v>
      </c>
      <c r="BA382" t="s">
        <v>4762</v>
      </c>
      <c r="BB382" t="s">
        <v>4753</v>
      </c>
      <c r="BC382" t="s">
        <v>4755</v>
      </c>
      <c r="BD382" t="s">
        <v>2289</v>
      </c>
      <c r="BE382" t="s">
        <v>2290</v>
      </c>
      <c r="BF382" t="b">
        <f t="shared" si="5"/>
        <v>1</v>
      </c>
      <c r="BG382" t="b">
        <v>1</v>
      </c>
      <c r="BH382">
        <v>1993</v>
      </c>
      <c r="BI382" t="b">
        <v>1</v>
      </c>
      <c r="BJ382" t="s">
        <v>2297</v>
      </c>
      <c r="BK382" t="s">
        <v>2298</v>
      </c>
      <c r="BL382" t="b">
        <v>1</v>
      </c>
      <c r="BM382" t="b">
        <v>1</v>
      </c>
      <c r="BN382" t="b">
        <v>1</v>
      </c>
      <c r="BO382" t="s">
        <v>4763</v>
      </c>
      <c r="BP382" t="b">
        <f>IF(IFERROR(VLOOKUP(A382,[1]Planilha1!$A:$A,1,0),FALSE)=FALSE,FALSE,TRUE)</f>
        <v>1</v>
      </c>
    </row>
    <row r="383" spans="1:68" x14ac:dyDescent="0.25">
      <c r="A383" t="s">
        <v>4764</v>
      </c>
      <c r="B383" t="s">
        <v>68</v>
      </c>
      <c r="D383" s="1">
        <v>46204</v>
      </c>
      <c r="E383" s="1">
        <v>47664</v>
      </c>
      <c r="F383" t="s">
        <v>4765</v>
      </c>
      <c r="G383" t="s">
        <v>4766</v>
      </c>
      <c r="H383" s="2" t="s">
        <v>4767</v>
      </c>
      <c r="I383" t="s">
        <v>4766</v>
      </c>
      <c r="K383" t="s">
        <v>4768</v>
      </c>
      <c r="L383">
        <v>5116840</v>
      </c>
      <c r="M383" t="s">
        <v>4769</v>
      </c>
      <c r="N383" t="s">
        <v>1378</v>
      </c>
      <c r="O383" t="s">
        <v>1379</v>
      </c>
      <c r="P383" t="s">
        <v>529</v>
      </c>
      <c r="Q383" t="s">
        <v>2574</v>
      </c>
      <c r="R383" t="s">
        <v>2668</v>
      </c>
      <c r="S383" t="s">
        <v>2669</v>
      </c>
      <c r="T383" t="s">
        <v>2670</v>
      </c>
      <c r="U383" t="s">
        <v>112</v>
      </c>
      <c r="V383" t="s">
        <v>82</v>
      </c>
      <c r="W383" t="s">
        <v>2668</v>
      </c>
      <c r="X383" t="s">
        <v>2669</v>
      </c>
      <c r="Y383" t="s">
        <v>2670</v>
      </c>
      <c r="Z383" t="s">
        <v>112</v>
      </c>
      <c r="AA383" t="s">
        <v>82</v>
      </c>
      <c r="AB383" t="s">
        <v>83</v>
      </c>
      <c r="AC383" t="s">
        <v>1013</v>
      </c>
      <c r="AD383" t="s">
        <v>85</v>
      </c>
      <c r="AE383" t="s">
        <v>4770</v>
      </c>
      <c r="AF383" t="s">
        <v>85</v>
      </c>
      <c r="AG383" t="s">
        <v>4771</v>
      </c>
      <c r="AH383">
        <v>8</v>
      </c>
      <c r="AI383">
        <v>1349660</v>
      </c>
      <c r="AJ383">
        <v>150020</v>
      </c>
      <c r="AK383">
        <v>0</v>
      </c>
      <c r="AL383">
        <v>1499680</v>
      </c>
      <c r="AM383" t="s">
        <v>2668</v>
      </c>
      <c r="AN383" t="s">
        <v>2669</v>
      </c>
      <c r="AO383" t="s">
        <v>2670</v>
      </c>
      <c r="AP383" t="s">
        <v>112</v>
      </c>
      <c r="AQ383" t="s">
        <v>82</v>
      </c>
      <c r="AR383" t="s">
        <v>4772</v>
      </c>
      <c r="AS383" s="3">
        <v>46202.46522332255</v>
      </c>
      <c r="AT383" t="s">
        <v>89</v>
      </c>
      <c r="AU383" t="s">
        <v>90</v>
      </c>
      <c r="AV383" t="s">
        <v>2294</v>
      </c>
      <c r="AW383" t="s">
        <v>92</v>
      </c>
      <c r="AX383" t="s">
        <v>2295</v>
      </c>
      <c r="AY383" t="s">
        <v>94</v>
      </c>
      <c r="AZ383" t="s">
        <v>85</v>
      </c>
      <c r="BA383" t="s">
        <v>4773</v>
      </c>
      <c r="BB383" t="s">
        <v>4764</v>
      </c>
      <c r="BC383" t="s">
        <v>4766</v>
      </c>
      <c r="BD383" t="s">
        <v>2668</v>
      </c>
      <c r="BE383" t="s">
        <v>2669</v>
      </c>
      <c r="BF383" t="b">
        <f t="shared" si="5"/>
        <v>1</v>
      </c>
      <c r="BG383" t="b">
        <v>1</v>
      </c>
      <c r="BH383">
        <v>2018</v>
      </c>
      <c r="BI383" t="b">
        <v>1</v>
      </c>
      <c r="BJ383" t="s">
        <v>2297</v>
      </c>
      <c r="BK383" t="s">
        <v>2675</v>
      </c>
      <c r="BL383" t="b">
        <v>1</v>
      </c>
      <c r="BM383" t="b">
        <v>1</v>
      </c>
      <c r="BN383" t="b">
        <v>1</v>
      </c>
      <c r="BO383" t="s">
        <v>4774</v>
      </c>
      <c r="BP383" t="b">
        <f>IF(IFERROR(VLOOKUP(A383,[1]Planilha1!$A:$A,1,0),FALSE)=FALSE,FALSE,TRUE)</f>
        <v>1</v>
      </c>
    </row>
    <row r="384" spans="1:68" x14ac:dyDescent="0.25">
      <c r="A384" t="s">
        <v>4775</v>
      </c>
      <c r="B384" t="s">
        <v>68</v>
      </c>
      <c r="D384" s="1">
        <v>46204</v>
      </c>
      <c r="E384" s="1">
        <v>47664</v>
      </c>
      <c r="F384" t="s">
        <v>4776</v>
      </c>
      <c r="G384" t="s">
        <v>4777</v>
      </c>
      <c r="H384" s="2" t="s">
        <v>4778</v>
      </c>
      <c r="I384" t="s">
        <v>4777</v>
      </c>
      <c r="K384" t="s">
        <v>4779</v>
      </c>
      <c r="L384">
        <v>5116875</v>
      </c>
      <c r="M384" t="s">
        <v>4780</v>
      </c>
      <c r="N384" t="s">
        <v>793</v>
      </c>
      <c r="O384" t="s">
        <v>794</v>
      </c>
      <c r="P384" t="s">
        <v>647</v>
      </c>
      <c r="Q384" t="s">
        <v>4781</v>
      </c>
      <c r="R384" t="s">
        <v>2453</v>
      </c>
      <c r="S384" t="s">
        <v>2454</v>
      </c>
      <c r="T384" t="s">
        <v>768</v>
      </c>
      <c r="U384" t="s">
        <v>769</v>
      </c>
      <c r="V384" t="s">
        <v>82</v>
      </c>
      <c r="W384" t="s">
        <v>2453</v>
      </c>
      <c r="X384" t="s">
        <v>2454</v>
      </c>
      <c r="Y384" t="s">
        <v>768</v>
      </c>
      <c r="Z384" t="s">
        <v>769</v>
      </c>
      <c r="AA384" t="s">
        <v>82</v>
      </c>
      <c r="AB384" t="s">
        <v>83</v>
      </c>
      <c r="AC384" t="s">
        <v>649</v>
      </c>
      <c r="AD384" t="s">
        <v>85</v>
      </c>
      <c r="AE384" t="s">
        <v>4782</v>
      </c>
      <c r="AF384" t="s">
        <v>85</v>
      </c>
      <c r="AG384" t="s">
        <v>4783</v>
      </c>
      <c r="AH384">
        <v>4</v>
      </c>
      <c r="AI384">
        <v>998400</v>
      </c>
      <c r="AJ384">
        <v>129792</v>
      </c>
      <c r="AK384">
        <v>0</v>
      </c>
      <c r="AL384">
        <v>1128192</v>
      </c>
      <c r="AM384" t="s">
        <v>2453</v>
      </c>
      <c r="AN384" t="s">
        <v>2454</v>
      </c>
      <c r="AO384" t="s">
        <v>768</v>
      </c>
      <c r="AP384" t="s">
        <v>769</v>
      </c>
      <c r="AQ384" t="s">
        <v>82</v>
      </c>
      <c r="AR384" t="s">
        <v>4784</v>
      </c>
      <c r="AS384" s="3">
        <v>46202.46522332255</v>
      </c>
      <c r="AT384" t="s">
        <v>89</v>
      </c>
      <c r="AU384" t="s">
        <v>90</v>
      </c>
      <c r="AV384" t="s">
        <v>2294</v>
      </c>
      <c r="AW384" t="s">
        <v>92</v>
      </c>
      <c r="AX384" t="s">
        <v>2295</v>
      </c>
      <c r="AY384" t="s">
        <v>94</v>
      </c>
      <c r="AZ384" t="s">
        <v>85</v>
      </c>
      <c r="BA384" t="s">
        <v>4785</v>
      </c>
      <c r="BB384" t="s">
        <v>4775</v>
      </c>
      <c r="BC384" t="s">
        <v>4777</v>
      </c>
      <c r="BD384" t="s">
        <v>2453</v>
      </c>
      <c r="BE384" t="s">
        <v>2454</v>
      </c>
      <c r="BF384" t="b">
        <f t="shared" si="5"/>
        <v>1</v>
      </c>
      <c r="BG384" t="b">
        <v>1</v>
      </c>
      <c r="BH384">
        <v>2019</v>
      </c>
      <c r="BI384" t="b">
        <v>1</v>
      </c>
      <c r="BJ384" t="s">
        <v>2297</v>
      </c>
      <c r="BK384" t="s">
        <v>2459</v>
      </c>
      <c r="BL384" t="b">
        <v>1</v>
      </c>
      <c r="BM384" t="b">
        <v>1</v>
      </c>
      <c r="BN384" t="b">
        <v>1</v>
      </c>
      <c r="BO384" t="s">
        <v>4786</v>
      </c>
      <c r="BP384" t="b">
        <f>IF(IFERROR(VLOOKUP(A384,[1]Planilha1!$A:$A,1,0),FALSE)=FALSE,FALSE,TRUE)</f>
        <v>1</v>
      </c>
    </row>
    <row r="385" spans="1:68" x14ac:dyDescent="0.25">
      <c r="A385" t="s">
        <v>4787</v>
      </c>
      <c r="B385" t="s">
        <v>68</v>
      </c>
      <c r="D385" s="1">
        <v>46204</v>
      </c>
      <c r="E385" s="1">
        <v>47664</v>
      </c>
      <c r="F385" t="s">
        <v>4788</v>
      </c>
      <c r="G385" t="s">
        <v>4789</v>
      </c>
      <c r="H385" s="2" t="s">
        <v>4790</v>
      </c>
      <c r="I385" t="s">
        <v>4789</v>
      </c>
      <c r="K385" t="s">
        <v>4791</v>
      </c>
      <c r="L385">
        <v>5116852</v>
      </c>
      <c r="M385" t="s">
        <v>4792</v>
      </c>
      <c r="N385" t="s">
        <v>74</v>
      </c>
      <c r="O385" t="s">
        <v>75</v>
      </c>
      <c r="P385" t="s">
        <v>76</v>
      </c>
      <c r="Q385" t="s">
        <v>4793</v>
      </c>
      <c r="R385" t="s">
        <v>2668</v>
      </c>
      <c r="S385" t="s">
        <v>2669</v>
      </c>
      <c r="T385" t="s">
        <v>2670</v>
      </c>
      <c r="U385" t="s">
        <v>112</v>
      </c>
      <c r="V385" t="s">
        <v>82</v>
      </c>
      <c r="W385" t="s">
        <v>2668</v>
      </c>
      <c r="X385" t="s">
        <v>2669</v>
      </c>
      <c r="Y385" t="s">
        <v>2670</v>
      </c>
      <c r="Z385" t="s">
        <v>112</v>
      </c>
      <c r="AA385" t="s">
        <v>82</v>
      </c>
      <c r="AB385" t="s">
        <v>83</v>
      </c>
      <c r="AC385" t="s">
        <v>84</v>
      </c>
      <c r="AD385" t="s">
        <v>85</v>
      </c>
      <c r="AE385" t="s">
        <v>4794</v>
      </c>
      <c r="AF385" t="s">
        <v>85</v>
      </c>
      <c r="AG385" t="s">
        <v>4795</v>
      </c>
      <c r="AH385">
        <v>8</v>
      </c>
      <c r="AI385">
        <v>1340040</v>
      </c>
      <c r="AJ385">
        <v>151291.1</v>
      </c>
      <c r="AK385">
        <v>0</v>
      </c>
      <c r="AL385">
        <v>1491331.1</v>
      </c>
      <c r="AM385" t="s">
        <v>2668</v>
      </c>
      <c r="AN385" t="s">
        <v>2669</v>
      </c>
      <c r="AO385" t="s">
        <v>2670</v>
      </c>
      <c r="AP385" t="s">
        <v>112</v>
      </c>
      <c r="AQ385" t="s">
        <v>82</v>
      </c>
      <c r="AR385" t="s">
        <v>4796</v>
      </c>
      <c r="AS385" s="3">
        <v>46202.46522332255</v>
      </c>
      <c r="AT385" t="s">
        <v>89</v>
      </c>
      <c r="AU385" t="s">
        <v>90</v>
      </c>
      <c r="AV385" t="s">
        <v>2294</v>
      </c>
      <c r="AW385" t="s">
        <v>92</v>
      </c>
      <c r="AX385" t="s">
        <v>2295</v>
      </c>
      <c r="AY385" t="s">
        <v>94</v>
      </c>
      <c r="AZ385" t="s">
        <v>85</v>
      </c>
      <c r="BA385" t="s">
        <v>4797</v>
      </c>
      <c r="BB385" t="s">
        <v>4787</v>
      </c>
      <c r="BC385" t="s">
        <v>4789</v>
      </c>
      <c r="BD385" t="s">
        <v>2668</v>
      </c>
      <c r="BE385" t="s">
        <v>2669</v>
      </c>
      <c r="BF385" t="b">
        <f t="shared" si="5"/>
        <v>1</v>
      </c>
      <c r="BG385" t="b">
        <v>1</v>
      </c>
      <c r="BH385">
        <v>2014</v>
      </c>
      <c r="BI385" t="b">
        <v>1</v>
      </c>
      <c r="BJ385" t="s">
        <v>2297</v>
      </c>
      <c r="BK385" t="s">
        <v>2675</v>
      </c>
      <c r="BL385" t="b">
        <v>1</v>
      </c>
      <c r="BM385" t="b">
        <v>1</v>
      </c>
      <c r="BN385" t="b">
        <v>1</v>
      </c>
      <c r="BO385" t="s">
        <v>4798</v>
      </c>
      <c r="BP385" t="b">
        <f>IF(IFERROR(VLOOKUP(A385,[1]Planilha1!$A:$A,1,0),FALSE)=FALSE,FALSE,TRUE)</f>
        <v>1</v>
      </c>
    </row>
    <row r="386" spans="1:68" x14ac:dyDescent="0.25">
      <c r="A386" t="s">
        <v>4799</v>
      </c>
      <c r="B386" t="s">
        <v>68</v>
      </c>
      <c r="D386" s="1">
        <v>46204</v>
      </c>
      <c r="E386" s="1">
        <v>47664</v>
      </c>
      <c r="F386" t="s">
        <v>4800</v>
      </c>
      <c r="G386" t="s">
        <v>4801</v>
      </c>
      <c r="H386" s="2" t="s">
        <v>4802</v>
      </c>
      <c r="I386" t="s">
        <v>4801</v>
      </c>
      <c r="K386" t="s">
        <v>4803</v>
      </c>
      <c r="L386">
        <v>5116838</v>
      </c>
      <c r="M386" t="s">
        <v>4804</v>
      </c>
      <c r="N386" t="s">
        <v>793</v>
      </c>
      <c r="O386" t="s">
        <v>794</v>
      </c>
      <c r="P386" t="s">
        <v>647</v>
      </c>
      <c r="Q386" t="s">
        <v>2609</v>
      </c>
      <c r="R386" t="s">
        <v>2453</v>
      </c>
      <c r="S386" t="s">
        <v>2454</v>
      </c>
      <c r="T386" t="s">
        <v>768</v>
      </c>
      <c r="U386" t="s">
        <v>769</v>
      </c>
      <c r="V386" t="s">
        <v>82</v>
      </c>
      <c r="W386" t="s">
        <v>2453</v>
      </c>
      <c r="X386" t="s">
        <v>2454</v>
      </c>
      <c r="Y386" t="s">
        <v>768</v>
      </c>
      <c r="Z386" t="s">
        <v>769</v>
      </c>
      <c r="AA386" t="s">
        <v>82</v>
      </c>
      <c r="AB386" t="s">
        <v>83</v>
      </c>
      <c r="AC386" t="s">
        <v>649</v>
      </c>
      <c r="AD386" t="s">
        <v>85</v>
      </c>
      <c r="AE386" t="s">
        <v>4805</v>
      </c>
      <c r="AF386" t="s">
        <v>85</v>
      </c>
      <c r="AG386" t="s">
        <v>4806</v>
      </c>
      <c r="AH386">
        <v>4</v>
      </c>
      <c r="AI386">
        <v>654720</v>
      </c>
      <c r="AJ386">
        <v>94564</v>
      </c>
      <c r="AK386">
        <v>0</v>
      </c>
      <c r="AL386">
        <v>749284</v>
      </c>
      <c r="AM386" t="s">
        <v>2453</v>
      </c>
      <c r="AN386" t="s">
        <v>2454</v>
      </c>
      <c r="AO386" t="s">
        <v>768</v>
      </c>
      <c r="AP386" t="s">
        <v>769</v>
      </c>
      <c r="AQ386" t="s">
        <v>82</v>
      </c>
      <c r="AR386" t="s">
        <v>4807</v>
      </c>
      <c r="AS386" s="3">
        <v>46202.46522332255</v>
      </c>
      <c r="AT386" t="s">
        <v>89</v>
      </c>
      <c r="AU386" t="s">
        <v>90</v>
      </c>
      <c r="AV386" t="s">
        <v>2294</v>
      </c>
      <c r="AW386" t="s">
        <v>92</v>
      </c>
      <c r="AX386" t="s">
        <v>2295</v>
      </c>
      <c r="AY386" t="s">
        <v>94</v>
      </c>
      <c r="AZ386" t="s">
        <v>85</v>
      </c>
      <c r="BA386" t="s">
        <v>4808</v>
      </c>
      <c r="BB386" t="s">
        <v>4799</v>
      </c>
      <c r="BC386" t="s">
        <v>4801</v>
      </c>
      <c r="BD386" t="s">
        <v>2453</v>
      </c>
      <c r="BE386" t="s">
        <v>2454</v>
      </c>
      <c r="BF386" t="b">
        <f t="shared" si="5"/>
        <v>1</v>
      </c>
      <c r="BG386" t="b">
        <v>1</v>
      </c>
      <c r="BH386">
        <v>2026</v>
      </c>
      <c r="BI386" t="b">
        <v>1</v>
      </c>
      <c r="BJ386" t="s">
        <v>2297</v>
      </c>
      <c r="BK386" t="s">
        <v>2459</v>
      </c>
      <c r="BL386" t="b">
        <v>1</v>
      </c>
      <c r="BM386" t="b">
        <v>1</v>
      </c>
      <c r="BN386" t="b">
        <v>1</v>
      </c>
      <c r="BO386" t="s">
        <v>4809</v>
      </c>
      <c r="BP386" t="b">
        <f>IF(IFERROR(VLOOKUP(A386,[1]Planilha1!$A:$A,1,0),FALSE)=FALSE,FALSE,TRUE)</f>
        <v>1</v>
      </c>
    </row>
    <row r="387" spans="1:68" x14ac:dyDescent="0.25">
      <c r="A387" t="s">
        <v>4810</v>
      </c>
      <c r="B387" t="s">
        <v>68</v>
      </c>
      <c r="D387" s="1">
        <v>46204</v>
      </c>
      <c r="E387" s="1">
        <v>47664</v>
      </c>
      <c r="F387" t="s">
        <v>4811</v>
      </c>
      <c r="G387" t="s">
        <v>4812</v>
      </c>
      <c r="H387" s="2" t="s">
        <v>4813</v>
      </c>
      <c r="I387" t="s">
        <v>4812</v>
      </c>
      <c r="K387" t="s">
        <v>4814</v>
      </c>
      <c r="L387">
        <v>5114701</v>
      </c>
      <c r="M387" t="s">
        <v>4815</v>
      </c>
      <c r="N387" t="s">
        <v>4816</v>
      </c>
      <c r="O387" t="s">
        <v>528</v>
      </c>
      <c r="P387" t="s">
        <v>230</v>
      </c>
      <c r="Q387" t="s">
        <v>4817</v>
      </c>
      <c r="R387" t="s">
        <v>4818</v>
      </c>
      <c r="S387" t="s">
        <v>4819</v>
      </c>
      <c r="T387" t="s">
        <v>1770</v>
      </c>
      <c r="U387" t="s">
        <v>769</v>
      </c>
      <c r="V387" t="s">
        <v>82</v>
      </c>
      <c r="W387" t="s">
        <v>4818</v>
      </c>
      <c r="X387" t="s">
        <v>4819</v>
      </c>
      <c r="Y387" t="s">
        <v>1770</v>
      </c>
      <c r="Z387" t="s">
        <v>769</v>
      </c>
      <c r="AA387" t="s">
        <v>82</v>
      </c>
      <c r="AB387" t="s">
        <v>83</v>
      </c>
      <c r="AC387" t="s">
        <v>235</v>
      </c>
      <c r="AD387" t="s">
        <v>236</v>
      </c>
      <c r="AE387" t="s">
        <v>4820</v>
      </c>
      <c r="AF387" t="s">
        <v>238</v>
      </c>
      <c r="AG387" t="s">
        <v>4821</v>
      </c>
      <c r="AH387">
        <v>9</v>
      </c>
      <c r="AI387">
        <v>1634880</v>
      </c>
      <c r="AJ387">
        <v>10000000</v>
      </c>
      <c r="AK387">
        <v>0</v>
      </c>
      <c r="AL387">
        <v>11634880</v>
      </c>
      <c r="AM387" t="s">
        <v>4818</v>
      </c>
      <c r="AN387" t="s">
        <v>4819</v>
      </c>
      <c r="AO387" t="s">
        <v>1770</v>
      </c>
      <c r="AP387" t="s">
        <v>769</v>
      </c>
      <c r="AQ387" t="s">
        <v>82</v>
      </c>
      <c r="AR387" t="s">
        <v>4822</v>
      </c>
      <c r="AS387" s="3">
        <v>46202.46522332255</v>
      </c>
      <c r="AT387" t="s">
        <v>89</v>
      </c>
      <c r="AU387" t="s">
        <v>90</v>
      </c>
      <c r="AV387" t="s">
        <v>2294</v>
      </c>
      <c r="AW387" t="s">
        <v>92</v>
      </c>
      <c r="AX387" t="s">
        <v>2295</v>
      </c>
      <c r="AY387" t="s">
        <v>94</v>
      </c>
      <c r="AZ387" t="s">
        <v>85</v>
      </c>
      <c r="BA387" t="s">
        <v>4823</v>
      </c>
      <c r="BB387" t="s">
        <v>4810</v>
      </c>
      <c r="BC387" t="s">
        <v>4812</v>
      </c>
      <c r="BD387" t="s">
        <v>4818</v>
      </c>
      <c r="BE387" t="s">
        <v>4819</v>
      </c>
      <c r="BF387" t="b">
        <f t="shared" ref="BF387:BF450" si="6">IF(AND(BG387,BI387,BL387,BM387),TRUE,FALSE)</f>
        <v>0</v>
      </c>
      <c r="BG387" t="b">
        <v>0</v>
      </c>
      <c r="BH387">
        <v>2024</v>
      </c>
      <c r="BI387" t="b">
        <v>0</v>
      </c>
      <c r="BJ387" t="s">
        <v>2297</v>
      </c>
      <c r="BK387" t="s">
        <v>2315</v>
      </c>
      <c r="BL387" t="b">
        <v>1</v>
      </c>
      <c r="BM387" t="b">
        <v>1</v>
      </c>
      <c r="BN387" t="b">
        <v>1</v>
      </c>
      <c r="BO387" t="s">
        <v>4824</v>
      </c>
      <c r="BP387" t="b">
        <f>IF(IFERROR(VLOOKUP(A387,[1]Planilha1!$A:$A,1,0),FALSE)=FALSE,FALSE,TRUE)</f>
        <v>0</v>
      </c>
    </row>
    <row r="388" spans="1:68" x14ac:dyDescent="0.25">
      <c r="A388" t="s">
        <v>4825</v>
      </c>
      <c r="B388" t="s">
        <v>68</v>
      </c>
      <c r="D388" s="1">
        <v>46204</v>
      </c>
      <c r="E388" s="1">
        <v>47664</v>
      </c>
      <c r="F388" t="s">
        <v>4826</v>
      </c>
      <c r="G388" t="s">
        <v>4827</v>
      </c>
      <c r="H388" s="2" t="s">
        <v>4828</v>
      </c>
      <c r="I388" t="s">
        <v>4827</v>
      </c>
      <c r="K388" t="s">
        <v>4829</v>
      </c>
      <c r="L388">
        <v>5116375</v>
      </c>
      <c r="M388" t="s">
        <v>4830</v>
      </c>
      <c r="N388" t="s">
        <v>127</v>
      </c>
      <c r="O388" t="s">
        <v>128</v>
      </c>
      <c r="P388" t="s">
        <v>129</v>
      </c>
      <c r="Q388" t="s">
        <v>4831</v>
      </c>
      <c r="R388" t="s">
        <v>2535</v>
      </c>
      <c r="S388" t="s">
        <v>2536</v>
      </c>
      <c r="T388" t="s">
        <v>2537</v>
      </c>
      <c r="U388" t="s">
        <v>301</v>
      </c>
      <c r="V388" t="s">
        <v>82</v>
      </c>
      <c r="W388" t="s">
        <v>2535</v>
      </c>
      <c r="X388" t="s">
        <v>2536</v>
      </c>
      <c r="Y388" t="s">
        <v>2537</v>
      </c>
      <c r="Z388" t="s">
        <v>301</v>
      </c>
      <c r="AA388" t="s">
        <v>82</v>
      </c>
      <c r="AB388" t="s">
        <v>83</v>
      </c>
      <c r="AC388" t="s">
        <v>135</v>
      </c>
      <c r="AD388" t="s">
        <v>252</v>
      </c>
      <c r="AE388" t="s">
        <v>4832</v>
      </c>
      <c r="AF388" t="s">
        <v>252</v>
      </c>
      <c r="AG388" t="s">
        <v>4833</v>
      </c>
      <c r="AH388">
        <v>8</v>
      </c>
      <c r="AI388">
        <v>1198080</v>
      </c>
      <c r="AJ388">
        <v>119808</v>
      </c>
      <c r="AK388">
        <v>0</v>
      </c>
      <c r="AL388">
        <v>1317888</v>
      </c>
      <c r="AM388" t="s">
        <v>2535</v>
      </c>
      <c r="AN388" t="s">
        <v>2536</v>
      </c>
      <c r="AO388" t="s">
        <v>2537</v>
      </c>
      <c r="AP388" t="s">
        <v>301</v>
      </c>
      <c r="AQ388" t="s">
        <v>82</v>
      </c>
      <c r="AR388" t="s">
        <v>4834</v>
      </c>
      <c r="AS388" s="3">
        <v>46202.46522332255</v>
      </c>
      <c r="AT388" t="s">
        <v>89</v>
      </c>
      <c r="AU388" t="s">
        <v>90</v>
      </c>
      <c r="AV388" t="s">
        <v>2294</v>
      </c>
      <c r="AW388" t="s">
        <v>92</v>
      </c>
      <c r="AX388" t="s">
        <v>2295</v>
      </c>
      <c r="AY388" t="s">
        <v>94</v>
      </c>
      <c r="AZ388" t="s">
        <v>85</v>
      </c>
      <c r="BA388" t="s">
        <v>4835</v>
      </c>
      <c r="BB388" t="s">
        <v>4825</v>
      </c>
      <c r="BC388" t="s">
        <v>4827</v>
      </c>
      <c r="BD388" t="s">
        <v>2535</v>
      </c>
      <c r="BE388" t="s">
        <v>2536</v>
      </c>
      <c r="BF388" t="b">
        <f t="shared" si="6"/>
        <v>1</v>
      </c>
      <c r="BG388" t="b">
        <v>1</v>
      </c>
      <c r="BH388">
        <v>2012</v>
      </c>
      <c r="BI388" t="b">
        <v>1</v>
      </c>
      <c r="BJ388" t="s">
        <v>2297</v>
      </c>
      <c r="BK388" t="s">
        <v>2542</v>
      </c>
      <c r="BL388" t="b">
        <v>1</v>
      </c>
      <c r="BM388" t="b">
        <v>1</v>
      </c>
      <c r="BN388" t="b">
        <v>1</v>
      </c>
      <c r="BO388" t="s">
        <v>4836</v>
      </c>
      <c r="BP388" t="b">
        <f>IF(IFERROR(VLOOKUP(A388,[1]Planilha1!$A:$A,1,0),FALSE)=FALSE,FALSE,TRUE)</f>
        <v>1</v>
      </c>
    </row>
    <row r="389" spans="1:68" x14ac:dyDescent="0.25">
      <c r="A389" t="s">
        <v>4837</v>
      </c>
      <c r="B389" t="s">
        <v>68</v>
      </c>
      <c r="D389" s="1">
        <v>46204</v>
      </c>
      <c r="E389" s="1">
        <v>47664</v>
      </c>
      <c r="F389" t="s">
        <v>4838</v>
      </c>
      <c r="G389" t="s">
        <v>4839</v>
      </c>
      <c r="H389" s="2" t="s">
        <v>4840</v>
      </c>
      <c r="I389" t="s">
        <v>4839</v>
      </c>
      <c r="K389" t="s">
        <v>4841</v>
      </c>
      <c r="L389">
        <v>5116580</v>
      </c>
      <c r="M389" t="s">
        <v>4842</v>
      </c>
      <c r="N389" t="s">
        <v>389</v>
      </c>
      <c r="O389" t="s">
        <v>390</v>
      </c>
      <c r="P389" t="s">
        <v>107</v>
      </c>
      <c r="Q389" t="s">
        <v>1236</v>
      </c>
      <c r="R389" t="s">
        <v>2453</v>
      </c>
      <c r="S389" t="s">
        <v>2454</v>
      </c>
      <c r="T389" t="s">
        <v>768</v>
      </c>
      <c r="U389" t="s">
        <v>769</v>
      </c>
      <c r="V389" t="s">
        <v>82</v>
      </c>
      <c r="W389" t="s">
        <v>2453</v>
      </c>
      <c r="X389" t="s">
        <v>2454</v>
      </c>
      <c r="Y389" t="s">
        <v>768</v>
      </c>
      <c r="Z389" t="s">
        <v>769</v>
      </c>
      <c r="AA389" t="s">
        <v>82</v>
      </c>
      <c r="AB389" t="s">
        <v>83</v>
      </c>
      <c r="AC389" t="s">
        <v>202</v>
      </c>
      <c r="AD389" t="s">
        <v>149</v>
      </c>
      <c r="AE389" t="s">
        <v>4843</v>
      </c>
      <c r="AF389" t="s">
        <v>85</v>
      </c>
      <c r="AG389" t="s">
        <v>4844</v>
      </c>
      <c r="AH389">
        <v>4</v>
      </c>
      <c r="AI389">
        <v>998400</v>
      </c>
      <c r="AJ389">
        <v>132787.20000000001</v>
      </c>
      <c r="AK389">
        <v>0</v>
      </c>
      <c r="AL389">
        <v>1131187.2</v>
      </c>
      <c r="AM389" t="s">
        <v>2453</v>
      </c>
      <c r="AN389" t="s">
        <v>2454</v>
      </c>
      <c r="AO389" t="s">
        <v>768</v>
      </c>
      <c r="AP389" t="s">
        <v>769</v>
      </c>
      <c r="AQ389" t="s">
        <v>82</v>
      </c>
      <c r="AR389" t="s">
        <v>4845</v>
      </c>
      <c r="AS389" s="3">
        <v>46202.46522332255</v>
      </c>
      <c r="AT389" t="s">
        <v>89</v>
      </c>
      <c r="AU389" t="s">
        <v>90</v>
      </c>
      <c r="AV389" t="s">
        <v>2294</v>
      </c>
      <c r="AW389" t="s">
        <v>92</v>
      </c>
      <c r="AX389" t="s">
        <v>2295</v>
      </c>
      <c r="AY389" t="s">
        <v>94</v>
      </c>
      <c r="AZ389" t="s">
        <v>85</v>
      </c>
      <c r="BA389" t="s">
        <v>4846</v>
      </c>
      <c r="BB389" t="s">
        <v>4837</v>
      </c>
      <c r="BC389" t="s">
        <v>4839</v>
      </c>
      <c r="BD389" t="s">
        <v>2453</v>
      </c>
      <c r="BE389" t="s">
        <v>2454</v>
      </c>
      <c r="BF389" t="b">
        <f t="shared" si="6"/>
        <v>1</v>
      </c>
      <c r="BG389" t="b">
        <v>1</v>
      </c>
      <c r="BH389">
        <v>2021</v>
      </c>
      <c r="BI389" t="b">
        <v>1</v>
      </c>
      <c r="BJ389" t="s">
        <v>2297</v>
      </c>
      <c r="BK389" t="s">
        <v>2459</v>
      </c>
      <c r="BL389" t="b">
        <v>1</v>
      </c>
      <c r="BM389" t="b">
        <v>1</v>
      </c>
      <c r="BN389" t="b">
        <v>1</v>
      </c>
      <c r="BO389" t="s">
        <v>4847</v>
      </c>
      <c r="BP389" t="b">
        <f>IF(IFERROR(VLOOKUP(A389,[1]Planilha1!$A:$A,1,0),FALSE)=FALSE,FALSE,TRUE)</f>
        <v>1</v>
      </c>
    </row>
    <row r="390" spans="1:68" x14ac:dyDescent="0.25">
      <c r="A390" t="s">
        <v>4848</v>
      </c>
      <c r="B390" t="s">
        <v>68</v>
      </c>
      <c r="D390" s="1">
        <v>46204</v>
      </c>
      <c r="E390" s="1">
        <v>47664</v>
      </c>
      <c r="F390" t="s">
        <v>4849</v>
      </c>
      <c r="G390" t="s">
        <v>4850</v>
      </c>
      <c r="H390" s="2" t="s">
        <v>4851</v>
      </c>
      <c r="I390" t="s">
        <v>4850</v>
      </c>
      <c r="K390" t="s">
        <v>4852</v>
      </c>
      <c r="L390">
        <v>5116829</v>
      </c>
      <c r="M390" t="s">
        <v>4853</v>
      </c>
      <c r="N390" t="s">
        <v>359</v>
      </c>
      <c r="O390" t="s">
        <v>360</v>
      </c>
      <c r="P390" t="s">
        <v>129</v>
      </c>
      <c r="Q390" t="s">
        <v>2273</v>
      </c>
      <c r="R390" t="s">
        <v>2453</v>
      </c>
      <c r="S390" t="s">
        <v>2454</v>
      </c>
      <c r="T390" t="s">
        <v>768</v>
      </c>
      <c r="U390" t="s">
        <v>769</v>
      </c>
      <c r="V390" t="s">
        <v>82</v>
      </c>
      <c r="W390" t="s">
        <v>2453</v>
      </c>
      <c r="X390" t="s">
        <v>2454</v>
      </c>
      <c r="Y390" t="s">
        <v>768</v>
      </c>
      <c r="Z390" t="s">
        <v>769</v>
      </c>
      <c r="AA390" t="s">
        <v>82</v>
      </c>
      <c r="AB390" t="s">
        <v>83</v>
      </c>
      <c r="AC390" t="s">
        <v>185</v>
      </c>
      <c r="AD390" t="s">
        <v>85</v>
      </c>
      <c r="AE390" t="s">
        <v>4854</v>
      </c>
      <c r="AF390" t="s">
        <v>85</v>
      </c>
      <c r="AG390" t="s">
        <v>4855</v>
      </c>
      <c r="AH390">
        <v>5</v>
      </c>
      <c r="AI390">
        <v>557180</v>
      </c>
      <c r="AJ390">
        <v>39000</v>
      </c>
      <c r="AK390">
        <v>0</v>
      </c>
      <c r="AL390">
        <v>596180</v>
      </c>
      <c r="AM390" t="s">
        <v>2453</v>
      </c>
      <c r="AN390" t="s">
        <v>2454</v>
      </c>
      <c r="AO390" t="s">
        <v>768</v>
      </c>
      <c r="AP390" t="s">
        <v>769</v>
      </c>
      <c r="AQ390" t="s">
        <v>82</v>
      </c>
      <c r="AR390" t="s">
        <v>4856</v>
      </c>
      <c r="AS390" s="3">
        <v>46202.46522332255</v>
      </c>
      <c r="AT390" t="s">
        <v>89</v>
      </c>
      <c r="AU390" t="s">
        <v>90</v>
      </c>
      <c r="AV390" t="s">
        <v>2294</v>
      </c>
      <c r="AW390" t="s">
        <v>92</v>
      </c>
      <c r="AX390" t="s">
        <v>2295</v>
      </c>
      <c r="AY390" t="s">
        <v>94</v>
      </c>
      <c r="AZ390" t="s">
        <v>85</v>
      </c>
      <c r="BA390" t="s">
        <v>4857</v>
      </c>
      <c r="BB390" t="s">
        <v>4848</v>
      </c>
      <c r="BC390" t="s">
        <v>4850</v>
      </c>
      <c r="BD390" t="s">
        <v>2453</v>
      </c>
      <c r="BE390" t="s">
        <v>2454</v>
      </c>
      <c r="BF390" t="b">
        <f t="shared" si="6"/>
        <v>1</v>
      </c>
      <c r="BG390" t="b">
        <v>1</v>
      </c>
      <c r="BH390">
        <v>2022</v>
      </c>
      <c r="BI390" t="b">
        <v>1</v>
      </c>
      <c r="BJ390" t="s">
        <v>2297</v>
      </c>
      <c r="BK390" t="s">
        <v>2459</v>
      </c>
      <c r="BL390" t="b">
        <v>1</v>
      </c>
      <c r="BM390" t="b">
        <v>1</v>
      </c>
      <c r="BN390" t="b">
        <v>1</v>
      </c>
      <c r="BO390" t="s">
        <v>2484</v>
      </c>
      <c r="BP390" t="b">
        <f>IF(IFERROR(VLOOKUP(A390,[1]Planilha1!$A:$A,1,0),FALSE)=FALSE,FALSE,TRUE)</f>
        <v>1</v>
      </c>
    </row>
    <row r="391" spans="1:68" x14ac:dyDescent="0.25">
      <c r="A391" t="s">
        <v>4858</v>
      </c>
      <c r="B391" t="s">
        <v>68</v>
      </c>
      <c r="D391" s="1">
        <v>46204</v>
      </c>
      <c r="E391" s="1">
        <v>47664</v>
      </c>
      <c r="F391" t="s">
        <v>4859</v>
      </c>
      <c r="G391" t="s">
        <v>4860</v>
      </c>
      <c r="H391" s="2" t="s">
        <v>4861</v>
      </c>
      <c r="I391" t="s">
        <v>4860</v>
      </c>
      <c r="K391" t="s">
        <v>4862</v>
      </c>
      <c r="L391">
        <v>5116697</v>
      </c>
      <c r="M391" t="s">
        <v>4863</v>
      </c>
      <c r="N391" t="s">
        <v>359</v>
      </c>
      <c r="O391" t="s">
        <v>360</v>
      </c>
      <c r="P391" t="s">
        <v>129</v>
      </c>
      <c r="Q391" t="s">
        <v>2273</v>
      </c>
      <c r="R391" t="s">
        <v>2535</v>
      </c>
      <c r="S391" t="s">
        <v>2536</v>
      </c>
      <c r="T391" t="s">
        <v>2537</v>
      </c>
      <c r="U391" t="s">
        <v>301</v>
      </c>
      <c r="V391" t="s">
        <v>82</v>
      </c>
      <c r="W391" t="s">
        <v>2535</v>
      </c>
      <c r="X391" t="s">
        <v>2536</v>
      </c>
      <c r="Y391" t="s">
        <v>2537</v>
      </c>
      <c r="Z391" t="s">
        <v>301</v>
      </c>
      <c r="AA391" t="s">
        <v>82</v>
      </c>
      <c r="AB391" t="s">
        <v>83</v>
      </c>
      <c r="AC391" t="s">
        <v>185</v>
      </c>
      <c r="AD391" t="s">
        <v>149</v>
      </c>
      <c r="AE391" t="s">
        <v>4864</v>
      </c>
      <c r="AF391" t="s">
        <v>85</v>
      </c>
      <c r="AG391" t="s">
        <v>4865</v>
      </c>
      <c r="AH391">
        <v>9</v>
      </c>
      <c r="AI391">
        <v>1364520</v>
      </c>
      <c r="AJ391">
        <v>135260</v>
      </c>
      <c r="AK391">
        <v>0</v>
      </c>
      <c r="AL391">
        <v>1499780</v>
      </c>
      <c r="AM391" t="s">
        <v>2535</v>
      </c>
      <c r="AN391" t="s">
        <v>2536</v>
      </c>
      <c r="AO391" t="s">
        <v>2537</v>
      </c>
      <c r="AP391" t="s">
        <v>301</v>
      </c>
      <c r="AQ391" t="s">
        <v>82</v>
      </c>
      <c r="AR391" t="s">
        <v>4866</v>
      </c>
      <c r="AS391" s="3">
        <v>46202.46522332255</v>
      </c>
      <c r="AT391" t="s">
        <v>89</v>
      </c>
      <c r="AU391" t="s">
        <v>90</v>
      </c>
      <c r="AV391" t="s">
        <v>2294</v>
      </c>
      <c r="AW391" t="s">
        <v>92</v>
      </c>
      <c r="AX391" t="s">
        <v>2295</v>
      </c>
      <c r="AY391" t="s">
        <v>94</v>
      </c>
      <c r="AZ391" t="s">
        <v>85</v>
      </c>
      <c r="BA391" t="s">
        <v>4867</v>
      </c>
      <c r="BB391" t="s">
        <v>4858</v>
      </c>
      <c r="BC391" t="s">
        <v>4860</v>
      </c>
      <c r="BD391" t="s">
        <v>2535</v>
      </c>
      <c r="BE391" t="s">
        <v>2536</v>
      </c>
      <c r="BF391" t="b">
        <f t="shared" si="6"/>
        <v>1</v>
      </c>
      <c r="BG391" t="b">
        <v>1</v>
      </c>
      <c r="BH391">
        <v>2023</v>
      </c>
      <c r="BI391" t="b">
        <v>1</v>
      </c>
      <c r="BJ391" t="s">
        <v>2297</v>
      </c>
      <c r="BK391" t="s">
        <v>2542</v>
      </c>
      <c r="BL391" t="b">
        <v>1</v>
      </c>
      <c r="BM391" t="b">
        <v>1</v>
      </c>
      <c r="BN391" t="b">
        <v>1</v>
      </c>
      <c r="BO391" t="s">
        <v>4868</v>
      </c>
      <c r="BP391" t="b">
        <f>IF(IFERROR(VLOOKUP(A391,[1]Planilha1!$A:$A,1,0),FALSE)=FALSE,FALSE,TRUE)</f>
        <v>1</v>
      </c>
    </row>
    <row r="392" spans="1:68" x14ac:dyDescent="0.25">
      <c r="A392" t="s">
        <v>4869</v>
      </c>
      <c r="B392" t="s">
        <v>68</v>
      </c>
      <c r="D392" s="1">
        <v>46204</v>
      </c>
      <c r="E392" s="1">
        <v>47664</v>
      </c>
      <c r="F392" t="s">
        <v>4870</v>
      </c>
      <c r="G392" t="s">
        <v>4871</v>
      </c>
      <c r="H392" s="2" t="s">
        <v>4872</v>
      </c>
      <c r="I392" t="s">
        <v>4871</v>
      </c>
      <c r="K392" t="s">
        <v>4873</v>
      </c>
      <c r="L392">
        <v>5116787</v>
      </c>
      <c r="M392" t="s">
        <v>4874</v>
      </c>
      <c r="N392" t="s">
        <v>1576</v>
      </c>
      <c r="O392" t="s">
        <v>1577</v>
      </c>
      <c r="P392" t="s">
        <v>439</v>
      </c>
      <c r="Q392" t="s">
        <v>1578</v>
      </c>
      <c r="R392" t="s">
        <v>2289</v>
      </c>
      <c r="S392" t="s">
        <v>2290</v>
      </c>
      <c r="T392" t="s">
        <v>184</v>
      </c>
      <c r="U392" t="s">
        <v>112</v>
      </c>
      <c r="V392" t="s">
        <v>82</v>
      </c>
      <c r="W392" t="s">
        <v>2289</v>
      </c>
      <c r="X392" t="s">
        <v>2290</v>
      </c>
      <c r="Y392" t="s">
        <v>184</v>
      </c>
      <c r="Z392" t="s">
        <v>112</v>
      </c>
      <c r="AA392" t="s">
        <v>82</v>
      </c>
      <c r="AB392" t="s">
        <v>83</v>
      </c>
      <c r="AC392" t="s">
        <v>1135</v>
      </c>
      <c r="AD392" t="s">
        <v>149</v>
      </c>
      <c r="AE392" t="s">
        <v>4875</v>
      </c>
      <c r="AF392" t="s">
        <v>85</v>
      </c>
      <c r="AG392" t="s">
        <v>4876</v>
      </c>
      <c r="AH392">
        <v>3</v>
      </c>
      <c r="AI392">
        <v>486720</v>
      </c>
      <c r="AJ392">
        <v>46560</v>
      </c>
      <c r="AK392">
        <v>0</v>
      </c>
      <c r="AL392">
        <v>533280</v>
      </c>
      <c r="AM392" t="s">
        <v>2289</v>
      </c>
      <c r="AN392" t="s">
        <v>2290</v>
      </c>
      <c r="AO392" t="s">
        <v>184</v>
      </c>
      <c r="AP392" t="s">
        <v>112</v>
      </c>
      <c r="AQ392" t="s">
        <v>82</v>
      </c>
      <c r="AR392" t="s">
        <v>4877</v>
      </c>
      <c r="AS392" s="3">
        <v>46202.46522332255</v>
      </c>
      <c r="AT392" t="s">
        <v>89</v>
      </c>
      <c r="AU392" t="s">
        <v>90</v>
      </c>
      <c r="AV392" t="s">
        <v>2294</v>
      </c>
      <c r="AW392" t="s">
        <v>92</v>
      </c>
      <c r="AX392" t="s">
        <v>2295</v>
      </c>
      <c r="AY392" t="s">
        <v>94</v>
      </c>
      <c r="AZ392" t="s">
        <v>85</v>
      </c>
      <c r="BA392" t="s">
        <v>4878</v>
      </c>
      <c r="BB392" t="s">
        <v>4869</v>
      </c>
      <c r="BC392" t="s">
        <v>4871</v>
      </c>
      <c r="BD392" t="s">
        <v>2289</v>
      </c>
      <c r="BE392" t="s">
        <v>2290</v>
      </c>
      <c r="BF392" t="b">
        <f t="shared" si="6"/>
        <v>1</v>
      </c>
      <c r="BG392" t="b">
        <v>1</v>
      </c>
      <c r="BH392">
        <v>2021</v>
      </c>
      <c r="BI392" t="b">
        <v>1</v>
      </c>
      <c r="BJ392" t="s">
        <v>2297</v>
      </c>
      <c r="BK392" t="s">
        <v>2298</v>
      </c>
      <c r="BL392" t="b">
        <v>1</v>
      </c>
      <c r="BM392" t="b">
        <v>1</v>
      </c>
      <c r="BN392" t="b">
        <v>1</v>
      </c>
      <c r="BO392" t="s">
        <v>4879</v>
      </c>
      <c r="BP392" t="b">
        <f>IF(IFERROR(VLOOKUP(A392,[1]Planilha1!$A:$A,1,0),FALSE)=FALSE,FALSE,TRUE)</f>
        <v>1</v>
      </c>
    </row>
    <row r="393" spans="1:68" x14ac:dyDescent="0.25">
      <c r="A393" t="s">
        <v>4880</v>
      </c>
      <c r="B393" t="s">
        <v>68</v>
      </c>
      <c r="D393" s="1">
        <v>46204</v>
      </c>
      <c r="E393" s="1">
        <v>47664</v>
      </c>
      <c r="F393" t="s">
        <v>4881</v>
      </c>
      <c r="G393" t="s">
        <v>4882</v>
      </c>
      <c r="H393" s="2" t="s">
        <v>4883</v>
      </c>
      <c r="I393" t="s">
        <v>4882</v>
      </c>
      <c r="K393" t="s">
        <v>4884</v>
      </c>
      <c r="L393">
        <v>5116589</v>
      </c>
      <c r="M393" t="s">
        <v>4885</v>
      </c>
      <c r="N393" t="s">
        <v>328</v>
      </c>
      <c r="O393" t="s">
        <v>329</v>
      </c>
      <c r="P393" t="s">
        <v>107</v>
      </c>
      <c r="Q393" t="s">
        <v>4886</v>
      </c>
      <c r="R393" t="s">
        <v>2378</v>
      </c>
      <c r="S393" t="s">
        <v>2379</v>
      </c>
      <c r="T393" t="s">
        <v>1151</v>
      </c>
      <c r="U393" t="s">
        <v>769</v>
      </c>
      <c r="V393" t="s">
        <v>82</v>
      </c>
      <c r="W393" t="s">
        <v>2378</v>
      </c>
      <c r="X393" t="s">
        <v>2379</v>
      </c>
      <c r="Y393" t="s">
        <v>1151</v>
      </c>
      <c r="Z393" t="s">
        <v>769</v>
      </c>
      <c r="AA393" t="s">
        <v>82</v>
      </c>
      <c r="AB393" t="s">
        <v>83</v>
      </c>
      <c r="AC393" t="s">
        <v>333</v>
      </c>
      <c r="AD393" t="s">
        <v>149</v>
      </c>
      <c r="AE393" t="s">
        <v>4887</v>
      </c>
      <c r="AF393" t="s">
        <v>85</v>
      </c>
      <c r="AG393" t="s">
        <v>4888</v>
      </c>
      <c r="AH393">
        <v>8</v>
      </c>
      <c r="AI393">
        <v>1302080</v>
      </c>
      <c r="AJ393">
        <v>144500</v>
      </c>
      <c r="AK393">
        <v>0</v>
      </c>
      <c r="AL393">
        <v>1446580</v>
      </c>
      <c r="AM393" t="s">
        <v>2378</v>
      </c>
      <c r="AN393" t="s">
        <v>2379</v>
      </c>
      <c r="AO393" t="s">
        <v>1151</v>
      </c>
      <c r="AP393" t="s">
        <v>769</v>
      </c>
      <c r="AQ393" t="s">
        <v>82</v>
      </c>
      <c r="AR393" t="s">
        <v>4889</v>
      </c>
      <c r="AS393" s="3">
        <v>46202.46522332255</v>
      </c>
      <c r="AT393" t="s">
        <v>89</v>
      </c>
      <c r="AU393" t="s">
        <v>90</v>
      </c>
      <c r="AV393" t="s">
        <v>2294</v>
      </c>
      <c r="AW393" t="s">
        <v>92</v>
      </c>
      <c r="AX393" t="s">
        <v>2295</v>
      </c>
      <c r="AY393" t="s">
        <v>94</v>
      </c>
      <c r="AZ393" t="s">
        <v>85</v>
      </c>
      <c r="BA393" t="s">
        <v>4890</v>
      </c>
      <c r="BB393" t="s">
        <v>4880</v>
      </c>
      <c r="BC393" t="s">
        <v>4882</v>
      </c>
      <c r="BD393" t="s">
        <v>2378</v>
      </c>
      <c r="BE393" t="s">
        <v>2379</v>
      </c>
      <c r="BF393" t="b">
        <f t="shared" si="6"/>
        <v>1</v>
      </c>
      <c r="BG393" t="b">
        <v>1</v>
      </c>
      <c r="BH393">
        <v>2023</v>
      </c>
      <c r="BI393" t="b">
        <v>1</v>
      </c>
      <c r="BJ393" t="s">
        <v>2297</v>
      </c>
      <c r="BK393" t="s">
        <v>2384</v>
      </c>
      <c r="BL393" t="b">
        <v>1</v>
      </c>
      <c r="BM393" t="b">
        <v>1</v>
      </c>
      <c r="BN393" t="b">
        <v>1</v>
      </c>
      <c r="BO393" t="s">
        <v>4891</v>
      </c>
      <c r="BP393" t="b">
        <f>IF(IFERROR(VLOOKUP(A393,[1]Planilha1!$A:$A,1,0),FALSE)=FALSE,FALSE,TRUE)</f>
        <v>1</v>
      </c>
    </row>
    <row r="394" spans="1:68" x14ac:dyDescent="0.25">
      <c r="A394" t="s">
        <v>4892</v>
      </c>
      <c r="B394" t="s">
        <v>68</v>
      </c>
      <c r="D394" s="1">
        <v>46204</v>
      </c>
      <c r="E394" s="1">
        <v>47664</v>
      </c>
      <c r="F394" t="s">
        <v>4893</v>
      </c>
      <c r="G394" t="s">
        <v>4894</v>
      </c>
      <c r="H394" s="2" t="s">
        <v>4895</v>
      </c>
      <c r="I394" t="s">
        <v>4894</v>
      </c>
      <c r="K394" t="s">
        <v>4896</v>
      </c>
      <c r="L394">
        <v>5116889</v>
      </c>
      <c r="M394" t="s">
        <v>4897</v>
      </c>
      <c r="N394" t="s">
        <v>749</v>
      </c>
      <c r="O394" t="s">
        <v>750</v>
      </c>
      <c r="P394" t="s">
        <v>647</v>
      </c>
      <c r="Q394" t="s">
        <v>751</v>
      </c>
      <c r="R394" t="s">
        <v>2378</v>
      </c>
      <c r="S394" t="s">
        <v>2379</v>
      </c>
      <c r="T394" t="s">
        <v>1151</v>
      </c>
      <c r="U394" t="s">
        <v>769</v>
      </c>
      <c r="V394" t="s">
        <v>82</v>
      </c>
      <c r="W394" t="s">
        <v>2378</v>
      </c>
      <c r="X394" t="s">
        <v>2379</v>
      </c>
      <c r="Y394" t="s">
        <v>1151</v>
      </c>
      <c r="Z394" t="s">
        <v>769</v>
      </c>
      <c r="AA394" t="s">
        <v>82</v>
      </c>
      <c r="AB394" t="s">
        <v>83</v>
      </c>
      <c r="AC394" t="s">
        <v>649</v>
      </c>
      <c r="AD394" t="s">
        <v>85</v>
      </c>
      <c r="AE394" t="s">
        <v>4898</v>
      </c>
      <c r="AF394" t="s">
        <v>85</v>
      </c>
      <c r="AG394" t="s">
        <v>4899</v>
      </c>
      <c r="AH394">
        <v>8</v>
      </c>
      <c r="AI394">
        <v>1297920</v>
      </c>
      <c r="AJ394">
        <v>144213.32999999999</v>
      </c>
      <c r="AK394">
        <v>0</v>
      </c>
      <c r="AL394">
        <v>1442133.33</v>
      </c>
      <c r="AR394" t="s">
        <v>4900</v>
      </c>
      <c r="AS394" s="3">
        <v>46202.46522332255</v>
      </c>
      <c r="AT394" t="s">
        <v>89</v>
      </c>
      <c r="AU394" t="s">
        <v>90</v>
      </c>
      <c r="AV394" t="s">
        <v>2294</v>
      </c>
      <c r="AW394" t="s">
        <v>92</v>
      </c>
      <c r="AX394" t="s">
        <v>2295</v>
      </c>
      <c r="AY394" t="s">
        <v>94</v>
      </c>
      <c r="AZ394" t="s">
        <v>85</v>
      </c>
      <c r="BA394" t="s">
        <v>4901</v>
      </c>
      <c r="BB394" t="s">
        <v>4892</v>
      </c>
      <c r="BC394" t="s">
        <v>4894</v>
      </c>
      <c r="BD394" t="s">
        <v>2378</v>
      </c>
      <c r="BE394" t="s">
        <v>2379</v>
      </c>
      <c r="BF394" t="b">
        <f t="shared" si="6"/>
        <v>1</v>
      </c>
      <c r="BG394" t="b">
        <v>1</v>
      </c>
      <c r="BH394">
        <v>2006</v>
      </c>
      <c r="BI394" t="b">
        <v>1</v>
      </c>
      <c r="BJ394" t="s">
        <v>2297</v>
      </c>
      <c r="BK394" t="s">
        <v>2384</v>
      </c>
      <c r="BL394" t="b">
        <v>1</v>
      </c>
      <c r="BM394" t="b">
        <v>1</v>
      </c>
      <c r="BN394" t="b">
        <v>0</v>
      </c>
      <c r="BO394" t="s">
        <v>4902</v>
      </c>
      <c r="BP394" t="b">
        <f>IF(IFERROR(VLOOKUP(A394,[1]Planilha1!$A:$A,1,0),FALSE)=FALSE,FALSE,TRUE)</f>
        <v>1</v>
      </c>
    </row>
    <row r="395" spans="1:68" x14ac:dyDescent="0.25">
      <c r="A395" t="s">
        <v>4903</v>
      </c>
      <c r="B395" t="s">
        <v>68</v>
      </c>
      <c r="D395" s="1">
        <v>46204</v>
      </c>
      <c r="E395" s="1">
        <v>47664</v>
      </c>
      <c r="F395" t="s">
        <v>4904</v>
      </c>
      <c r="G395" t="s">
        <v>4905</v>
      </c>
      <c r="H395" s="2" t="s">
        <v>4906</v>
      </c>
      <c r="I395" t="s">
        <v>4905</v>
      </c>
      <c r="K395" t="s">
        <v>4907</v>
      </c>
      <c r="L395">
        <v>5116349</v>
      </c>
      <c r="M395" t="s">
        <v>4908</v>
      </c>
      <c r="N395" t="s">
        <v>127</v>
      </c>
      <c r="O395" t="s">
        <v>128</v>
      </c>
      <c r="P395" t="s">
        <v>129</v>
      </c>
      <c r="Q395" t="s">
        <v>4909</v>
      </c>
      <c r="R395" t="s">
        <v>2535</v>
      </c>
      <c r="S395" t="s">
        <v>2536</v>
      </c>
      <c r="T395" t="s">
        <v>2537</v>
      </c>
      <c r="U395" t="s">
        <v>301</v>
      </c>
      <c r="V395" t="s">
        <v>82</v>
      </c>
      <c r="W395" t="s">
        <v>2535</v>
      </c>
      <c r="X395" t="s">
        <v>2536</v>
      </c>
      <c r="Y395" t="s">
        <v>2537</v>
      </c>
      <c r="Z395" t="s">
        <v>301</v>
      </c>
      <c r="AA395" t="s">
        <v>82</v>
      </c>
      <c r="AB395" t="s">
        <v>83</v>
      </c>
      <c r="AC395" t="s">
        <v>135</v>
      </c>
      <c r="AD395" t="s">
        <v>1396</v>
      </c>
      <c r="AE395" t="s">
        <v>4910</v>
      </c>
      <c r="AF395" t="s">
        <v>1396</v>
      </c>
      <c r="AG395" t="s">
        <v>4911</v>
      </c>
      <c r="AH395">
        <v>22</v>
      </c>
      <c r="AI395">
        <v>1359360</v>
      </c>
      <c r="AJ395">
        <v>135500</v>
      </c>
      <c r="AK395">
        <v>0</v>
      </c>
      <c r="AL395">
        <v>1494860</v>
      </c>
      <c r="AM395" t="s">
        <v>2535</v>
      </c>
      <c r="AN395" t="s">
        <v>2536</v>
      </c>
      <c r="AO395" t="s">
        <v>2537</v>
      </c>
      <c r="AP395" t="s">
        <v>301</v>
      </c>
      <c r="AQ395" t="s">
        <v>82</v>
      </c>
      <c r="AR395" t="s">
        <v>4912</v>
      </c>
      <c r="AS395" s="3">
        <v>46202.46522332255</v>
      </c>
      <c r="AT395" t="s">
        <v>89</v>
      </c>
      <c r="AU395" t="s">
        <v>90</v>
      </c>
      <c r="AV395" t="s">
        <v>2294</v>
      </c>
      <c r="AW395" t="s">
        <v>92</v>
      </c>
      <c r="AX395" t="s">
        <v>2295</v>
      </c>
      <c r="AY395" t="s">
        <v>94</v>
      </c>
      <c r="AZ395" t="s">
        <v>85</v>
      </c>
      <c r="BA395" t="s">
        <v>4913</v>
      </c>
      <c r="BB395" t="s">
        <v>4903</v>
      </c>
      <c r="BC395" t="s">
        <v>4905</v>
      </c>
      <c r="BD395" t="s">
        <v>2535</v>
      </c>
      <c r="BE395" t="s">
        <v>2536</v>
      </c>
      <c r="BF395" t="b">
        <f t="shared" si="6"/>
        <v>1</v>
      </c>
      <c r="BG395" t="b">
        <v>1</v>
      </c>
      <c r="BH395">
        <v>2018</v>
      </c>
      <c r="BI395" t="b">
        <v>1</v>
      </c>
      <c r="BJ395" t="s">
        <v>2297</v>
      </c>
      <c r="BK395" t="s">
        <v>2542</v>
      </c>
      <c r="BL395" t="b">
        <v>1</v>
      </c>
      <c r="BM395" t="b">
        <v>1</v>
      </c>
      <c r="BN395" t="b">
        <v>1</v>
      </c>
      <c r="BO395" t="s">
        <v>4914</v>
      </c>
      <c r="BP395" t="b">
        <f>IF(IFERROR(VLOOKUP(A395,[1]Planilha1!$A:$A,1,0),FALSE)=FALSE,FALSE,TRUE)</f>
        <v>1</v>
      </c>
    </row>
    <row r="396" spans="1:68" x14ac:dyDescent="0.25">
      <c r="A396" t="s">
        <v>4915</v>
      </c>
      <c r="B396" t="s">
        <v>68</v>
      </c>
      <c r="D396" s="1">
        <v>46204</v>
      </c>
      <c r="E396" s="1">
        <v>47664</v>
      </c>
      <c r="F396" t="s">
        <v>4916</v>
      </c>
      <c r="G396" t="s">
        <v>4917</v>
      </c>
      <c r="H396" s="2" t="s">
        <v>4918</v>
      </c>
      <c r="I396" t="s">
        <v>4917</v>
      </c>
      <c r="K396" t="s">
        <v>4919</v>
      </c>
      <c r="L396">
        <v>5116888</v>
      </c>
      <c r="M396" t="s">
        <v>4920</v>
      </c>
      <c r="N396" t="s">
        <v>127</v>
      </c>
      <c r="O396" t="s">
        <v>128</v>
      </c>
      <c r="P396" t="s">
        <v>129</v>
      </c>
      <c r="Q396" t="s">
        <v>4909</v>
      </c>
      <c r="R396" t="s">
        <v>2453</v>
      </c>
      <c r="S396" t="s">
        <v>2454</v>
      </c>
      <c r="T396" t="s">
        <v>768</v>
      </c>
      <c r="U396" t="s">
        <v>769</v>
      </c>
      <c r="V396" t="s">
        <v>82</v>
      </c>
      <c r="W396" t="s">
        <v>2453</v>
      </c>
      <c r="X396" t="s">
        <v>2454</v>
      </c>
      <c r="Y396" t="s">
        <v>768</v>
      </c>
      <c r="Z396" t="s">
        <v>769</v>
      </c>
      <c r="AA396" t="s">
        <v>82</v>
      </c>
      <c r="AB396" t="s">
        <v>83</v>
      </c>
      <c r="AC396" t="s">
        <v>135</v>
      </c>
      <c r="AD396" t="s">
        <v>85</v>
      </c>
      <c r="AE396" t="s">
        <v>4921</v>
      </c>
      <c r="AF396" t="s">
        <v>85</v>
      </c>
      <c r="AG396" t="s">
        <v>4922</v>
      </c>
      <c r="AH396">
        <v>7</v>
      </c>
      <c r="AI396">
        <v>1350960</v>
      </c>
      <c r="AJ396">
        <v>149040</v>
      </c>
      <c r="AK396">
        <v>0</v>
      </c>
      <c r="AL396">
        <v>1500000</v>
      </c>
      <c r="AM396" t="s">
        <v>4923</v>
      </c>
      <c r="AN396" t="s">
        <v>4924</v>
      </c>
      <c r="AQ396" t="s">
        <v>4925</v>
      </c>
      <c r="AR396" t="s">
        <v>4926</v>
      </c>
      <c r="AS396" s="3">
        <v>46202.46522332255</v>
      </c>
      <c r="AT396" t="s">
        <v>89</v>
      </c>
      <c r="AU396" t="s">
        <v>90</v>
      </c>
      <c r="AV396" t="s">
        <v>2294</v>
      </c>
      <c r="AW396" t="s">
        <v>92</v>
      </c>
      <c r="AX396" t="s">
        <v>2295</v>
      </c>
      <c r="AY396" t="s">
        <v>94</v>
      </c>
      <c r="AZ396" t="s">
        <v>85</v>
      </c>
      <c r="BA396" t="s">
        <v>4927</v>
      </c>
      <c r="BB396" t="s">
        <v>4915</v>
      </c>
      <c r="BC396" t="s">
        <v>4917</v>
      </c>
      <c r="BD396" t="s">
        <v>2453</v>
      </c>
      <c r="BE396" t="s">
        <v>2454</v>
      </c>
      <c r="BF396" t="b">
        <f t="shared" si="6"/>
        <v>1</v>
      </c>
      <c r="BG396" t="b">
        <v>1</v>
      </c>
      <c r="BH396">
        <v>2002</v>
      </c>
      <c r="BI396" t="b">
        <v>1</v>
      </c>
      <c r="BJ396" t="s">
        <v>2297</v>
      </c>
      <c r="BK396" t="s">
        <v>2459</v>
      </c>
      <c r="BL396" t="b">
        <v>1</v>
      </c>
      <c r="BM396" t="b">
        <v>1</v>
      </c>
      <c r="BN396" t="b">
        <v>1</v>
      </c>
      <c r="BO396" t="s">
        <v>4928</v>
      </c>
      <c r="BP396" t="b">
        <f>IF(IFERROR(VLOOKUP(A396,[1]Planilha1!$A:$A,1,0),FALSE)=FALSE,FALSE,TRUE)</f>
        <v>1</v>
      </c>
    </row>
    <row r="397" spans="1:68" x14ac:dyDescent="0.25">
      <c r="A397" t="s">
        <v>4929</v>
      </c>
      <c r="B397" t="s">
        <v>68</v>
      </c>
      <c r="D397" s="1">
        <v>46204</v>
      </c>
      <c r="E397" s="1">
        <v>47664</v>
      </c>
      <c r="F397" t="s">
        <v>4930</v>
      </c>
      <c r="G397" t="s">
        <v>4931</v>
      </c>
      <c r="H397" s="2" t="s">
        <v>4932</v>
      </c>
      <c r="I397" t="s">
        <v>4931</v>
      </c>
      <c r="K397" t="s">
        <v>4933</v>
      </c>
      <c r="L397">
        <v>5116607</v>
      </c>
      <c r="M397" t="s">
        <v>4934</v>
      </c>
      <c r="N397" t="s">
        <v>2017</v>
      </c>
      <c r="O397" t="s">
        <v>2018</v>
      </c>
      <c r="P397" t="s">
        <v>230</v>
      </c>
      <c r="Q397" t="s">
        <v>2019</v>
      </c>
      <c r="R397" t="s">
        <v>2289</v>
      </c>
      <c r="S397" t="s">
        <v>2290</v>
      </c>
      <c r="T397" t="s">
        <v>184</v>
      </c>
      <c r="U397" t="s">
        <v>112</v>
      </c>
      <c r="V397" t="s">
        <v>82</v>
      </c>
      <c r="W397" t="s">
        <v>2289</v>
      </c>
      <c r="X397" t="s">
        <v>2290</v>
      </c>
      <c r="Y397" t="s">
        <v>184</v>
      </c>
      <c r="Z397" t="s">
        <v>112</v>
      </c>
      <c r="AA397" t="s">
        <v>82</v>
      </c>
      <c r="AB397" t="s">
        <v>83</v>
      </c>
      <c r="AC397" t="s">
        <v>1013</v>
      </c>
      <c r="AD397" t="s">
        <v>149</v>
      </c>
      <c r="AE397" t="s">
        <v>4935</v>
      </c>
      <c r="AF397" t="s">
        <v>85</v>
      </c>
      <c r="AG397" t="s">
        <v>4936</v>
      </c>
      <c r="AH397">
        <v>7</v>
      </c>
      <c r="AI397">
        <v>924300</v>
      </c>
      <c r="AJ397">
        <v>92476.800000000003</v>
      </c>
      <c r="AK397">
        <v>0</v>
      </c>
      <c r="AL397">
        <v>1016776.8</v>
      </c>
      <c r="AM397" t="s">
        <v>2289</v>
      </c>
      <c r="AN397" t="s">
        <v>2290</v>
      </c>
      <c r="AO397" t="s">
        <v>184</v>
      </c>
      <c r="AP397" t="s">
        <v>112</v>
      </c>
      <c r="AQ397" t="s">
        <v>82</v>
      </c>
      <c r="AR397" t="s">
        <v>4937</v>
      </c>
      <c r="AS397" s="3">
        <v>46202.46522332255</v>
      </c>
      <c r="AT397" t="s">
        <v>89</v>
      </c>
      <c r="AU397" t="s">
        <v>90</v>
      </c>
      <c r="AV397" t="s">
        <v>2294</v>
      </c>
      <c r="AW397" t="s">
        <v>92</v>
      </c>
      <c r="AX397" t="s">
        <v>2295</v>
      </c>
      <c r="AY397" t="s">
        <v>94</v>
      </c>
      <c r="AZ397" t="s">
        <v>85</v>
      </c>
      <c r="BA397" t="s">
        <v>4938</v>
      </c>
      <c r="BB397" t="s">
        <v>4929</v>
      </c>
      <c r="BC397" t="s">
        <v>4931</v>
      </c>
      <c r="BD397" t="s">
        <v>2289</v>
      </c>
      <c r="BE397" t="s">
        <v>2290</v>
      </c>
      <c r="BF397" t="b">
        <f t="shared" si="6"/>
        <v>1</v>
      </c>
      <c r="BG397" t="b">
        <v>1</v>
      </c>
      <c r="BH397">
        <v>2005</v>
      </c>
      <c r="BI397" t="b">
        <v>1</v>
      </c>
      <c r="BJ397" t="s">
        <v>2297</v>
      </c>
      <c r="BK397" t="s">
        <v>2298</v>
      </c>
      <c r="BL397" t="b">
        <v>1</v>
      </c>
      <c r="BM397" t="b">
        <v>1</v>
      </c>
      <c r="BN397" t="b">
        <v>1</v>
      </c>
      <c r="BO397" t="s">
        <v>4939</v>
      </c>
      <c r="BP397" t="b">
        <f>IF(IFERROR(VLOOKUP(A397,[1]Planilha1!$A:$A,1,0),FALSE)=FALSE,FALSE,TRUE)</f>
        <v>1</v>
      </c>
    </row>
    <row r="398" spans="1:68" x14ac:dyDescent="0.25">
      <c r="A398" t="s">
        <v>4940</v>
      </c>
      <c r="B398" t="s">
        <v>68</v>
      </c>
      <c r="D398" s="1">
        <v>46204</v>
      </c>
      <c r="E398" s="1">
        <v>47664</v>
      </c>
      <c r="F398" t="s">
        <v>4941</v>
      </c>
      <c r="G398" t="s">
        <v>4942</v>
      </c>
      <c r="H398" s="2" t="s">
        <v>4943</v>
      </c>
      <c r="I398" t="s">
        <v>4942</v>
      </c>
      <c r="K398" t="s">
        <v>4944</v>
      </c>
      <c r="L398">
        <v>5116579</v>
      </c>
      <c r="M398" t="s">
        <v>4945</v>
      </c>
      <c r="N398" t="s">
        <v>1378</v>
      </c>
      <c r="O398" t="s">
        <v>1379</v>
      </c>
      <c r="P398" t="s">
        <v>529</v>
      </c>
      <c r="Q398" t="s">
        <v>2574</v>
      </c>
      <c r="R398" t="s">
        <v>2289</v>
      </c>
      <c r="S398" t="s">
        <v>2290</v>
      </c>
      <c r="T398" t="s">
        <v>184</v>
      </c>
      <c r="U398" t="s">
        <v>112</v>
      </c>
      <c r="V398" t="s">
        <v>82</v>
      </c>
      <c r="W398" t="s">
        <v>2289</v>
      </c>
      <c r="X398" t="s">
        <v>2290</v>
      </c>
      <c r="Y398" t="s">
        <v>184</v>
      </c>
      <c r="Z398" t="s">
        <v>112</v>
      </c>
      <c r="AA398" t="s">
        <v>82</v>
      </c>
      <c r="AB398" t="s">
        <v>83</v>
      </c>
      <c r="AC398" t="s">
        <v>1013</v>
      </c>
      <c r="AD398" t="s">
        <v>149</v>
      </c>
      <c r="AE398" t="s">
        <v>4946</v>
      </c>
      <c r="AF398" t="s">
        <v>85</v>
      </c>
      <c r="AG398" t="s">
        <v>4947</v>
      </c>
      <c r="AH398">
        <v>4</v>
      </c>
      <c r="AI398">
        <v>823680</v>
      </c>
      <c r="AJ398">
        <v>82368</v>
      </c>
      <c r="AK398">
        <v>0</v>
      </c>
      <c r="AL398">
        <v>906048</v>
      </c>
      <c r="AM398" t="s">
        <v>2289</v>
      </c>
      <c r="AN398" t="s">
        <v>2290</v>
      </c>
      <c r="AO398" t="s">
        <v>184</v>
      </c>
      <c r="AP398" t="s">
        <v>112</v>
      </c>
      <c r="AQ398" t="s">
        <v>82</v>
      </c>
      <c r="AR398" t="s">
        <v>4948</v>
      </c>
      <c r="AS398" s="3">
        <v>46202.46522332255</v>
      </c>
      <c r="AT398" t="s">
        <v>89</v>
      </c>
      <c r="AU398" t="s">
        <v>90</v>
      </c>
      <c r="AV398" t="s">
        <v>2294</v>
      </c>
      <c r="AW398" t="s">
        <v>92</v>
      </c>
      <c r="AX398" t="s">
        <v>2295</v>
      </c>
      <c r="AY398" t="s">
        <v>94</v>
      </c>
      <c r="AZ398" t="s">
        <v>85</v>
      </c>
      <c r="BA398" t="s">
        <v>4949</v>
      </c>
      <c r="BB398" t="s">
        <v>4940</v>
      </c>
      <c r="BC398" t="s">
        <v>4942</v>
      </c>
      <c r="BD398" t="s">
        <v>2289</v>
      </c>
      <c r="BE398" t="s">
        <v>2290</v>
      </c>
      <c r="BF398" t="b">
        <f t="shared" si="6"/>
        <v>1</v>
      </c>
      <c r="BG398" t="b">
        <v>1</v>
      </c>
      <c r="BH398">
        <v>2001</v>
      </c>
      <c r="BI398" t="b">
        <v>1</v>
      </c>
      <c r="BJ398" t="s">
        <v>2297</v>
      </c>
      <c r="BK398" t="s">
        <v>2298</v>
      </c>
      <c r="BL398" t="b">
        <v>1</v>
      </c>
      <c r="BM398" t="b">
        <v>1</v>
      </c>
      <c r="BN398" t="b">
        <v>1</v>
      </c>
      <c r="BO398" t="s">
        <v>4950</v>
      </c>
      <c r="BP398" t="b">
        <f>IF(IFERROR(VLOOKUP(A398,[1]Planilha1!$A:$A,1,0),FALSE)=FALSE,FALSE,TRUE)</f>
        <v>1</v>
      </c>
    </row>
    <row r="399" spans="1:68" x14ac:dyDescent="0.25">
      <c r="A399" t="s">
        <v>4951</v>
      </c>
      <c r="B399" t="s">
        <v>68</v>
      </c>
      <c r="D399" s="1">
        <v>46204</v>
      </c>
      <c r="E399" s="1">
        <v>47664</v>
      </c>
      <c r="F399" t="s">
        <v>4952</v>
      </c>
      <c r="G399" t="s">
        <v>4953</v>
      </c>
      <c r="H399" s="2" t="s">
        <v>4954</v>
      </c>
      <c r="I399" t="s">
        <v>4953</v>
      </c>
      <c r="K399" t="s">
        <v>4955</v>
      </c>
      <c r="L399">
        <v>5116530</v>
      </c>
      <c r="M399" t="s">
        <v>4956</v>
      </c>
      <c r="N399" t="s">
        <v>1378</v>
      </c>
      <c r="O399" t="s">
        <v>1379</v>
      </c>
      <c r="P399" t="s">
        <v>529</v>
      </c>
      <c r="Q399" t="s">
        <v>2574</v>
      </c>
      <c r="R399" t="s">
        <v>2289</v>
      </c>
      <c r="S399" t="s">
        <v>2290</v>
      </c>
      <c r="T399" t="s">
        <v>184</v>
      </c>
      <c r="U399" t="s">
        <v>112</v>
      </c>
      <c r="V399" t="s">
        <v>82</v>
      </c>
      <c r="W399" t="s">
        <v>2289</v>
      </c>
      <c r="X399" t="s">
        <v>2290</v>
      </c>
      <c r="Y399" t="s">
        <v>184</v>
      </c>
      <c r="Z399" t="s">
        <v>112</v>
      </c>
      <c r="AA399" t="s">
        <v>82</v>
      </c>
      <c r="AB399" t="s">
        <v>83</v>
      </c>
      <c r="AC399" t="s">
        <v>1013</v>
      </c>
      <c r="AD399" t="s">
        <v>149</v>
      </c>
      <c r="AE399" t="s">
        <v>4957</v>
      </c>
      <c r="AF399" t="s">
        <v>85</v>
      </c>
      <c r="AG399" t="s">
        <v>4958</v>
      </c>
      <c r="AH399">
        <v>6</v>
      </c>
      <c r="AI399">
        <v>823680</v>
      </c>
      <c r="AJ399">
        <v>86468</v>
      </c>
      <c r="AK399">
        <v>0</v>
      </c>
      <c r="AL399">
        <v>910148</v>
      </c>
      <c r="AM399" t="s">
        <v>2289</v>
      </c>
      <c r="AN399" t="s">
        <v>2290</v>
      </c>
      <c r="AO399" t="s">
        <v>184</v>
      </c>
      <c r="AP399" t="s">
        <v>112</v>
      </c>
      <c r="AQ399" t="s">
        <v>82</v>
      </c>
      <c r="AR399" t="s">
        <v>4959</v>
      </c>
      <c r="AS399" s="3">
        <v>46202.46522332255</v>
      </c>
      <c r="AT399" t="s">
        <v>89</v>
      </c>
      <c r="AU399" t="s">
        <v>90</v>
      </c>
      <c r="AV399" t="s">
        <v>2294</v>
      </c>
      <c r="AW399" t="s">
        <v>92</v>
      </c>
      <c r="AX399" t="s">
        <v>2295</v>
      </c>
      <c r="AY399" t="s">
        <v>94</v>
      </c>
      <c r="AZ399" t="s">
        <v>85</v>
      </c>
      <c r="BA399" t="s">
        <v>4960</v>
      </c>
      <c r="BB399" t="s">
        <v>4951</v>
      </c>
      <c r="BC399" t="s">
        <v>4953</v>
      </c>
      <c r="BD399" t="s">
        <v>2289</v>
      </c>
      <c r="BE399" t="s">
        <v>2290</v>
      </c>
      <c r="BF399" t="b">
        <f t="shared" si="6"/>
        <v>1</v>
      </c>
      <c r="BG399" t="b">
        <v>1</v>
      </c>
      <c r="BH399">
        <v>2017</v>
      </c>
      <c r="BI399" t="b">
        <v>1</v>
      </c>
      <c r="BJ399" t="s">
        <v>2297</v>
      </c>
      <c r="BK399" t="s">
        <v>2298</v>
      </c>
      <c r="BL399" t="b">
        <v>1</v>
      </c>
      <c r="BM399" t="b">
        <v>1</v>
      </c>
      <c r="BN399" t="b">
        <v>1</v>
      </c>
      <c r="BO399" t="s">
        <v>4961</v>
      </c>
      <c r="BP399" t="b">
        <f>IF(IFERROR(VLOOKUP(A399,[1]Planilha1!$A:$A,1,0),FALSE)=FALSE,FALSE,TRUE)</f>
        <v>1</v>
      </c>
    </row>
    <row r="400" spans="1:68" x14ac:dyDescent="0.25">
      <c r="A400" t="s">
        <v>4962</v>
      </c>
      <c r="B400" t="s">
        <v>68</v>
      </c>
      <c r="D400" s="1">
        <v>46204</v>
      </c>
      <c r="E400" s="1">
        <v>47664</v>
      </c>
      <c r="F400" t="s">
        <v>4963</v>
      </c>
      <c r="G400" t="s">
        <v>4964</v>
      </c>
      <c r="H400" s="2" t="s">
        <v>4965</v>
      </c>
      <c r="I400" t="s">
        <v>4964</v>
      </c>
      <c r="K400" t="s">
        <v>4966</v>
      </c>
      <c r="L400">
        <v>5116430</v>
      </c>
      <c r="M400" t="s">
        <v>4967</v>
      </c>
      <c r="N400" t="s">
        <v>749</v>
      </c>
      <c r="O400" t="s">
        <v>750</v>
      </c>
      <c r="P400" t="s">
        <v>647</v>
      </c>
      <c r="Q400" t="s">
        <v>2694</v>
      </c>
      <c r="R400" t="s">
        <v>2378</v>
      </c>
      <c r="S400" t="s">
        <v>2379</v>
      </c>
      <c r="T400" t="s">
        <v>1151</v>
      </c>
      <c r="U400" t="s">
        <v>769</v>
      </c>
      <c r="V400" t="s">
        <v>82</v>
      </c>
      <c r="W400" t="s">
        <v>2378</v>
      </c>
      <c r="X400" t="s">
        <v>2379</v>
      </c>
      <c r="Y400" t="s">
        <v>1151</v>
      </c>
      <c r="Z400" t="s">
        <v>769</v>
      </c>
      <c r="AA400" t="s">
        <v>82</v>
      </c>
      <c r="AB400" t="s">
        <v>83</v>
      </c>
      <c r="AC400" t="s">
        <v>649</v>
      </c>
      <c r="AD400" t="s">
        <v>252</v>
      </c>
      <c r="AE400" t="s">
        <v>4968</v>
      </c>
      <c r="AF400" t="s">
        <v>252</v>
      </c>
      <c r="AG400" t="s">
        <v>4969</v>
      </c>
      <c r="AH400">
        <v>8</v>
      </c>
      <c r="AI400">
        <v>1351480</v>
      </c>
      <c r="AJ400">
        <v>135000</v>
      </c>
      <c r="AK400">
        <v>0</v>
      </c>
      <c r="AL400">
        <v>1486480</v>
      </c>
      <c r="AM400" t="s">
        <v>2378</v>
      </c>
      <c r="AN400" t="s">
        <v>2379</v>
      </c>
      <c r="AO400" t="s">
        <v>1151</v>
      </c>
      <c r="AP400" t="s">
        <v>769</v>
      </c>
      <c r="AQ400" t="s">
        <v>82</v>
      </c>
      <c r="AR400" t="s">
        <v>4970</v>
      </c>
      <c r="AS400" s="3">
        <v>46202.46522332255</v>
      </c>
      <c r="AT400" t="s">
        <v>89</v>
      </c>
      <c r="AU400" t="s">
        <v>90</v>
      </c>
      <c r="AV400" t="s">
        <v>2294</v>
      </c>
      <c r="AW400" t="s">
        <v>92</v>
      </c>
      <c r="AX400" t="s">
        <v>2295</v>
      </c>
      <c r="AY400" t="s">
        <v>94</v>
      </c>
      <c r="AZ400" t="s">
        <v>85</v>
      </c>
      <c r="BA400" t="s">
        <v>4971</v>
      </c>
      <c r="BB400" t="s">
        <v>4962</v>
      </c>
      <c r="BC400" t="s">
        <v>4964</v>
      </c>
      <c r="BD400" t="s">
        <v>2378</v>
      </c>
      <c r="BE400" t="s">
        <v>2379</v>
      </c>
      <c r="BF400" t="b">
        <f t="shared" si="6"/>
        <v>1</v>
      </c>
      <c r="BG400" t="b">
        <v>1</v>
      </c>
      <c r="BH400">
        <v>2021</v>
      </c>
      <c r="BI400" t="b">
        <v>1</v>
      </c>
      <c r="BJ400" t="s">
        <v>2297</v>
      </c>
      <c r="BK400" t="s">
        <v>2384</v>
      </c>
      <c r="BL400" t="b">
        <v>1</v>
      </c>
      <c r="BM400" t="b">
        <v>1</v>
      </c>
      <c r="BN400" t="b">
        <v>1</v>
      </c>
      <c r="BO400" t="s">
        <v>4972</v>
      </c>
      <c r="BP400" t="b">
        <f>IF(IFERROR(VLOOKUP(A400,[1]Planilha1!$A:$A,1,0),FALSE)=FALSE,FALSE,TRUE)</f>
        <v>1</v>
      </c>
    </row>
    <row r="401" spans="1:68" x14ac:dyDescent="0.25">
      <c r="A401" t="s">
        <v>4973</v>
      </c>
      <c r="B401" t="s">
        <v>68</v>
      </c>
      <c r="D401" s="1">
        <v>46204</v>
      </c>
      <c r="E401" s="1">
        <v>47664</v>
      </c>
      <c r="F401" t="s">
        <v>4974</v>
      </c>
      <c r="G401" t="s">
        <v>4975</v>
      </c>
      <c r="H401" s="2" t="s">
        <v>4976</v>
      </c>
      <c r="I401" t="s">
        <v>4975</v>
      </c>
      <c r="K401" t="s">
        <v>4977</v>
      </c>
      <c r="L401">
        <v>5116728</v>
      </c>
      <c r="M401" t="s">
        <v>4978</v>
      </c>
      <c r="N401" t="s">
        <v>105</v>
      </c>
      <c r="O401" t="s">
        <v>106</v>
      </c>
      <c r="P401" t="s">
        <v>107</v>
      </c>
      <c r="Q401" t="s">
        <v>2960</v>
      </c>
      <c r="R401" t="s">
        <v>2453</v>
      </c>
      <c r="S401" t="s">
        <v>2454</v>
      </c>
      <c r="T401" t="s">
        <v>768</v>
      </c>
      <c r="U401" t="s">
        <v>769</v>
      </c>
      <c r="V401" t="s">
        <v>82</v>
      </c>
      <c r="W401" t="s">
        <v>2453</v>
      </c>
      <c r="X401" t="s">
        <v>2454</v>
      </c>
      <c r="Y401" t="s">
        <v>768</v>
      </c>
      <c r="Z401" t="s">
        <v>769</v>
      </c>
      <c r="AA401" t="s">
        <v>82</v>
      </c>
      <c r="AB401" t="s">
        <v>83</v>
      </c>
      <c r="AC401" t="s">
        <v>113</v>
      </c>
      <c r="AD401" t="s">
        <v>149</v>
      </c>
      <c r="AE401" t="s">
        <v>4979</v>
      </c>
      <c r="AF401" t="s">
        <v>85</v>
      </c>
      <c r="AG401" t="s">
        <v>4980</v>
      </c>
      <c r="AH401">
        <v>6</v>
      </c>
      <c r="AI401">
        <v>873600</v>
      </c>
      <c r="AJ401">
        <v>97066</v>
      </c>
      <c r="AK401">
        <v>0</v>
      </c>
      <c r="AL401">
        <v>970666</v>
      </c>
      <c r="AM401" t="s">
        <v>2453</v>
      </c>
      <c r="AN401" t="s">
        <v>2454</v>
      </c>
      <c r="AO401" t="s">
        <v>768</v>
      </c>
      <c r="AP401" t="s">
        <v>769</v>
      </c>
      <c r="AQ401" t="s">
        <v>82</v>
      </c>
      <c r="AR401" t="s">
        <v>4981</v>
      </c>
      <c r="AS401" s="3">
        <v>46202.46522332255</v>
      </c>
      <c r="AT401" t="s">
        <v>89</v>
      </c>
      <c r="AU401" t="s">
        <v>90</v>
      </c>
      <c r="AV401" t="s">
        <v>2294</v>
      </c>
      <c r="AW401" t="s">
        <v>92</v>
      </c>
      <c r="AX401" t="s">
        <v>2295</v>
      </c>
      <c r="AY401" t="s">
        <v>94</v>
      </c>
      <c r="AZ401" t="s">
        <v>85</v>
      </c>
      <c r="BA401" t="s">
        <v>4982</v>
      </c>
      <c r="BB401" t="s">
        <v>4973</v>
      </c>
      <c r="BC401" t="s">
        <v>4975</v>
      </c>
      <c r="BD401" t="s">
        <v>2453</v>
      </c>
      <c r="BE401" t="s">
        <v>2454</v>
      </c>
      <c r="BF401" t="b">
        <f t="shared" si="6"/>
        <v>1</v>
      </c>
      <c r="BG401" t="b">
        <v>1</v>
      </c>
      <c r="BH401">
        <v>2017</v>
      </c>
      <c r="BI401" t="b">
        <v>1</v>
      </c>
      <c r="BJ401" t="s">
        <v>2297</v>
      </c>
      <c r="BK401" t="s">
        <v>2459</v>
      </c>
      <c r="BL401" t="b">
        <v>1</v>
      </c>
      <c r="BM401" t="b">
        <v>1</v>
      </c>
      <c r="BN401" t="b">
        <v>1</v>
      </c>
      <c r="BO401" t="s">
        <v>4983</v>
      </c>
      <c r="BP401" t="b">
        <f>IF(IFERROR(VLOOKUP(A401,[1]Planilha1!$A:$A,1,0),FALSE)=FALSE,FALSE,TRUE)</f>
        <v>1</v>
      </c>
    </row>
    <row r="402" spans="1:68" x14ac:dyDescent="0.25">
      <c r="A402" t="s">
        <v>4984</v>
      </c>
      <c r="B402" t="s">
        <v>68</v>
      </c>
      <c r="D402" s="1">
        <v>46204</v>
      </c>
      <c r="E402" s="1">
        <v>47664</v>
      </c>
      <c r="F402" t="s">
        <v>4985</v>
      </c>
      <c r="G402" t="s">
        <v>4986</v>
      </c>
      <c r="H402" s="2" t="s">
        <v>4987</v>
      </c>
      <c r="I402" t="s">
        <v>4986</v>
      </c>
      <c r="K402" t="s">
        <v>4988</v>
      </c>
      <c r="L402">
        <v>5116886</v>
      </c>
      <c r="M402" t="s">
        <v>4989</v>
      </c>
      <c r="N402" t="s">
        <v>542</v>
      </c>
      <c r="O402" t="s">
        <v>543</v>
      </c>
      <c r="P402" t="s">
        <v>454</v>
      </c>
      <c r="Q402" t="s">
        <v>1534</v>
      </c>
      <c r="R402" t="s">
        <v>2453</v>
      </c>
      <c r="S402" t="s">
        <v>2454</v>
      </c>
      <c r="T402" t="s">
        <v>768</v>
      </c>
      <c r="U402" t="s">
        <v>769</v>
      </c>
      <c r="V402" t="s">
        <v>82</v>
      </c>
      <c r="W402" t="s">
        <v>2453</v>
      </c>
      <c r="X402" t="s">
        <v>2454</v>
      </c>
      <c r="Y402" t="s">
        <v>768</v>
      </c>
      <c r="Z402" t="s">
        <v>769</v>
      </c>
      <c r="AA402" t="s">
        <v>82</v>
      </c>
      <c r="AB402" t="s">
        <v>83</v>
      </c>
      <c r="AC402" t="s">
        <v>459</v>
      </c>
      <c r="AD402" t="s">
        <v>85</v>
      </c>
      <c r="AE402" t="s">
        <v>4990</v>
      </c>
      <c r="AF402" t="s">
        <v>85</v>
      </c>
      <c r="AG402" t="s">
        <v>4991</v>
      </c>
      <c r="AH402">
        <v>4</v>
      </c>
      <c r="AI402">
        <v>998400</v>
      </c>
      <c r="AJ402">
        <v>115370.67</v>
      </c>
      <c r="AK402">
        <v>0</v>
      </c>
      <c r="AL402">
        <v>1113770.67</v>
      </c>
      <c r="AM402" t="s">
        <v>2453</v>
      </c>
      <c r="AN402" t="s">
        <v>2454</v>
      </c>
      <c r="AO402" t="s">
        <v>768</v>
      </c>
      <c r="AP402" t="s">
        <v>769</v>
      </c>
      <c r="AQ402" t="s">
        <v>82</v>
      </c>
      <c r="AR402" t="s">
        <v>4992</v>
      </c>
      <c r="AS402" s="3">
        <v>46202.46522332255</v>
      </c>
      <c r="AT402" t="s">
        <v>89</v>
      </c>
      <c r="AU402" t="s">
        <v>90</v>
      </c>
      <c r="AV402" t="s">
        <v>2294</v>
      </c>
      <c r="AW402" t="s">
        <v>92</v>
      </c>
      <c r="AX402" t="s">
        <v>2295</v>
      </c>
      <c r="AY402" t="s">
        <v>94</v>
      </c>
      <c r="AZ402" t="s">
        <v>85</v>
      </c>
      <c r="BA402" t="s">
        <v>4993</v>
      </c>
      <c r="BB402" t="s">
        <v>4984</v>
      </c>
      <c r="BC402" t="s">
        <v>4986</v>
      </c>
      <c r="BD402" t="s">
        <v>2453</v>
      </c>
      <c r="BE402" t="s">
        <v>2454</v>
      </c>
      <c r="BF402" t="b">
        <f t="shared" si="6"/>
        <v>1</v>
      </c>
      <c r="BG402" t="b">
        <v>1</v>
      </c>
      <c r="BH402">
        <v>2019</v>
      </c>
      <c r="BI402" t="b">
        <v>1</v>
      </c>
      <c r="BJ402" t="s">
        <v>2297</v>
      </c>
      <c r="BK402" t="s">
        <v>2459</v>
      </c>
      <c r="BL402" t="b">
        <v>1</v>
      </c>
      <c r="BM402" t="b">
        <v>1</v>
      </c>
      <c r="BN402" t="b">
        <v>1</v>
      </c>
      <c r="BO402" t="s">
        <v>4994</v>
      </c>
      <c r="BP402" t="b">
        <f>IF(IFERROR(VLOOKUP(A402,[1]Planilha1!$A:$A,1,0),FALSE)=FALSE,FALSE,TRUE)</f>
        <v>1</v>
      </c>
    </row>
    <row r="403" spans="1:68" x14ac:dyDescent="0.25">
      <c r="A403" t="s">
        <v>4995</v>
      </c>
      <c r="B403" t="s">
        <v>68</v>
      </c>
      <c r="D403" s="1">
        <v>46204</v>
      </c>
      <c r="E403" s="1">
        <v>47664</v>
      </c>
      <c r="F403" t="s">
        <v>4996</v>
      </c>
      <c r="G403" t="s">
        <v>4997</v>
      </c>
      <c r="H403" s="2" t="s">
        <v>4998</v>
      </c>
      <c r="I403" t="s">
        <v>4997</v>
      </c>
      <c r="K403" t="s">
        <v>4999</v>
      </c>
      <c r="L403">
        <v>5116892</v>
      </c>
      <c r="M403" t="s">
        <v>5000</v>
      </c>
      <c r="N403" t="s">
        <v>1576</v>
      </c>
      <c r="O403" t="s">
        <v>1577</v>
      </c>
      <c r="P403" t="s">
        <v>439</v>
      </c>
      <c r="Q403" t="s">
        <v>1578</v>
      </c>
      <c r="R403" t="s">
        <v>2535</v>
      </c>
      <c r="S403" t="s">
        <v>2536</v>
      </c>
      <c r="T403" t="s">
        <v>2537</v>
      </c>
      <c r="U403" t="s">
        <v>301</v>
      </c>
      <c r="V403" t="s">
        <v>82</v>
      </c>
      <c r="W403" t="s">
        <v>2535</v>
      </c>
      <c r="X403" t="s">
        <v>2536</v>
      </c>
      <c r="Y403" t="s">
        <v>2537</v>
      </c>
      <c r="Z403" t="s">
        <v>301</v>
      </c>
      <c r="AA403" t="s">
        <v>82</v>
      </c>
      <c r="AB403" t="s">
        <v>83</v>
      </c>
      <c r="AC403" t="s">
        <v>1135</v>
      </c>
      <c r="AD403" t="s">
        <v>85</v>
      </c>
      <c r="AE403" t="s">
        <v>5001</v>
      </c>
      <c r="AF403" t="s">
        <v>85</v>
      </c>
      <c r="AG403" t="s">
        <v>5002</v>
      </c>
      <c r="AH403">
        <v>8</v>
      </c>
      <c r="AI403">
        <v>1353040</v>
      </c>
      <c r="AJ403">
        <v>1348000</v>
      </c>
      <c r="AK403">
        <v>0</v>
      </c>
      <c r="AL403">
        <v>2701040</v>
      </c>
      <c r="AR403" t="s">
        <v>5003</v>
      </c>
      <c r="AS403" s="3">
        <v>46202.46522332255</v>
      </c>
      <c r="AT403" t="s">
        <v>89</v>
      </c>
      <c r="AU403" t="s">
        <v>90</v>
      </c>
      <c r="AV403" t="s">
        <v>2294</v>
      </c>
      <c r="AW403" t="s">
        <v>92</v>
      </c>
      <c r="AX403" t="s">
        <v>2295</v>
      </c>
      <c r="AY403" t="s">
        <v>94</v>
      </c>
      <c r="AZ403" t="s">
        <v>85</v>
      </c>
      <c r="BA403" t="s">
        <v>5004</v>
      </c>
      <c r="BB403" t="s">
        <v>4995</v>
      </c>
      <c r="BC403" t="s">
        <v>4997</v>
      </c>
      <c r="BD403" t="s">
        <v>2535</v>
      </c>
      <c r="BE403" t="s">
        <v>2536</v>
      </c>
      <c r="BF403" t="b">
        <f t="shared" si="6"/>
        <v>0</v>
      </c>
      <c r="BG403" t="b">
        <v>1</v>
      </c>
      <c r="BH403">
        <v>2018</v>
      </c>
      <c r="BI403" t="b">
        <v>1</v>
      </c>
      <c r="BJ403" t="s">
        <v>2297</v>
      </c>
      <c r="BK403" t="s">
        <v>2542</v>
      </c>
      <c r="BL403" t="b">
        <v>1</v>
      </c>
      <c r="BM403" t="b">
        <v>0</v>
      </c>
      <c r="BN403" t="b">
        <v>0</v>
      </c>
      <c r="BO403" t="s">
        <v>5005</v>
      </c>
      <c r="BP403" t="b">
        <f>IF(IFERROR(VLOOKUP(A403,[1]Planilha1!$A:$A,1,0),FALSE)=FALSE,FALSE,TRUE)</f>
        <v>0</v>
      </c>
    </row>
    <row r="404" spans="1:68" x14ac:dyDescent="0.25">
      <c r="A404" t="s">
        <v>5006</v>
      </c>
      <c r="B404" t="s">
        <v>68</v>
      </c>
      <c r="D404" s="1">
        <v>46204</v>
      </c>
      <c r="E404" s="1">
        <v>47664</v>
      </c>
      <c r="F404" t="s">
        <v>5007</v>
      </c>
      <c r="G404" t="s">
        <v>5008</v>
      </c>
      <c r="H404" s="2" t="s">
        <v>5009</v>
      </c>
      <c r="I404" t="s">
        <v>5008</v>
      </c>
      <c r="K404" t="s">
        <v>5010</v>
      </c>
      <c r="L404">
        <v>5116584</v>
      </c>
      <c r="M404" t="s">
        <v>5011</v>
      </c>
      <c r="N404" t="s">
        <v>872</v>
      </c>
      <c r="O404" t="s">
        <v>873</v>
      </c>
      <c r="P404" t="s">
        <v>647</v>
      </c>
      <c r="Q404" t="s">
        <v>874</v>
      </c>
      <c r="R404" t="s">
        <v>2378</v>
      </c>
      <c r="S404" t="s">
        <v>2379</v>
      </c>
      <c r="T404" t="s">
        <v>1151</v>
      </c>
      <c r="U404" t="s">
        <v>769</v>
      </c>
      <c r="V404" t="s">
        <v>82</v>
      </c>
      <c r="W404" t="s">
        <v>2378</v>
      </c>
      <c r="X404" t="s">
        <v>2379</v>
      </c>
      <c r="Y404" t="s">
        <v>1151</v>
      </c>
      <c r="Z404" t="s">
        <v>769</v>
      </c>
      <c r="AA404" t="s">
        <v>82</v>
      </c>
      <c r="AB404" t="s">
        <v>83</v>
      </c>
      <c r="AC404" t="s">
        <v>649</v>
      </c>
      <c r="AD404" t="s">
        <v>149</v>
      </c>
      <c r="AE404" t="s">
        <v>5012</v>
      </c>
      <c r="AF404" t="s">
        <v>85</v>
      </c>
      <c r="AG404" t="s">
        <v>5013</v>
      </c>
      <c r="AH404">
        <v>6</v>
      </c>
      <c r="AI404">
        <v>1235520</v>
      </c>
      <c r="AJ404">
        <v>131594.67000000001</v>
      </c>
      <c r="AK404">
        <v>0</v>
      </c>
      <c r="AL404">
        <v>1367114.67</v>
      </c>
      <c r="AM404" t="s">
        <v>2378</v>
      </c>
      <c r="AN404" t="s">
        <v>2379</v>
      </c>
      <c r="AO404" t="s">
        <v>1151</v>
      </c>
      <c r="AP404" t="s">
        <v>769</v>
      </c>
      <c r="AQ404" t="s">
        <v>82</v>
      </c>
      <c r="AR404" t="s">
        <v>5014</v>
      </c>
      <c r="AS404" s="3">
        <v>46202.46522332255</v>
      </c>
      <c r="AT404" t="s">
        <v>89</v>
      </c>
      <c r="AU404" t="s">
        <v>90</v>
      </c>
      <c r="AV404" t="s">
        <v>2294</v>
      </c>
      <c r="AW404" t="s">
        <v>92</v>
      </c>
      <c r="AX404" t="s">
        <v>2295</v>
      </c>
      <c r="AY404" t="s">
        <v>94</v>
      </c>
      <c r="AZ404" t="s">
        <v>85</v>
      </c>
      <c r="BA404" t="s">
        <v>5015</v>
      </c>
      <c r="BB404" t="s">
        <v>5006</v>
      </c>
      <c r="BC404" t="s">
        <v>5008</v>
      </c>
      <c r="BD404" t="s">
        <v>2378</v>
      </c>
      <c r="BE404" t="s">
        <v>2379</v>
      </c>
      <c r="BF404" t="b">
        <f t="shared" si="6"/>
        <v>0</v>
      </c>
      <c r="BG404" t="b">
        <v>1</v>
      </c>
      <c r="BH404">
        <v>2020</v>
      </c>
      <c r="BI404" t="b">
        <v>0</v>
      </c>
      <c r="BJ404" t="s">
        <v>2297</v>
      </c>
      <c r="BK404" t="s">
        <v>2384</v>
      </c>
      <c r="BL404" t="b">
        <v>1</v>
      </c>
      <c r="BM404" t="b">
        <v>1</v>
      </c>
      <c r="BN404" t="b">
        <v>1</v>
      </c>
      <c r="BO404" t="s">
        <v>5016</v>
      </c>
      <c r="BP404" t="b">
        <f>IF(IFERROR(VLOOKUP(A404,[1]Planilha1!$A:$A,1,0),FALSE)=FALSE,FALSE,TRUE)</f>
        <v>0</v>
      </c>
    </row>
    <row r="405" spans="1:68" x14ac:dyDescent="0.25">
      <c r="A405" t="s">
        <v>5017</v>
      </c>
      <c r="B405" t="s">
        <v>68</v>
      </c>
      <c r="D405" s="1">
        <v>46204</v>
      </c>
      <c r="E405" s="1">
        <v>47664</v>
      </c>
      <c r="F405" t="s">
        <v>5018</v>
      </c>
      <c r="G405" t="s">
        <v>5019</v>
      </c>
      <c r="H405" s="2" t="s">
        <v>5020</v>
      </c>
      <c r="I405" t="s">
        <v>5019</v>
      </c>
      <c r="K405" t="s">
        <v>5021</v>
      </c>
      <c r="L405">
        <v>5116458</v>
      </c>
      <c r="M405" t="s">
        <v>5022</v>
      </c>
      <c r="N405" t="s">
        <v>809</v>
      </c>
      <c r="O405" t="s">
        <v>810</v>
      </c>
      <c r="P405" t="s">
        <v>76</v>
      </c>
      <c r="Q405" t="s">
        <v>1312</v>
      </c>
      <c r="R405" t="s">
        <v>2668</v>
      </c>
      <c r="S405" t="s">
        <v>2669</v>
      </c>
      <c r="T405" t="s">
        <v>2670</v>
      </c>
      <c r="U405" t="s">
        <v>112</v>
      </c>
      <c r="V405" t="s">
        <v>82</v>
      </c>
      <c r="W405" t="s">
        <v>2668</v>
      </c>
      <c r="X405" t="s">
        <v>2669</v>
      </c>
      <c r="Y405" t="s">
        <v>2670</v>
      </c>
      <c r="Z405" t="s">
        <v>112</v>
      </c>
      <c r="AA405" t="s">
        <v>82</v>
      </c>
      <c r="AB405" t="s">
        <v>83</v>
      </c>
      <c r="AC405" t="s">
        <v>84</v>
      </c>
      <c r="AD405" t="s">
        <v>252</v>
      </c>
      <c r="AE405" t="s">
        <v>5023</v>
      </c>
      <c r="AF405" t="s">
        <v>252</v>
      </c>
      <c r="AG405" t="s">
        <v>5024</v>
      </c>
      <c r="AH405">
        <v>9</v>
      </c>
      <c r="AI405">
        <v>1330980</v>
      </c>
      <c r="AJ405">
        <v>147818.67000000001</v>
      </c>
      <c r="AK405">
        <v>0</v>
      </c>
      <c r="AL405">
        <v>1478798.67</v>
      </c>
      <c r="AM405" t="s">
        <v>2668</v>
      </c>
      <c r="AN405" t="s">
        <v>2669</v>
      </c>
      <c r="AO405" t="s">
        <v>2670</v>
      </c>
      <c r="AP405" t="s">
        <v>112</v>
      </c>
      <c r="AQ405" t="s">
        <v>82</v>
      </c>
      <c r="AR405" t="s">
        <v>5025</v>
      </c>
      <c r="AS405" s="3">
        <v>46202.46522332255</v>
      </c>
      <c r="AT405" t="s">
        <v>89</v>
      </c>
      <c r="AU405" t="s">
        <v>90</v>
      </c>
      <c r="AV405" t="s">
        <v>2294</v>
      </c>
      <c r="AW405" t="s">
        <v>92</v>
      </c>
      <c r="AX405" t="s">
        <v>2295</v>
      </c>
      <c r="AY405" t="s">
        <v>94</v>
      </c>
      <c r="AZ405" t="s">
        <v>85</v>
      </c>
      <c r="BA405" t="s">
        <v>5026</v>
      </c>
      <c r="BB405" t="s">
        <v>5017</v>
      </c>
      <c r="BC405" t="s">
        <v>5019</v>
      </c>
      <c r="BD405" t="s">
        <v>2668</v>
      </c>
      <c r="BE405" t="s">
        <v>2669</v>
      </c>
      <c r="BF405" t="b">
        <f t="shared" si="6"/>
        <v>1</v>
      </c>
      <c r="BG405" t="b">
        <v>1</v>
      </c>
      <c r="BH405">
        <v>2016</v>
      </c>
      <c r="BI405" t="b">
        <v>1</v>
      </c>
      <c r="BJ405" t="s">
        <v>2297</v>
      </c>
      <c r="BK405" t="s">
        <v>2675</v>
      </c>
      <c r="BL405" t="b">
        <v>1</v>
      </c>
      <c r="BM405" t="b">
        <v>1</v>
      </c>
      <c r="BN405" t="b">
        <v>1</v>
      </c>
      <c r="BO405" t="s">
        <v>5027</v>
      </c>
      <c r="BP405" t="b">
        <f>IF(IFERROR(VLOOKUP(A405,[1]Planilha1!$A:$A,1,0),FALSE)=FALSE,FALSE,TRUE)</f>
        <v>1</v>
      </c>
    </row>
    <row r="406" spans="1:68" x14ac:dyDescent="0.25">
      <c r="A406" t="s">
        <v>5028</v>
      </c>
      <c r="B406" t="s">
        <v>68</v>
      </c>
      <c r="D406" s="1">
        <v>46204</v>
      </c>
      <c r="E406" s="1">
        <v>47664</v>
      </c>
      <c r="F406" t="s">
        <v>5029</v>
      </c>
      <c r="G406" t="s">
        <v>5030</v>
      </c>
      <c r="H406" s="2" t="s">
        <v>5031</v>
      </c>
      <c r="I406" t="s">
        <v>5030</v>
      </c>
      <c r="K406" t="s">
        <v>5032</v>
      </c>
      <c r="L406">
        <v>5116847</v>
      </c>
      <c r="M406" t="s">
        <v>5033</v>
      </c>
      <c r="N406" t="s">
        <v>1378</v>
      </c>
      <c r="O406" t="s">
        <v>1379</v>
      </c>
      <c r="P406" t="s">
        <v>529</v>
      </c>
      <c r="Q406" t="s">
        <v>2574</v>
      </c>
      <c r="R406" t="s">
        <v>2289</v>
      </c>
      <c r="S406" t="s">
        <v>2290</v>
      </c>
      <c r="T406" t="s">
        <v>184</v>
      </c>
      <c r="U406" t="s">
        <v>112</v>
      </c>
      <c r="V406" t="s">
        <v>82</v>
      </c>
      <c r="W406" t="s">
        <v>2289</v>
      </c>
      <c r="X406" t="s">
        <v>2290</v>
      </c>
      <c r="Y406" t="s">
        <v>184</v>
      </c>
      <c r="Z406" t="s">
        <v>112</v>
      </c>
      <c r="AA406" t="s">
        <v>82</v>
      </c>
      <c r="AB406" t="s">
        <v>83</v>
      </c>
      <c r="AC406" t="s">
        <v>1013</v>
      </c>
      <c r="AD406" t="s">
        <v>85</v>
      </c>
      <c r="AE406" t="s">
        <v>5034</v>
      </c>
      <c r="AF406" t="s">
        <v>85</v>
      </c>
      <c r="AG406" t="s">
        <v>5035</v>
      </c>
      <c r="AH406">
        <v>5</v>
      </c>
      <c r="AI406">
        <v>967200</v>
      </c>
      <c r="AJ406">
        <v>139706.67000000001</v>
      </c>
      <c r="AK406">
        <v>0</v>
      </c>
      <c r="AL406">
        <v>1106906.67</v>
      </c>
      <c r="AM406" t="s">
        <v>2289</v>
      </c>
      <c r="AN406" t="s">
        <v>2290</v>
      </c>
      <c r="AO406" t="s">
        <v>184</v>
      </c>
      <c r="AP406" t="s">
        <v>112</v>
      </c>
      <c r="AQ406" t="s">
        <v>82</v>
      </c>
      <c r="AR406" t="s">
        <v>5036</v>
      </c>
      <c r="AS406" s="3">
        <v>46202.46522332255</v>
      </c>
      <c r="AT406" t="s">
        <v>89</v>
      </c>
      <c r="AU406" t="s">
        <v>90</v>
      </c>
      <c r="AV406" t="s">
        <v>2294</v>
      </c>
      <c r="AW406" t="s">
        <v>92</v>
      </c>
      <c r="AX406" t="s">
        <v>2295</v>
      </c>
      <c r="AY406" t="s">
        <v>94</v>
      </c>
      <c r="AZ406" t="s">
        <v>85</v>
      </c>
      <c r="BA406" t="s">
        <v>5037</v>
      </c>
      <c r="BB406" t="s">
        <v>5028</v>
      </c>
      <c r="BC406" t="s">
        <v>5030</v>
      </c>
      <c r="BD406" t="s">
        <v>2289</v>
      </c>
      <c r="BE406" t="s">
        <v>2290</v>
      </c>
      <c r="BF406" t="b">
        <f t="shared" si="6"/>
        <v>1</v>
      </c>
      <c r="BG406" t="b">
        <v>1</v>
      </c>
      <c r="BH406">
        <v>2021</v>
      </c>
      <c r="BI406" t="b">
        <v>1</v>
      </c>
      <c r="BJ406" t="s">
        <v>2297</v>
      </c>
      <c r="BK406" t="s">
        <v>2298</v>
      </c>
      <c r="BL406" t="b">
        <v>1</v>
      </c>
      <c r="BM406" t="b">
        <v>1</v>
      </c>
      <c r="BN406" t="b">
        <v>1</v>
      </c>
      <c r="BO406" t="s">
        <v>5038</v>
      </c>
      <c r="BP406" t="b">
        <f>IF(IFERROR(VLOOKUP(A406,[1]Planilha1!$A:$A,1,0),FALSE)=FALSE,FALSE,TRUE)</f>
        <v>1</v>
      </c>
    </row>
    <row r="407" spans="1:68" x14ac:dyDescent="0.25">
      <c r="A407" t="s">
        <v>5039</v>
      </c>
      <c r="B407" t="s">
        <v>68</v>
      </c>
      <c r="D407" s="1">
        <v>46204</v>
      </c>
      <c r="E407" s="1">
        <v>47664</v>
      </c>
      <c r="F407" t="s">
        <v>5040</v>
      </c>
      <c r="G407" t="s">
        <v>5041</v>
      </c>
      <c r="H407" s="2" t="s">
        <v>5042</v>
      </c>
      <c r="I407" t="s">
        <v>5041</v>
      </c>
      <c r="K407" t="s">
        <v>5043</v>
      </c>
      <c r="L407">
        <v>5116643</v>
      </c>
      <c r="M407" t="s">
        <v>5044</v>
      </c>
      <c r="N407" t="s">
        <v>414</v>
      </c>
      <c r="O407" t="s">
        <v>180</v>
      </c>
      <c r="P407" t="s">
        <v>129</v>
      </c>
      <c r="Q407" t="s">
        <v>2338</v>
      </c>
      <c r="R407" t="s">
        <v>2339</v>
      </c>
      <c r="S407" t="s">
        <v>2340</v>
      </c>
      <c r="T407" t="s">
        <v>234</v>
      </c>
      <c r="U407" t="s">
        <v>112</v>
      </c>
      <c r="V407" t="s">
        <v>82</v>
      </c>
      <c r="W407" t="s">
        <v>2339</v>
      </c>
      <c r="X407" t="s">
        <v>2340</v>
      </c>
      <c r="Y407" t="s">
        <v>234</v>
      </c>
      <c r="Z407" t="s">
        <v>112</v>
      </c>
      <c r="AA407" t="s">
        <v>82</v>
      </c>
      <c r="AB407" t="s">
        <v>83</v>
      </c>
      <c r="AC407" t="s">
        <v>185</v>
      </c>
      <c r="AD407" t="s">
        <v>149</v>
      </c>
      <c r="AE407" t="s">
        <v>5045</v>
      </c>
      <c r="AF407" t="s">
        <v>85</v>
      </c>
      <c r="AG407" t="s">
        <v>5046</v>
      </c>
      <c r="AH407">
        <v>6</v>
      </c>
      <c r="AI407">
        <v>1029600</v>
      </c>
      <c r="AJ407">
        <v>135000</v>
      </c>
      <c r="AK407">
        <v>0</v>
      </c>
      <c r="AL407">
        <v>1164600</v>
      </c>
      <c r="AM407" t="s">
        <v>2339</v>
      </c>
      <c r="AN407" t="s">
        <v>2340</v>
      </c>
      <c r="AO407" t="s">
        <v>234</v>
      </c>
      <c r="AP407" t="s">
        <v>112</v>
      </c>
      <c r="AQ407" t="s">
        <v>82</v>
      </c>
      <c r="AR407" t="s">
        <v>5047</v>
      </c>
      <c r="AS407" s="3">
        <v>46202.46522332255</v>
      </c>
      <c r="AT407" t="s">
        <v>89</v>
      </c>
      <c r="AU407" t="s">
        <v>90</v>
      </c>
      <c r="AV407" t="s">
        <v>2294</v>
      </c>
      <c r="AW407" t="s">
        <v>92</v>
      </c>
      <c r="AX407" t="s">
        <v>2295</v>
      </c>
      <c r="AY407" t="s">
        <v>94</v>
      </c>
      <c r="AZ407" t="s">
        <v>85</v>
      </c>
      <c r="BA407" t="s">
        <v>5048</v>
      </c>
      <c r="BB407" t="s">
        <v>5039</v>
      </c>
      <c r="BC407" t="s">
        <v>5041</v>
      </c>
      <c r="BD407" t="s">
        <v>2339</v>
      </c>
      <c r="BE407" t="s">
        <v>2340</v>
      </c>
      <c r="BF407" t="b">
        <f t="shared" si="6"/>
        <v>1</v>
      </c>
      <c r="BG407" t="b">
        <v>1</v>
      </c>
      <c r="BH407">
        <v>2006</v>
      </c>
      <c r="BI407" t="b">
        <v>1</v>
      </c>
      <c r="BJ407" t="s">
        <v>2297</v>
      </c>
      <c r="BK407" t="s">
        <v>2345</v>
      </c>
      <c r="BL407" t="b">
        <v>1</v>
      </c>
      <c r="BM407" t="b">
        <v>1</v>
      </c>
      <c r="BN407" t="b">
        <v>1</v>
      </c>
      <c r="BO407" t="s">
        <v>5049</v>
      </c>
      <c r="BP407" t="b">
        <f>IF(IFERROR(VLOOKUP(A407,[1]Planilha1!$A:$A,1,0),FALSE)=FALSE,FALSE,TRUE)</f>
        <v>1</v>
      </c>
    </row>
    <row r="408" spans="1:68" x14ac:dyDescent="0.25">
      <c r="A408" t="s">
        <v>5050</v>
      </c>
      <c r="B408" t="s">
        <v>68</v>
      </c>
      <c r="D408" s="1">
        <v>46204</v>
      </c>
      <c r="E408" s="1">
        <v>47664</v>
      </c>
      <c r="F408" t="s">
        <v>5051</v>
      </c>
      <c r="G408" t="s">
        <v>5052</v>
      </c>
      <c r="H408" s="2" t="s">
        <v>5053</v>
      </c>
      <c r="I408" t="s">
        <v>5052</v>
      </c>
      <c r="K408" t="s">
        <v>5054</v>
      </c>
      <c r="L408">
        <v>5116790</v>
      </c>
      <c r="M408" t="s">
        <v>5055</v>
      </c>
      <c r="N408" t="s">
        <v>1576</v>
      </c>
      <c r="O408" t="s">
        <v>1577</v>
      </c>
      <c r="P408" t="s">
        <v>439</v>
      </c>
      <c r="Q408" t="s">
        <v>1578</v>
      </c>
      <c r="R408" t="s">
        <v>2289</v>
      </c>
      <c r="S408" t="s">
        <v>2290</v>
      </c>
      <c r="T408" t="s">
        <v>184</v>
      </c>
      <c r="U408" t="s">
        <v>112</v>
      </c>
      <c r="V408" t="s">
        <v>82</v>
      </c>
      <c r="W408" t="s">
        <v>2289</v>
      </c>
      <c r="X408" t="s">
        <v>2290</v>
      </c>
      <c r="Y408" t="s">
        <v>184</v>
      </c>
      <c r="Z408" t="s">
        <v>112</v>
      </c>
      <c r="AA408" t="s">
        <v>82</v>
      </c>
      <c r="AB408" t="s">
        <v>83</v>
      </c>
      <c r="AC408" t="s">
        <v>1135</v>
      </c>
      <c r="AD408" t="s">
        <v>149</v>
      </c>
      <c r="AE408" t="s">
        <v>5056</v>
      </c>
      <c r="AF408" t="s">
        <v>85</v>
      </c>
      <c r="AG408" t="s">
        <v>5057</v>
      </c>
      <c r="AH408">
        <v>4</v>
      </c>
      <c r="AI408">
        <v>567840</v>
      </c>
      <c r="AJ408">
        <v>73819.199999999997</v>
      </c>
      <c r="AK408">
        <v>0</v>
      </c>
      <c r="AL408">
        <v>641659.19999999995</v>
      </c>
      <c r="AM408" t="s">
        <v>2289</v>
      </c>
      <c r="AN408" t="s">
        <v>2290</v>
      </c>
      <c r="AO408" t="s">
        <v>184</v>
      </c>
      <c r="AP408" t="s">
        <v>112</v>
      </c>
      <c r="AQ408" t="s">
        <v>82</v>
      </c>
      <c r="AR408" t="s">
        <v>5058</v>
      </c>
      <c r="AS408" s="3">
        <v>46202.46522332255</v>
      </c>
      <c r="AT408" t="s">
        <v>89</v>
      </c>
      <c r="AU408" t="s">
        <v>90</v>
      </c>
      <c r="AV408" t="s">
        <v>2294</v>
      </c>
      <c r="AW408" t="s">
        <v>92</v>
      </c>
      <c r="AX408" t="s">
        <v>2295</v>
      </c>
      <c r="AY408" t="s">
        <v>94</v>
      </c>
      <c r="AZ408" t="s">
        <v>85</v>
      </c>
      <c r="BA408" t="s">
        <v>5059</v>
      </c>
      <c r="BB408" t="s">
        <v>5050</v>
      </c>
      <c r="BC408" t="s">
        <v>5052</v>
      </c>
      <c r="BD408" t="s">
        <v>2289</v>
      </c>
      <c r="BE408" t="s">
        <v>2290</v>
      </c>
      <c r="BF408" t="b">
        <f t="shared" si="6"/>
        <v>1</v>
      </c>
      <c r="BG408" t="b">
        <v>1</v>
      </c>
      <c r="BH408">
        <v>2026</v>
      </c>
      <c r="BI408" t="b">
        <v>1</v>
      </c>
      <c r="BJ408" t="s">
        <v>2297</v>
      </c>
      <c r="BK408" t="s">
        <v>2298</v>
      </c>
      <c r="BL408" t="b">
        <v>1</v>
      </c>
      <c r="BM408" t="b">
        <v>1</v>
      </c>
      <c r="BN408" t="b">
        <v>1</v>
      </c>
      <c r="BO408" t="s">
        <v>5060</v>
      </c>
      <c r="BP408" t="b">
        <f>IF(IFERROR(VLOOKUP(A408,[1]Planilha1!$A:$A,1,0),FALSE)=FALSE,FALSE,TRUE)</f>
        <v>1</v>
      </c>
    </row>
    <row r="409" spans="1:68" x14ac:dyDescent="0.25">
      <c r="A409" t="s">
        <v>5061</v>
      </c>
      <c r="B409" t="s">
        <v>68</v>
      </c>
      <c r="D409" s="1">
        <v>46204</v>
      </c>
      <c r="E409" s="1">
        <v>47664</v>
      </c>
      <c r="F409" t="s">
        <v>5062</v>
      </c>
      <c r="G409" t="s">
        <v>5063</v>
      </c>
      <c r="H409" s="2" t="s">
        <v>5064</v>
      </c>
      <c r="I409" t="s">
        <v>5063</v>
      </c>
      <c r="K409" t="s">
        <v>5065</v>
      </c>
      <c r="L409">
        <v>5116566</v>
      </c>
      <c r="M409" t="s">
        <v>5066</v>
      </c>
      <c r="N409" t="s">
        <v>2017</v>
      </c>
      <c r="O409" t="s">
        <v>2018</v>
      </c>
      <c r="P409" t="s">
        <v>230</v>
      </c>
      <c r="Q409" t="s">
        <v>2019</v>
      </c>
      <c r="R409" t="s">
        <v>2289</v>
      </c>
      <c r="S409" t="s">
        <v>2290</v>
      </c>
      <c r="T409" t="s">
        <v>184</v>
      </c>
      <c r="U409" t="s">
        <v>112</v>
      </c>
      <c r="V409" t="s">
        <v>82</v>
      </c>
      <c r="W409" t="s">
        <v>2289</v>
      </c>
      <c r="X409" t="s">
        <v>2290</v>
      </c>
      <c r="Y409" t="s">
        <v>184</v>
      </c>
      <c r="Z409" t="s">
        <v>112</v>
      </c>
      <c r="AA409" t="s">
        <v>82</v>
      </c>
      <c r="AB409" t="s">
        <v>83</v>
      </c>
      <c r="AC409" t="s">
        <v>1013</v>
      </c>
      <c r="AD409" t="s">
        <v>149</v>
      </c>
      <c r="AE409" t="s">
        <v>5067</v>
      </c>
      <c r="AF409" t="s">
        <v>85</v>
      </c>
      <c r="AG409" t="s">
        <v>5068</v>
      </c>
      <c r="AH409">
        <v>10</v>
      </c>
      <c r="AI409">
        <v>1354600</v>
      </c>
      <c r="AJ409">
        <v>145296</v>
      </c>
      <c r="AK409">
        <v>0</v>
      </c>
      <c r="AL409">
        <v>1499896</v>
      </c>
      <c r="AM409" t="s">
        <v>2289</v>
      </c>
      <c r="AN409" t="s">
        <v>2290</v>
      </c>
      <c r="AO409" t="s">
        <v>184</v>
      </c>
      <c r="AP409" t="s">
        <v>112</v>
      </c>
      <c r="AQ409" t="s">
        <v>82</v>
      </c>
      <c r="AR409" t="s">
        <v>5069</v>
      </c>
      <c r="AS409" s="3">
        <v>46202.46522332255</v>
      </c>
      <c r="AT409" t="s">
        <v>89</v>
      </c>
      <c r="AU409" t="s">
        <v>90</v>
      </c>
      <c r="AV409" t="s">
        <v>2294</v>
      </c>
      <c r="AW409" t="s">
        <v>92</v>
      </c>
      <c r="AX409" t="s">
        <v>2295</v>
      </c>
      <c r="AY409" t="s">
        <v>94</v>
      </c>
      <c r="AZ409" t="s">
        <v>85</v>
      </c>
      <c r="BA409" t="s">
        <v>5070</v>
      </c>
      <c r="BB409" t="s">
        <v>5061</v>
      </c>
      <c r="BC409" t="s">
        <v>5063</v>
      </c>
      <c r="BD409" t="s">
        <v>2289</v>
      </c>
      <c r="BE409" t="s">
        <v>2290</v>
      </c>
      <c r="BF409" t="b">
        <f t="shared" si="6"/>
        <v>1</v>
      </c>
      <c r="BG409" t="b">
        <v>1</v>
      </c>
      <c r="BH409">
        <v>2006</v>
      </c>
      <c r="BI409" t="b">
        <v>1</v>
      </c>
      <c r="BJ409" t="s">
        <v>2297</v>
      </c>
      <c r="BK409" t="s">
        <v>2298</v>
      </c>
      <c r="BL409" t="b">
        <v>1</v>
      </c>
      <c r="BM409" t="b">
        <v>1</v>
      </c>
      <c r="BN409" t="b">
        <v>1</v>
      </c>
      <c r="BO409" t="s">
        <v>5071</v>
      </c>
      <c r="BP409" t="b">
        <f>IF(IFERROR(VLOOKUP(A409,[1]Planilha1!$A:$A,1,0),FALSE)=FALSE,FALSE,TRUE)</f>
        <v>1</v>
      </c>
    </row>
    <row r="410" spans="1:68" x14ac:dyDescent="0.25">
      <c r="A410" t="s">
        <v>5072</v>
      </c>
      <c r="B410" t="s">
        <v>68</v>
      </c>
      <c r="D410" s="1">
        <v>46204</v>
      </c>
      <c r="E410" s="1">
        <v>47664</v>
      </c>
      <c r="F410" t="s">
        <v>5062</v>
      </c>
      <c r="G410" t="s">
        <v>5063</v>
      </c>
      <c r="H410" s="2" t="s">
        <v>5064</v>
      </c>
      <c r="I410" t="s">
        <v>5063</v>
      </c>
      <c r="K410" t="s">
        <v>5065</v>
      </c>
      <c r="L410">
        <v>5116771</v>
      </c>
      <c r="M410" t="s">
        <v>5066</v>
      </c>
      <c r="N410" t="s">
        <v>2017</v>
      </c>
      <c r="O410" t="s">
        <v>2018</v>
      </c>
      <c r="P410" t="s">
        <v>230</v>
      </c>
      <c r="Q410" t="s">
        <v>2019</v>
      </c>
      <c r="R410" t="s">
        <v>2289</v>
      </c>
      <c r="S410" t="s">
        <v>2290</v>
      </c>
      <c r="T410" t="s">
        <v>184</v>
      </c>
      <c r="U410" t="s">
        <v>112</v>
      </c>
      <c r="V410" t="s">
        <v>82</v>
      </c>
      <c r="W410" t="s">
        <v>2289</v>
      </c>
      <c r="X410" t="s">
        <v>2290</v>
      </c>
      <c r="Y410" t="s">
        <v>184</v>
      </c>
      <c r="Z410" t="s">
        <v>112</v>
      </c>
      <c r="AA410" t="s">
        <v>82</v>
      </c>
      <c r="AB410" t="s">
        <v>83</v>
      </c>
      <c r="AC410" t="s">
        <v>1013</v>
      </c>
      <c r="AD410" t="s">
        <v>149</v>
      </c>
      <c r="AE410" t="s">
        <v>5073</v>
      </c>
      <c r="AF410" t="s">
        <v>85</v>
      </c>
      <c r="AG410" t="s">
        <v>5074</v>
      </c>
      <c r="AH410">
        <v>10</v>
      </c>
      <c r="AI410">
        <v>1354080</v>
      </c>
      <c r="AJ410">
        <v>145296</v>
      </c>
      <c r="AK410">
        <v>0</v>
      </c>
      <c r="AL410">
        <v>1499376</v>
      </c>
      <c r="AM410" t="s">
        <v>2289</v>
      </c>
      <c r="AN410" t="s">
        <v>2290</v>
      </c>
      <c r="AO410" t="s">
        <v>184</v>
      </c>
      <c r="AP410" t="s">
        <v>112</v>
      </c>
      <c r="AQ410" t="s">
        <v>82</v>
      </c>
      <c r="AR410" t="s">
        <v>5069</v>
      </c>
      <c r="AS410" s="3">
        <v>46202.46522332255</v>
      </c>
      <c r="AT410" t="s">
        <v>89</v>
      </c>
      <c r="AU410" t="s">
        <v>90</v>
      </c>
      <c r="AV410" t="s">
        <v>2294</v>
      </c>
      <c r="AW410" t="s">
        <v>92</v>
      </c>
      <c r="AX410" t="s">
        <v>2295</v>
      </c>
      <c r="AY410" t="s">
        <v>94</v>
      </c>
      <c r="AZ410" t="s">
        <v>85</v>
      </c>
      <c r="BA410" t="s">
        <v>5070</v>
      </c>
      <c r="BB410" t="s">
        <v>5072</v>
      </c>
      <c r="BC410" t="s">
        <v>5063</v>
      </c>
      <c r="BD410" t="s">
        <v>2289</v>
      </c>
      <c r="BE410" t="s">
        <v>2290</v>
      </c>
      <c r="BF410" t="b">
        <f t="shared" si="6"/>
        <v>0</v>
      </c>
      <c r="BG410" t="b">
        <v>1</v>
      </c>
      <c r="BH410">
        <v>2006</v>
      </c>
      <c r="BI410" t="b">
        <v>0</v>
      </c>
      <c r="BJ410" t="s">
        <v>2297</v>
      </c>
      <c r="BK410" t="s">
        <v>2298</v>
      </c>
      <c r="BL410" t="b">
        <v>1</v>
      </c>
      <c r="BM410" t="b">
        <v>1</v>
      </c>
      <c r="BN410" t="b">
        <v>1</v>
      </c>
      <c r="BO410" t="s">
        <v>5071</v>
      </c>
      <c r="BP410" t="b">
        <f>IF(IFERROR(VLOOKUP(A410,[1]Planilha1!$A:$A,1,0),FALSE)=FALSE,FALSE,TRUE)</f>
        <v>0</v>
      </c>
    </row>
    <row r="411" spans="1:68" x14ac:dyDescent="0.25">
      <c r="A411" t="s">
        <v>5075</v>
      </c>
      <c r="B411" t="s">
        <v>68</v>
      </c>
      <c r="D411" s="1">
        <v>46204</v>
      </c>
      <c r="E411" s="1">
        <v>47664</v>
      </c>
      <c r="F411" t="s">
        <v>5076</v>
      </c>
      <c r="G411" t="s">
        <v>5077</v>
      </c>
      <c r="H411" s="2" t="s">
        <v>5078</v>
      </c>
      <c r="I411" t="s">
        <v>5077</v>
      </c>
      <c r="K411" t="s">
        <v>5079</v>
      </c>
      <c r="L411">
        <v>5116512</v>
      </c>
      <c r="M411" t="s">
        <v>5080</v>
      </c>
      <c r="N411" t="s">
        <v>179</v>
      </c>
      <c r="O411" t="s">
        <v>180</v>
      </c>
      <c r="P411" t="s">
        <v>129</v>
      </c>
      <c r="Q411" t="s">
        <v>2841</v>
      </c>
      <c r="R411" t="s">
        <v>5081</v>
      </c>
      <c r="S411" t="s">
        <v>5082</v>
      </c>
      <c r="T411" t="s">
        <v>2146</v>
      </c>
      <c r="U411" t="s">
        <v>769</v>
      </c>
      <c r="V411" t="s">
        <v>82</v>
      </c>
      <c r="W411" t="s">
        <v>5081</v>
      </c>
      <c r="X411" t="s">
        <v>5082</v>
      </c>
      <c r="Y411" t="s">
        <v>2146</v>
      </c>
      <c r="Z411" t="s">
        <v>769</v>
      </c>
      <c r="AA411" t="s">
        <v>82</v>
      </c>
      <c r="AB411" t="s">
        <v>83</v>
      </c>
      <c r="AC411" t="s">
        <v>185</v>
      </c>
      <c r="AD411" t="s">
        <v>149</v>
      </c>
      <c r="AE411" t="s">
        <v>5083</v>
      </c>
      <c r="AF411" t="s">
        <v>149</v>
      </c>
      <c r="AG411" t="s">
        <v>5084</v>
      </c>
      <c r="AH411">
        <v>9</v>
      </c>
      <c r="AI411">
        <v>573480</v>
      </c>
      <c r="AJ411">
        <v>62000</v>
      </c>
      <c r="AK411">
        <v>0</v>
      </c>
      <c r="AL411">
        <v>635480</v>
      </c>
      <c r="AR411" t="s">
        <v>5085</v>
      </c>
      <c r="AS411" s="3">
        <v>46202.46522332255</v>
      </c>
      <c r="AT411" t="s">
        <v>89</v>
      </c>
      <c r="AU411" t="s">
        <v>90</v>
      </c>
      <c r="AV411" t="s">
        <v>2294</v>
      </c>
      <c r="AW411" t="s">
        <v>92</v>
      </c>
      <c r="AX411" t="s">
        <v>2295</v>
      </c>
      <c r="AY411" t="s">
        <v>94</v>
      </c>
      <c r="AZ411" t="s">
        <v>85</v>
      </c>
      <c r="BA411" t="s">
        <v>5086</v>
      </c>
      <c r="BB411" t="s">
        <v>5075</v>
      </c>
      <c r="BC411" t="s">
        <v>5077</v>
      </c>
      <c r="BD411" t="s">
        <v>5081</v>
      </c>
      <c r="BE411" t="s">
        <v>5082</v>
      </c>
      <c r="BF411" t="b">
        <f t="shared" si="6"/>
        <v>0</v>
      </c>
      <c r="BG411" t="b">
        <v>0</v>
      </c>
      <c r="BH411">
        <v>2025</v>
      </c>
      <c r="BI411" t="b">
        <v>0</v>
      </c>
      <c r="BJ411" t="s">
        <v>2297</v>
      </c>
      <c r="BK411" t="s">
        <v>2315</v>
      </c>
      <c r="BL411" t="b">
        <v>1</v>
      </c>
      <c r="BM411" t="b">
        <v>1</v>
      </c>
      <c r="BN411" t="b">
        <v>1</v>
      </c>
      <c r="BO411" t="s">
        <v>5087</v>
      </c>
      <c r="BP411" t="b">
        <f>IF(IFERROR(VLOOKUP(A411,[1]Planilha1!$A:$A,1,0),FALSE)=FALSE,FALSE,TRUE)</f>
        <v>0</v>
      </c>
    </row>
    <row r="412" spans="1:68" x14ac:dyDescent="0.25">
      <c r="A412" t="s">
        <v>5088</v>
      </c>
      <c r="B412" t="s">
        <v>68</v>
      </c>
      <c r="D412" s="1">
        <v>46204</v>
      </c>
      <c r="E412" s="1">
        <v>47664</v>
      </c>
      <c r="F412" t="s">
        <v>5089</v>
      </c>
      <c r="G412" t="s">
        <v>5090</v>
      </c>
      <c r="H412" s="2" t="s">
        <v>5091</v>
      </c>
      <c r="I412" t="s">
        <v>5090</v>
      </c>
      <c r="K412" t="s">
        <v>5092</v>
      </c>
      <c r="L412">
        <v>5116295</v>
      </c>
      <c r="M412" t="s">
        <v>5093</v>
      </c>
      <c r="N412" t="s">
        <v>619</v>
      </c>
      <c r="O412" t="s">
        <v>200</v>
      </c>
      <c r="P412" t="s">
        <v>107</v>
      </c>
      <c r="Q412" t="s">
        <v>5094</v>
      </c>
      <c r="R412" t="s">
        <v>2378</v>
      </c>
      <c r="S412" t="s">
        <v>2379</v>
      </c>
      <c r="T412" t="s">
        <v>1151</v>
      </c>
      <c r="U412" t="s">
        <v>769</v>
      </c>
      <c r="V412" t="s">
        <v>82</v>
      </c>
      <c r="W412" t="s">
        <v>2378</v>
      </c>
      <c r="X412" t="s">
        <v>2379</v>
      </c>
      <c r="Y412" t="s">
        <v>1151</v>
      </c>
      <c r="Z412" t="s">
        <v>769</v>
      </c>
      <c r="AA412" t="s">
        <v>82</v>
      </c>
      <c r="AB412" t="s">
        <v>83</v>
      </c>
      <c r="AC412" t="s">
        <v>202</v>
      </c>
      <c r="AD412" t="s">
        <v>136</v>
      </c>
      <c r="AE412" t="s">
        <v>5095</v>
      </c>
      <c r="AF412" t="s">
        <v>136</v>
      </c>
      <c r="AG412" t="s">
        <v>5096</v>
      </c>
      <c r="AH412">
        <v>9</v>
      </c>
      <c r="AI412">
        <v>730080</v>
      </c>
      <c r="AJ412">
        <v>81120</v>
      </c>
      <c r="AK412">
        <v>0</v>
      </c>
      <c r="AL412">
        <v>811200</v>
      </c>
      <c r="AM412" t="s">
        <v>2378</v>
      </c>
      <c r="AN412" t="s">
        <v>2379</v>
      </c>
      <c r="AO412" t="s">
        <v>1151</v>
      </c>
      <c r="AP412" t="s">
        <v>769</v>
      </c>
      <c r="AQ412" t="s">
        <v>82</v>
      </c>
      <c r="AR412" t="s">
        <v>5097</v>
      </c>
      <c r="AS412" s="3">
        <v>46202.46522332255</v>
      </c>
      <c r="AT412" t="s">
        <v>89</v>
      </c>
      <c r="AU412" t="s">
        <v>90</v>
      </c>
      <c r="AV412" t="s">
        <v>2294</v>
      </c>
      <c r="AW412" t="s">
        <v>92</v>
      </c>
      <c r="AX412" t="s">
        <v>2295</v>
      </c>
      <c r="AY412" t="s">
        <v>94</v>
      </c>
      <c r="AZ412" t="s">
        <v>85</v>
      </c>
      <c r="BA412" t="s">
        <v>5098</v>
      </c>
      <c r="BB412" t="s">
        <v>5088</v>
      </c>
      <c r="BC412" t="s">
        <v>5090</v>
      </c>
      <c r="BD412" t="s">
        <v>2378</v>
      </c>
      <c r="BE412" t="s">
        <v>2379</v>
      </c>
      <c r="BF412" t="b">
        <f t="shared" si="6"/>
        <v>1</v>
      </c>
      <c r="BG412" t="b">
        <v>1</v>
      </c>
      <c r="BH412">
        <v>2023</v>
      </c>
      <c r="BI412" t="b">
        <v>1</v>
      </c>
      <c r="BJ412" t="s">
        <v>2297</v>
      </c>
      <c r="BK412" t="s">
        <v>2384</v>
      </c>
      <c r="BL412" t="b">
        <v>1</v>
      </c>
      <c r="BM412" t="b">
        <v>1</v>
      </c>
      <c r="BN412" t="b">
        <v>1</v>
      </c>
      <c r="BO412" t="s">
        <v>5099</v>
      </c>
      <c r="BP412" t="b">
        <f>IF(IFERROR(VLOOKUP(A412,[1]Planilha1!$A:$A,1,0),FALSE)=FALSE,FALSE,TRUE)</f>
        <v>1</v>
      </c>
    </row>
    <row r="413" spans="1:68" x14ac:dyDescent="0.25">
      <c r="A413" t="s">
        <v>5100</v>
      </c>
      <c r="B413" t="s">
        <v>68</v>
      </c>
      <c r="D413" s="1">
        <v>46204</v>
      </c>
      <c r="E413" s="1">
        <v>47664</v>
      </c>
      <c r="F413" t="s">
        <v>5101</v>
      </c>
      <c r="G413" t="s">
        <v>5102</v>
      </c>
      <c r="H413" s="2" t="s">
        <v>5103</v>
      </c>
      <c r="I413" t="s">
        <v>5102</v>
      </c>
      <c r="K413" t="s">
        <v>5104</v>
      </c>
      <c r="L413">
        <v>5116905</v>
      </c>
      <c r="M413" t="s">
        <v>5105</v>
      </c>
      <c r="N413" t="s">
        <v>328</v>
      </c>
      <c r="O413" t="s">
        <v>329</v>
      </c>
      <c r="P413" t="s">
        <v>107</v>
      </c>
      <c r="Q413" t="s">
        <v>5106</v>
      </c>
      <c r="R413" t="s">
        <v>2378</v>
      </c>
      <c r="S413" t="s">
        <v>2379</v>
      </c>
      <c r="T413" t="s">
        <v>1151</v>
      </c>
      <c r="U413" t="s">
        <v>769</v>
      </c>
      <c r="V413" t="s">
        <v>82</v>
      </c>
      <c r="W413" t="s">
        <v>2378</v>
      </c>
      <c r="X413" t="s">
        <v>2379</v>
      </c>
      <c r="Y413" t="s">
        <v>1151</v>
      </c>
      <c r="Z413" t="s">
        <v>769</v>
      </c>
      <c r="AA413" t="s">
        <v>82</v>
      </c>
      <c r="AB413" t="s">
        <v>83</v>
      </c>
      <c r="AC413" t="s">
        <v>333</v>
      </c>
      <c r="AD413" t="s">
        <v>85</v>
      </c>
      <c r="AE413" t="s">
        <v>5107</v>
      </c>
      <c r="AF413" t="s">
        <v>85</v>
      </c>
      <c r="AG413" t="s">
        <v>5108</v>
      </c>
      <c r="AH413">
        <v>5</v>
      </c>
      <c r="AI413">
        <v>886080</v>
      </c>
      <c r="AJ413">
        <v>99146.67</v>
      </c>
      <c r="AK413">
        <v>0</v>
      </c>
      <c r="AL413">
        <v>985226.67</v>
      </c>
      <c r="AM413" t="s">
        <v>2378</v>
      </c>
      <c r="AN413" t="s">
        <v>2379</v>
      </c>
      <c r="AO413" t="s">
        <v>1151</v>
      </c>
      <c r="AP413" t="s">
        <v>769</v>
      </c>
      <c r="AQ413" t="s">
        <v>82</v>
      </c>
      <c r="AR413" t="s">
        <v>5109</v>
      </c>
      <c r="AS413" s="3">
        <v>46202.46522332255</v>
      </c>
      <c r="AT413" t="s">
        <v>89</v>
      </c>
      <c r="AU413" t="s">
        <v>90</v>
      </c>
      <c r="AV413" t="s">
        <v>2294</v>
      </c>
      <c r="AW413" t="s">
        <v>92</v>
      </c>
      <c r="AX413" t="s">
        <v>2295</v>
      </c>
      <c r="AY413" t="s">
        <v>94</v>
      </c>
      <c r="AZ413" t="s">
        <v>85</v>
      </c>
      <c r="BA413" t="s">
        <v>5110</v>
      </c>
      <c r="BB413" t="s">
        <v>5100</v>
      </c>
      <c r="BC413" t="s">
        <v>5102</v>
      </c>
      <c r="BD413" t="s">
        <v>2378</v>
      </c>
      <c r="BE413" t="s">
        <v>2379</v>
      </c>
      <c r="BF413" t="b">
        <f t="shared" si="6"/>
        <v>1</v>
      </c>
      <c r="BG413" t="b">
        <v>1</v>
      </c>
      <c r="BH413">
        <v>2022</v>
      </c>
      <c r="BI413" t="b">
        <v>1</v>
      </c>
      <c r="BJ413" t="s">
        <v>2297</v>
      </c>
      <c r="BK413" t="s">
        <v>2384</v>
      </c>
      <c r="BL413" t="b">
        <v>1</v>
      </c>
      <c r="BM413" t="b">
        <v>1</v>
      </c>
      <c r="BN413" t="b">
        <v>1</v>
      </c>
      <c r="BO413" t="s">
        <v>5111</v>
      </c>
      <c r="BP413" t="b">
        <f>IF(IFERROR(VLOOKUP(A413,[1]Planilha1!$A:$A,1,0),FALSE)=FALSE,FALSE,TRUE)</f>
        <v>1</v>
      </c>
    </row>
    <row r="414" spans="1:68" x14ac:dyDescent="0.25">
      <c r="A414" t="s">
        <v>5112</v>
      </c>
      <c r="B414" t="s">
        <v>68</v>
      </c>
      <c r="D414" s="1">
        <v>46204</v>
      </c>
      <c r="E414" s="1">
        <v>47664</v>
      </c>
      <c r="F414" t="s">
        <v>5113</v>
      </c>
      <c r="G414" t="s">
        <v>5114</v>
      </c>
      <c r="H414" s="2" t="s">
        <v>5115</v>
      </c>
      <c r="I414" t="s">
        <v>5114</v>
      </c>
      <c r="K414" t="s">
        <v>5116</v>
      </c>
      <c r="L414">
        <v>5116861</v>
      </c>
      <c r="M414" t="s">
        <v>5117</v>
      </c>
      <c r="N414" t="s">
        <v>228</v>
      </c>
      <c r="O414" t="s">
        <v>229</v>
      </c>
      <c r="P414" t="s">
        <v>230</v>
      </c>
      <c r="Q414" t="s">
        <v>483</v>
      </c>
      <c r="R414" t="s">
        <v>2378</v>
      </c>
      <c r="S414" t="s">
        <v>2379</v>
      </c>
      <c r="T414" t="s">
        <v>1151</v>
      </c>
      <c r="U414" t="s">
        <v>769</v>
      </c>
      <c r="V414" t="s">
        <v>82</v>
      </c>
      <c r="W414" t="s">
        <v>2378</v>
      </c>
      <c r="X414" t="s">
        <v>2379</v>
      </c>
      <c r="Y414" t="s">
        <v>1151</v>
      </c>
      <c r="Z414" t="s">
        <v>769</v>
      </c>
      <c r="AA414" t="s">
        <v>82</v>
      </c>
      <c r="AB414" t="s">
        <v>83</v>
      </c>
      <c r="AC414" t="s">
        <v>235</v>
      </c>
      <c r="AD414" t="s">
        <v>85</v>
      </c>
      <c r="AE414" t="s">
        <v>5118</v>
      </c>
      <c r="AF414" t="s">
        <v>85</v>
      </c>
      <c r="AG414" t="s">
        <v>5119</v>
      </c>
      <c r="AH414">
        <v>12</v>
      </c>
      <c r="AI414">
        <v>1095840</v>
      </c>
      <c r="AJ414">
        <v>119808</v>
      </c>
      <c r="AK414">
        <v>0</v>
      </c>
      <c r="AL414">
        <v>1215648</v>
      </c>
      <c r="AM414" t="s">
        <v>2378</v>
      </c>
      <c r="AN414" t="s">
        <v>2379</v>
      </c>
      <c r="AO414" t="s">
        <v>1151</v>
      </c>
      <c r="AP414" t="s">
        <v>769</v>
      </c>
      <c r="AQ414" t="s">
        <v>82</v>
      </c>
      <c r="AR414" t="s">
        <v>5120</v>
      </c>
      <c r="AS414" s="3">
        <v>46202.46522332255</v>
      </c>
      <c r="AT414" t="s">
        <v>89</v>
      </c>
      <c r="AU414" t="s">
        <v>90</v>
      </c>
      <c r="AV414" t="s">
        <v>2294</v>
      </c>
      <c r="AW414" t="s">
        <v>92</v>
      </c>
      <c r="AX414" t="s">
        <v>2295</v>
      </c>
      <c r="AY414" t="s">
        <v>94</v>
      </c>
      <c r="AZ414" t="s">
        <v>85</v>
      </c>
      <c r="BA414" t="s">
        <v>5121</v>
      </c>
      <c r="BB414" t="s">
        <v>5112</v>
      </c>
      <c r="BC414" t="s">
        <v>5114</v>
      </c>
      <c r="BD414" t="s">
        <v>2378</v>
      </c>
      <c r="BE414" t="s">
        <v>2379</v>
      </c>
      <c r="BF414" t="b">
        <f t="shared" si="6"/>
        <v>0</v>
      </c>
      <c r="BG414" t="b">
        <v>1</v>
      </c>
      <c r="BH414">
        <v>2025</v>
      </c>
      <c r="BI414" t="b">
        <v>0</v>
      </c>
      <c r="BJ414" t="s">
        <v>2297</v>
      </c>
      <c r="BK414" t="s">
        <v>2384</v>
      </c>
      <c r="BL414" t="b">
        <v>1</v>
      </c>
      <c r="BM414" t="b">
        <v>1</v>
      </c>
      <c r="BN414" t="b">
        <v>1</v>
      </c>
      <c r="BO414" t="s">
        <v>5122</v>
      </c>
      <c r="BP414" t="b">
        <f>IF(IFERROR(VLOOKUP(A414,[1]Planilha1!$A:$A,1,0),FALSE)=FALSE,FALSE,TRUE)</f>
        <v>0</v>
      </c>
    </row>
    <row r="415" spans="1:68" x14ac:dyDescent="0.25">
      <c r="A415" t="s">
        <v>5123</v>
      </c>
      <c r="B415" t="s">
        <v>68</v>
      </c>
      <c r="D415" s="1">
        <v>46204</v>
      </c>
      <c r="E415" s="1">
        <v>47664</v>
      </c>
      <c r="F415" t="s">
        <v>5124</v>
      </c>
      <c r="G415" t="s">
        <v>5125</v>
      </c>
      <c r="H415" s="2" t="s">
        <v>5126</v>
      </c>
      <c r="I415" t="s">
        <v>5125</v>
      </c>
      <c r="K415" t="s">
        <v>5127</v>
      </c>
      <c r="L415">
        <v>5116794</v>
      </c>
      <c r="M415" t="s">
        <v>5128</v>
      </c>
      <c r="N415" t="s">
        <v>872</v>
      </c>
      <c r="O415" t="s">
        <v>873</v>
      </c>
      <c r="P415" t="s">
        <v>647</v>
      </c>
      <c r="Q415" t="s">
        <v>874</v>
      </c>
      <c r="R415" t="s">
        <v>2378</v>
      </c>
      <c r="S415" t="s">
        <v>2379</v>
      </c>
      <c r="T415" t="s">
        <v>1151</v>
      </c>
      <c r="U415" t="s">
        <v>769</v>
      </c>
      <c r="V415" t="s">
        <v>82</v>
      </c>
      <c r="W415" t="s">
        <v>2378</v>
      </c>
      <c r="X415" t="s">
        <v>2379</v>
      </c>
      <c r="Y415" t="s">
        <v>1151</v>
      </c>
      <c r="Z415" t="s">
        <v>769</v>
      </c>
      <c r="AA415" t="s">
        <v>82</v>
      </c>
      <c r="AB415" t="s">
        <v>83</v>
      </c>
      <c r="AC415" t="s">
        <v>649</v>
      </c>
      <c r="AD415" t="s">
        <v>149</v>
      </c>
      <c r="AE415" t="s">
        <v>5129</v>
      </c>
      <c r="AF415" t="s">
        <v>85</v>
      </c>
      <c r="AG415" t="s">
        <v>5130</v>
      </c>
      <c r="AH415">
        <v>9</v>
      </c>
      <c r="AI415">
        <v>1359930</v>
      </c>
      <c r="AJ415">
        <v>135993</v>
      </c>
      <c r="AK415">
        <v>0</v>
      </c>
      <c r="AL415">
        <v>1495923</v>
      </c>
      <c r="AR415" t="s">
        <v>5131</v>
      </c>
      <c r="AS415" s="3">
        <v>46202.46522332255</v>
      </c>
      <c r="AT415" t="s">
        <v>89</v>
      </c>
      <c r="AU415" t="s">
        <v>90</v>
      </c>
      <c r="AV415" t="s">
        <v>2294</v>
      </c>
      <c r="AW415" t="s">
        <v>92</v>
      </c>
      <c r="AX415" t="s">
        <v>2295</v>
      </c>
      <c r="AY415" t="s">
        <v>94</v>
      </c>
      <c r="AZ415" t="s">
        <v>85</v>
      </c>
      <c r="BA415" t="s">
        <v>5132</v>
      </c>
      <c r="BB415" t="s">
        <v>5123</v>
      </c>
      <c r="BC415" t="s">
        <v>5125</v>
      </c>
      <c r="BD415" t="s">
        <v>2378</v>
      </c>
      <c r="BE415" t="s">
        <v>2379</v>
      </c>
      <c r="BF415" t="b">
        <f t="shared" si="6"/>
        <v>1</v>
      </c>
      <c r="BG415" t="b">
        <v>1</v>
      </c>
      <c r="BH415">
        <v>2005</v>
      </c>
      <c r="BI415" t="b">
        <v>1</v>
      </c>
      <c r="BJ415" t="s">
        <v>2297</v>
      </c>
      <c r="BK415" t="s">
        <v>2384</v>
      </c>
      <c r="BL415" t="b">
        <v>1</v>
      </c>
      <c r="BM415" t="b">
        <v>1</v>
      </c>
      <c r="BN415" t="b">
        <v>1</v>
      </c>
      <c r="BO415" t="s">
        <v>5133</v>
      </c>
      <c r="BP415" t="b">
        <f>IF(IFERROR(VLOOKUP(A415,[1]Planilha1!$A:$A,1,0),FALSE)=FALSE,FALSE,TRUE)</f>
        <v>1</v>
      </c>
    </row>
    <row r="416" spans="1:68" x14ac:dyDescent="0.25">
      <c r="A416" t="s">
        <v>5134</v>
      </c>
      <c r="B416" t="s">
        <v>68</v>
      </c>
      <c r="D416" s="1">
        <v>46204</v>
      </c>
      <c r="E416" s="1">
        <v>47664</v>
      </c>
      <c r="F416" t="s">
        <v>5135</v>
      </c>
      <c r="G416" t="s">
        <v>5136</v>
      </c>
      <c r="H416" s="2" t="s">
        <v>5137</v>
      </c>
      <c r="I416" t="s">
        <v>5136</v>
      </c>
      <c r="K416" t="s">
        <v>5138</v>
      </c>
      <c r="L416">
        <v>5116707</v>
      </c>
      <c r="M416" t="s">
        <v>5139</v>
      </c>
      <c r="N416" t="s">
        <v>1378</v>
      </c>
      <c r="O416" t="s">
        <v>1379</v>
      </c>
      <c r="P416" t="s">
        <v>529</v>
      </c>
      <c r="Q416" t="s">
        <v>2574</v>
      </c>
      <c r="R416" t="s">
        <v>2289</v>
      </c>
      <c r="S416" t="s">
        <v>2290</v>
      </c>
      <c r="T416" t="s">
        <v>184</v>
      </c>
      <c r="U416" t="s">
        <v>112</v>
      </c>
      <c r="V416" t="s">
        <v>82</v>
      </c>
      <c r="W416" t="s">
        <v>2289</v>
      </c>
      <c r="X416" t="s">
        <v>2290</v>
      </c>
      <c r="Y416" t="s">
        <v>184</v>
      </c>
      <c r="Z416" t="s">
        <v>112</v>
      </c>
      <c r="AA416" t="s">
        <v>82</v>
      </c>
      <c r="AB416" t="s">
        <v>83</v>
      </c>
      <c r="AC416" t="s">
        <v>1013</v>
      </c>
      <c r="AD416" t="s">
        <v>149</v>
      </c>
      <c r="AE416" t="s">
        <v>5140</v>
      </c>
      <c r="AF416" t="s">
        <v>85</v>
      </c>
      <c r="AG416" t="s">
        <v>5141</v>
      </c>
      <c r="AH416">
        <v>8</v>
      </c>
      <c r="AI416">
        <v>1061320</v>
      </c>
      <c r="AJ416">
        <v>120000</v>
      </c>
      <c r="AK416">
        <v>0</v>
      </c>
      <c r="AL416">
        <v>1181320</v>
      </c>
      <c r="AR416" t="s">
        <v>5142</v>
      </c>
      <c r="AS416" s="3">
        <v>46202.46522332255</v>
      </c>
      <c r="AT416" t="s">
        <v>89</v>
      </c>
      <c r="AU416" t="s">
        <v>90</v>
      </c>
      <c r="AV416" t="s">
        <v>2294</v>
      </c>
      <c r="AW416" t="s">
        <v>92</v>
      </c>
      <c r="AX416" t="s">
        <v>2295</v>
      </c>
      <c r="AY416" t="s">
        <v>94</v>
      </c>
      <c r="AZ416" t="s">
        <v>85</v>
      </c>
      <c r="BA416" t="s">
        <v>5143</v>
      </c>
      <c r="BB416" t="s">
        <v>5134</v>
      </c>
      <c r="BC416" t="s">
        <v>5136</v>
      </c>
      <c r="BD416" t="s">
        <v>2289</v>
      </c>
      <c r="BE416" t="s">
        <v>2290</v>
      </c>
      <c r="BF416" t="b">
        <f t="shared" si="6"/>
        <v>1</v>
      </c>
      <c r="BG416" t="b">
        <v>1</v>
      </c>
      <c r="BH416">
        <v>2004</v>
      </c>
      <c r="BI416" t="b">
        <v>1</v>
      </c>
      <c r="BJ416" t="s">
        <v>2297</v>
      </c>
      <c r="BK416" t="s">
        <v>2298</v>
      </c>
      <c r="BL416" t="b">
        <v>1</v>
      </c>
      <c r="BM416" t="b">
        <v>1</v>
      </c>
      <c r="BN416" t="b">
        <v>0</v>
      </c>
      <c r="BO416" t="s">
        <v>5144</v>
      </c>
      <c r="BP416" t="b">
        <f>IF(IFERROR(VLOOKUP(A416,[1]Planilha1!$A:$A,1,0),FALSE)=FALSE,FALSE,TRUE)</f>
        <v>1</v>
      </c>
    </row>
    <row r="417" spans="1:68" x14ac:dyDescent="0.25">
      <c r="A417" t="s">
        <v>5145</v>
      </c>
      <c r="B417" t="s">
        <v>68</v>
      </c>
      <c r="D417" s="1">
        <v>46204</v>
      </c>
      <c r="E417" s="1">
        <v>47664</v>
      </c>
      <c r="F417" t="s">
        <v>5146</v>
      </c>
      <c r="G417" t="s">
        <v>5147</v>
      </c>
      <c r="H417" s="2" t="s">
        <v>5148</v>
      </c>
      <c r="I417" t="s">
        <v>5147</v>
      </c>
      <c r="K417" t="s">
        <v>5149</v>
      </c>
      <c r="L417">
        <v>5116669</v>
      </c>
      <c r="M417" t="s">
        <v>5150</v>
      </c>
      <c r="N417" t="s">
        <v>389</v>
      </c>
      <c r="O417" t="s">
        <v>390</v>
      </c>
      <c r="P417" t="s">
        <v>107</v>
      </c>
      <c r="Q417" t="s">
        <v>593</v>
      </c>
      <c r="R417" t="s">
        <v>2453</v>
      </c>
      <c r="S417" t="s">
        <v>2454</v>
      </c>
      <c r="T417" t="s">
        <v>768</v>
      </c>
      <c r="U417" t="s">
        <v>769</v>
      </c>
      <c r="V417" t="s">
        <v>82</v>
      </c>
      <c r="W417" t="s">
        <v>2453</v>
      </c>
      <c r="X417" t="s">
        <v>2454</v>
      </c>
      <c r="Y417" t="s">
        <v>768</v>
      </c>
      <c r="Z417" t="s">
        <v>769</v>
      </c>
      <c r="AA417" t="s">
        <v>82</v>
      </c>
      <c r="AB417" t="s">
        <v>83</v>
      </c>
      <c r="AC417" t="s">
        <v>202</v>
      </c>
      <c r="AD417" t="s">
        <v>149</v>
      </c>
      <c r="AE417" t="s">
        <v>5151</v>
      </c>
      <c r="AF417" t="s">
        <v>85</v>
      </c>
      <c r="AG417" t="s">
        <v>5152</v>
      </c>
      <c r="AH417">
        <v>10</v>
      </c>
      <c r="AI417">
        <v>1349290</v>
      </c>
      <c r="AJ417">
        <v>149900</v>
      </c>
      <c r="AK417">
        <v>0</v>
      </c>
      <c r="AL417">
        <v>1499190</v>
      </c>
      <c r="AM417" t="s">
        <v>2453</v>
      </c>
      <c r="AN417" t="s">
        <v>2454</v>
      </c>
      <c r="AO417" t="s">
        <v>768</v>
      </c>
      <c r="AP417" t="s">
        <v>769</v>
      </c>
      <c r="AQ417" t="s">
        <v>82</v>
      </c>
      <c r="AR417" t="s">
        <v>5153</v>
      </c>
      <c r="AS417" s="3">
        <v>46202.46522332255</v>
      </c>
      <c r="AT417" t="s">
        <v>89</v>
      </c>
      <c r="AU417" t="s">
        <v>90</v>
      </c>
      <c r="AV417" t="s">
        <v>2294</v>
      </c>
      <c r="AW417" t="s">
        <v>92</v>
      </c>
      <c r="AX417" t="s">
        <v>2295</v>
      </c>
      <c r="AY417" t="s">
        <v>94</v>
      </c>
      <c r="AZ417" t="s">
        <v>85</v>
      </c>
      <c r="BA417" t="s">
        <v>5154</v>
      </c>
      <c r="BB417" t="s">
        <v>5145</v>
      </c>
      <c r="BC417" t="s">
        <v>5147</v>
      </c>
      <c r="BD417" t="s">
        <v>2453</v>
      </c>
      <c r="BE417" t="s">
        <v>2454</v>
      </c>
      <c r="BF417" t="b">
        <f t="shared" si="6"/>
        <v>1</v>
      </c>
      <c r="BG417" t="b">
        <v>1</v>
      </c>
      <c r="BH417">
        <v>2005</v>
      </c>
      <c r="BI417" t="b">
        <v>1</v>
      </c>
      <c r="BJ417" t="s">
        <v>2297</v>
      </c>
      <c r="BK417" t="s">
        <v>2459</v>
      </c>
      <c r="BL417" t="b">
        <v>1</v>
      </c>
      <c r="BM417" t="b">
        <v>1</v>
      </c>
      <c r="BN417" t="b">
        <v>1</v>
      </c>
      <c r="BO417" t="s">
        <v>2602</v>
      </c>
      <c r="BP417" t="b">
        <f>IF(IFERROR(VLOOKUP(A417,[1]Planilha1!$A:$A,1,0),FALSE)=FALSE,FALSE,TRUE)</f>
        <v>1</v>
      </c>
    </row>
    <row r="418" spans="1:68" x14ac:dyDescent="0.25">
      <c r="A418" t="s">
        <v>5155</v>
      </c>
      <c r="B418" t="s">
        <v>68</v>
      </c>
      <c r="D418" s="1">
        <v>46204</v>
      </c>
      <c r="E418" s="1">
        <v>47664</v>
      </c>
      <c r="F418" t="s">
        <v>5156</v>
      </c>
      <c r="G418" t="s">
        <v>5157</v>
      </c>
      <c r="H418" s="2" t="s">
        <v>5158</v>
      </c>
      <c r="I418" t="s">
        <v>5157</v>
      </c>
      <c r="K418" t="s">
        <v>5159</v>
      </c>
      <c r="L418">
        <v>5116525</v>
      </c>
      <c r="M418" t="s">
        <v>5160</v>
      </c>
      <c r="N418" t="s">
        <v>1378</v>
      </c>
      <c r="O418" t="s">
        <v>1379</v>
      </c>
      <c r="P418" t="s">
        <v>529</v>
      </c>
      <c r="Q418" t="s">
        <v>2574</v>
      </c>
      <c r="R418" t="s">
        <v>2289</v>
      </c>
      <c r="S418" t="s">
        <v>2290</v>
      </c>
      <c r="T418" t="s">
        <v>184</v>
      </c>
      <c r="U418" t="s">
        <v>112</v>
      </c>
      <c r="V418" t="s">
        <v>82</v>
      </c>
      <c r="W418" t="s">
        <v>2289</v>
      </c>
      <c r="X418" t="s">
        <v>2290</v>
      </c>
      <c r="Y418" t="s">
        <v>184</v>
      </c>
      <c r="Z418" t="s">
        <v>112</v>
      </c>
      <c r="AA418" t="s">
        <v>82</v>
      </c>
      <c r="AB418" t="s">
        <v>83</v>
      </c>
      <c r="AC418" t="s">
        <v>1013</v>
      </c>
      <c r="AD418" t="s">
        <v>149</v>
      </c>
      <c r="AE418" t="s">
        <v>5161</v>
      </c>
      <c r="AF418" t="s">
        <v>85</v>
      </c>
      <c r="AG418" t="s">
        <v>5162</v>
      </c>
      <c r="AH418">
        <v>6</v>
      </c>
      <c r="AI418">
        <v>926640</v>
      </c>
      <c r="AJ418">
        <v>75000</v>
      </c>
      <c r="AK418">
        <v>0</v>
      </c>
      <c r="AL418">
        <v>1001640</v>
      </c>
      <c r="AM418" t="s">
        <v>2289</v>
      </c>
      <c r="AN418" t="s">
        <v>2290</v>
      </c>
      <c r="AO418" t="s">
        <v>184</v>
      </c>
      <c r="AP418" t="s">
        <v>112</v>
      </c>
      <c r="AQ418" t="s">
        <v>82</v>
      </c>
      <c r="AR418" t="s">
        <v>5163</v>
      </c>
      <c r="AS418" s="3">
        <v>46202.46522332255</v>
      </c>
      <c r="AT418" t="s">
        <v>89</v>
      </c>
      <c r="AU418" t="s">
        <v>90</v>
      </c>
      <c r="AV418" t="s">
        <v>2294</v>
      </c>
      <c r="AW418" t="s">
        <v>92</v>
      </c>
      <c r="AX418" t="s">
        <v>2295</v>
      </c>
      <c r="AY418" t="s">
        <v>94</v>
      </c>
      <c r="AZ418" t="s">
        <v>85</v>
      </c>
      <c r="BA418" t="s">
        <v>5164</v>
      </c>
      <c r="BB418" t="s">
        <v>5155</v>
      </c>
      <c r="BC418" t="s">
        <v>5157</v>
      </c>
      <c r="BD418" t="s">
        <v>2289</v>
      </c>
      <c r="BE418" t="s">
        <v>2290</v>
      </c>
      <c r="BF418" t="b">
        <f t="shared" si="6"/>
        <v>1</v>
      </c>
      <c r="BG418" t="b">
        <v>1</v>
      </c>
      <c r="BH418">
        <v>2003</v>
      </c>
      <c r="BI418" t="b">
        <v>1</v>
      </c>
      <c r="BJ418" t="s">
        <v>2297</v>
      </c>
      <c r="BK418" t="s">
        <v>2298</v>
      </c>
      <c r="BL418" t="b">
        <v>1</v>
      </c>
      <c r="BM418" t="b">
        <v>1</v>
      </c>
      <c r="BN418" t="b">
        <v>1</v>
      </c>
      <c r="BO418" t="s">
        <v>5165</v>
      </c>
      <c r="BP418" t="b">
        <f>IF(IFERROR(VLOOKUP(A418,[1]Planilha1!$A:$A,1,0),FALSE)=FALSE,FALSE,TRUE)</f>
        <v>1</v>
      </c>
    </row>
    <row r="419" spans="1:68" x14ac:dyDescent="0.25">
      <c r="A419" t="s">
        <v>5166</v>
      </c>
      <c r="B419" t="s">
        <v>68</v>
      </c>
      <c r="D419" s="1">
        <v>46204</v>
      </c>
      <c r="E419" s="1">
        <v>47664</v>
      </c>
      <c r="F419" t="s">
        <v>5167</v>
      </c>
      <c r="G419" t="s">
        <v>5168</v>
      </c>
      <c r="H419" s="2" t="s">
        <v>5169</v>
      </c>
      <c r="I419" t="s">
        <v>5168</v>
      </c>
      <c r="K419" t="s">
        <v>5168</v>
      </c>
      <c r="L419">
        <v>5114588</v>
      </c>
      <c r="M419" t="s">
        <v>5170</v>
      </c>
      <c r="N419" t="s">
        <v>872</v>
      </c>
      <c r="O419" t="s">
        <v>873</v>
      </c>
      <c r="P419" t="s">
        <v>647</v>
      </c>
      <c r="Q419" t="s">
        <v>5171</v>
      </c>
      <c r="R419" t="s">
        <v>5172</v>
      </c>
      <c r="S419" t="s">
        <v>5173</v>
      </c>
      <c r="T419" t="s">
        <v>133</v>
      </c>
      <c r="U419" t="s">
        <v>134</v>
      </c>
      <c r="V419" t="s">
        <v>82</v>
      </c>
      <c r="W419" t="s">
        <v>5172</v>
      </c>
      <c r="X419" t="s">
        <v>5173</v>
      </c>
      <c r="Y419" t="s">
        <v>133</v>
      </c>
      <c r="Z419" t="s">
        <v>134</v>
      </c>
      <c r="AA419" t="s">
        <v>82</v>
      </c>
      <c r="AB419" t="s">
        <v>83</v>
      </c>
      <c r="AC419" t="s">
        <v>649</v>
      </c>
      <c r="AD419" t="s">
        <v>238</v>
      </c>
      <c r="AE419" t="s">
        <v>5174</v>
      </c>
      <c r="AF419" t="s">
        <v>238</v>
      </c>
      <c r="AG419" t="s">
        <v>5175</v>
      </c>
      <c r="AH419">
        <v>10</v>
      </c>
      <c r="AI419">
        <v>1428960</v>
      </c>
      <c r="AJ419">
        <v>0</v>
      </c>
      <c r="AK419">
        <v>0</v>
      </c>
      <c r="AL419">
        <v>1428960</v>
      </c>
      <c r="AM419" t="s">
        <v>5172</v>
      </c>
      <c r="AN419" t="s">
        <v>5173</v>
      </c>
      <c r="AO419" t="s">
        <v>133</v>
      </c>
      <c r="AP419" t="s">
        <v>134</v>
      </c>
      <c r="AQ419" t="s">
        <v>82</v>
      </c>
      <c r="AR419" t="s">
        <v>5176</v>
      </c>
      <c r="AS419" s="3">
        <v>46202.46522332255</v>
      </c>
      <c r="AT419" t="s">
        <v>89</v>
      </c>
      <c r="AU419" t="s">
        <v>90</v>
      </c>
      <c r="AV419" t="s">
        <v>2294</v>
      </c>
      <c r="AW419" t="s">
        <v>92</v>
      </c>
      <c r="AX419" t="s">
        <v>2295</v>
      </c>
      <c r="AY419" t="s">
        <v>94</v>
      </c>
      <c r="AZ419" t="s">
        <v>85</v>
      </c>
      <c r="BA419" t="s">
        <v>5177</v>
      </c>
      <c r="BB419" t="s">
        <v>5166</v>
      </c>
      <c r="BC419" t="s">
        <v>5168</v>
      </c>
      <c r="BD419" t="s">
        <v>5172</v>
      </c>
      <c r="BE419" t="s">
        <v>5173</v>
      </c>
      <c r="BF419" t="b">
        <f t="shared" si="6"/>
        <v>0</v>
      </c>
      <c r="BG419" t="b">
        <v>0</v>
      </c>
      <c r="BH419">
        <v>2014</v>
      </c>
      <c r="BI419" t="b">
        <v>0</v>
      </c>
      <c r="BJ419" t="s">
        <v>2297</v>
      </c>
      <c r="BK419" t="s">
        <v>2315</v>
      </c>
      <c r="BL419" t="b">
        <v>1</v>
      </c>
      <c r="BM419" t="b">
        <v>1</v>
      </c>
      <c r="BN419" t="b">
        <v>1</v>
      </c>
      <c r="BO419" t="s">
        <v>5178</v>
      </c>
      <c r="BP419" t="b">
        <f>IF(IFERROR(VLOOKUP(A419,[1]Planilha1!$A:$A,1,0),FALSE)=FALSE,FALSE,TRUE)</f>
        <v>0</v>
      </c>
    </row>
    <row r="420" spans="1:68" x14ac:dyDescent="0.25">
      <c r="A420" t="s">
        <v>5179</v>
      </c>
      <c r="B420" t="s">
        <v>68</v>
      </c>
      <c r="D420" s="1">
        <v>46204</v>
      </c>
      <c r="E420" s="1">
        <v>47664</v>
      </c>
      <c r="F420" t="s">
        <v>5180</v>
      </c>
      <c r="G420" t="s">
        <v>5181</v>
      </c>
      <c r="H420" s="2" t="s">
        <v>5182</v>
      </c>
      <c r="I420" t="s">
        <v>5181</v>
      </c>
      <c r="K420" t="s">
        <v>5183</v>
      </c>
      <c r="L420">
        <v>5116747</v>
      </c>
      <c r="M420" t="s">
        <v>5184</v>
      </c>
      <c r="N420" t="s">
        <v>793</v>
      </c>
      <c r="O420" t="s">
        <v>794</v>
      </c>
      <c r="P420" t="s">
        <v>647</v>
      </c>
      <c r="Q420" t="s">
        <v>2609</v>
      </c>
      <c r="R420" t="s">
        <v>2378</v>
      </c>
      <c r="S420" t="s">
        <v>2379</v>
      </c>
      <c r="T420" t="s">
        <v>1151</v>
      </c>
      <c r="U420" t="s">
        <v>769</v>
      </c>
      <c r="V420" t="s">
        <v>82</v>
      </c>
      <c r="W420" t="s">
        <v>2378</v>
      </c>
      <c r="X420" t="s">
        <v>2379</v>
      </c>
      <c r="Y420" t="s">
        <v>1151</v>
      </c>
      <c r="Z420" t="s">
        <v>769</v>
      </c>
      <c r="AA420" t="s">
        <v>82</v>
      </c>
      <c r="AB420" t="s">
        <v>83</v>
      </c>
      <c r="AC420" t="s">
        <v>649</v>
      </c>
      <c r="AD420" t="s">
        <v>149</v>
      </c>
      <c r="AE420" t="s">
        <v>5185</v>
      </c>
      <c r="AF420" t="s">
        <v>85</v>
      </c>
      <c r="AG420" t="s">
        <v>5186</v>
      </c>
      <c r="AH420">
        <v>5</v>
      </c>
      <c r="AI420">
        <v>1060800</v>
      </c>
      <c r="AJ420">
        <v>117173.33</v>
      </c>
      <c r="AK420">
        <v>0</v>
      </c>
      <c r="AL420">
        <v>1177973.33</v>
      </c>
      <c r="AM420" t="s">
        <v>2378</v>
      </c>
      <c r="AN420" t="s">
        <v>2379</v>
      </c>
      <c r="AO420" t="s">
        <v>1151</v>
      </c>
      <c r="AP420" t="s">
        <v>769</v>
      </c>
      <c r="AQ420" t="s">
        <v>82</v>
      </c>
      <c r="AR420" t="s">
        <v>5187</v>
      </c>
      <c r="AS420" s="3">
        <v>46202.46522332255</v>
      </c>
      <c r="AT420" t="s">
        <v>89</v>
      </c>
      <c r="AU420" t="s">
        <v>90</v>
      </c>
      <c r="AV420" t="s">
        <v>2294</v>
      </c>
      <c r="AW420" t="s">
        <v>92</v>
      </c>
      <c r="AX420" t="s">
        <v>2295</v>
      </c>
      <c r="AY420" t="s">
        <v>94</v>
      </c>
      <c r="AZ420" t="s">
        <v>85</v>
      </c>
      <c r="BA420" t="s">
        <v>5188</v>
      </c>
      <c r="BB420" t="s">
        <v>5179</v>
      </c>
      <c r="BC420" t="s">
        <v>5181</v>
      </c>
      <c r="BD420" t="s">
        <v>2378</v>
      </c>
      <c r="BE420" t="s">
        <v>2379</v>
      </c>
      <c r="BF420" t="b">
        <f t="shared" si="6"/>
        <v>1</v>
      </c>
      <c r="BG420" t="b">
        <v>1</v>
      </c>
      <c r="BH420">
        <v>2023</v>
      </c>
      <c r="BI420" t="b">
        <v>1</v>
      </c>
      <c r="BJ420" t="s">
        <v>2297</v>
      </c>
      <c r="BK420" t="s">
        <v>2384</v>
      </c>
      <c r="BL420" t="b">
        <v>1</v>
      </c>
      <c r="BM420" t="b">
        <v>1</v>
      </c>
      <c r="BN420" t="b">
        <v>1</v>
      </c>
      <c r="BO420" t="s">
        <v>2615</v>
      </c>
      <c r="BP420" t="b">
        <f>IF(IFERROR(VLOOKUP(A420,[1]Planilha1!$A:$A,1,0),FALSE)=FALSE,FALSE,TRUE)</f>
        <v>1</v>
      </c>
    </row>
    <row r="421" spans="1:68" x14ac:dyDescent="0.25">
      <c r="A421" t="s">
        <v>5189</v>
      </c>
      <c r="B421" t="s">
        <v>68</v>
      </c>
      <c r="D421" s="1">
        <v>46204</v>
      </c>
      <c r="E421" s="1">
        <v>47664</v>
      </c>
      <c r="F421" t="s">
        <v>5190</v>
      </c>
      <c r="G421" t="s">
        <v>5191</v>
      </c>
      <c r="H421" s="2" t="s">
        <v>5192</v>
      </c>
      <c r="I421" t="s">
        <v>5191</v>
      </c>
      <c r="K421" t="s">
        <v>5193</v>
      </c>
      <c r="L421">
        <v>5116811</v>
      </c>
      <c r="M421" t="s">
        <v>5194</v>
      </c>
      <c r="N421" t="s">
        <v>214</v>
      </c>
      <c r="O421" t="s">
        <v>215</v>
      </c>
      <c r="P421" t="s">
        <v>76</v>
      </c>
      <c r="Q421" t="s">
        <v>216</v>
      </c>
      <c r="R421" t="s">
        <v>2668</v>
      </c>
      <c r="S421" t="s">
        <v>2669</v>
      </c>
      <c r="T421" t="s">
        <v>2670</v>
      </c>
      <c r="U421" t="s">
        <v>112</v>
      </c>
      <c r="V421" t="s">
        <v>82</v>
      </c>
      <c r="W421" t="s">
        <v>2668</v>
      </c>
      <c r="X421" t="s">
        <v>2669</v>
      </c>
      <c r="Y421" t="s">
        <v>2670</v>
      </c>
      <c r="Z421" t="s">
        <v>112</v>
      </c>
      <c r="AA421" t="s">
        <v>82</v>
      </c>
      <c r="AB421" t="s">
        <v>83</v>
      </c>
      <c r="AC421" t="s">
        <v>84</v>
      </c>
      <c r="AD421" t="s">
        <v>85</v>
      </c>
      <c r="AE421" t="s">
        <v>5195</v>
      </c>
      <c r="AF421" t="s">
        <v>85</v>
      </c>
      <c r="AG421" t="s">
        <v>5196</v>
      </c>
      <c r="AH421">
        <v>9</v>
      </c>
      <c r="AI421">
        <v>1345600</v>
      </c>
      <c r="AJ421">
        <v>148020</v>
      </c>
      <c r="AK421">
        <v>0</v>
      </c>
      <c r="AL421">
        <v>1493620</v>
      </c>
      <c r="AM421" t="s">
        <v>2668</v>
      </c>
      <c r="AN421" t="s">
        <v>2669</v>
      </c>
      <c r="AO421" t="s">
        <v>2670</v>
      </c>
      <c r="AP421" t="s">
        <v>112</v>
      </c>
      <c r="AQ421" t="s">
        <v>82</v>
      </c>
      <c r="AR421" t="s">
        <v>5197</v>
      </c>
      <c r="AS421" s="3">
        <v>46202.46522332255</v>
      </c>
      <c r="AT421" t="s">
        <v>89</v>
      </c>
      <c r="AU421" t="s">
        <v>90</v>
      </c>
      <c r="AV421" t="s">
        <v>2294</v>
      </c>
      <c r="AW421" t="s">
        <v>92</v>
      </c>
      <c r="AX421" t="s">
        <v>2295</v>
      </c>
      <c r="AY421" t="s">
        <v>94</v>
      </c>
      <c r="AZ421" t="s">
        <v>85</v>
      </c>
      <c r="BA421" t="s">
        <v>5198</v>
      </c>
      <c r="BB421" t="s">
        <v>5189</v>
      </c>
      <c r="BC421" t="s">
        <v>5191</v>
      </c>
      <c r="BD421" t="s">
        <v>2668</v>
      </c>
      <c r="BE421" t="s">
        <v>2669</v>
      </c>
      <c r="BF421" t="b">
        <f t="shared" si="6"/>
        <v>1</v>
      </c>
      <c r="BG421" t="b">
        <v>1</v>
      </c>
      <c r="BH421">
        <v>2017</v>
      </c>
      <c r="BI421" t="b">
        <v>1</v>
      </c>
      <c r="BJ421" t="s">
        <v>2297</v>
      </c>
      <c r="BK421" t="s">
        <v>2675</v>
      </c>
      <c r="BL421" t="b">
        <v>1</v>
      </c>
      <c r="BM421" t="b">
        <v>1</v>
      </c>
      <c r="BN421" t="b">
        <v>1</v>
      </c>
      <c r="BO421" t="s">
        <v>5199</v>
      </c>
      <c r="BP421" t="b">
        <f>IF(IFERROR(VLOOKUP(A421,[1]Planilha1!$A:$A,1,0),FALSE)=FALSE,FALSE,TRUE)</f>
        <v>1</v>
      </c>
    </row>
    <row r="422" spans="1:68" x14ac:dyDescent="0.25">
      <c r="A422" t="s">
        <v>5200</v>
      </c>
      <c r="B422" t="s">
        <v>68</v>
      </c>
      <c r="D422" s="1">
        <v>46204</v>
      </c>
      <c r="E422" s="1">
        <v>47664</v>
      </c>
      <c r="F422" t="s">
        <v>5201</v>
      </c>
      <c r="G422" t="s">
        <v>5202</v>
      </c>
      <c r="H422" s="2" t="s">
        <v>5203</v>
      </c>
      <c r="I422" t="s">
        <v>5202</v>
      </c>
      <c r="K422" t="s">
        <v>5204</v>
      </c>
      <c r="L422">
        <v>5116757</v>
      </c>
      <c r="M422" t="s">
        <v>5205</v>
      </c>
      <c r="N422" t="s">
        <v>4816</v>
      </c>
      <c r="O422" t="s">
        <v>528</v>
      </c>
      <c r="P422" t="s">
        <v>230</v>
      </c>
      <c r="Q422" t="s">
        <v>4817</v>
      </c>
      <c r="R422" t="s">
        <v>2453</v>
      </c>
      <c r="S422" t="s">
        <v>2454</v>
      </c>
      <c r="T422" t="s">
        <v>768</v>
      </c>
      <c r="U422" t="s">
        <v>769</v>
      </c>
      <c r="V422" t="s">
        <v>82</v>
      </c>
      <c r="W422" t="s">
        <v>2453</v>
      </c>
      <c r="X422" t="s">
        <v>2454</v>
      </c>
      <c r="Y422" t="s">
        <v>768</v>
      </c>
      <c r="Z422" t="s">
        <v>769</v>
      </c>
      <c r="AA422" t="s">
        <v>82</v>
      </c>
      <c r="AB422" t="s">
        <v>83</v>
      </c>
      <c r="AC422" t="s">
        <v>235</v>
      </c>
      <c r="AD422" t="s">
        <v>149</v>
      </c>
      <c r="AE422" t="s">
        <v>5206</v>
      </c>
      <c r="AF422" t="s">
        <v>85</v>
      </c>
      <c r="AG422" t="s">
        <v>5207</v>
      </c>
      <c r="AH422">
        <v>6</v>
      </c>
      <c r="AI422">
        <v>747120</v>
      </c>
      <c r="AJ422">
        <v>82922.67</v>
      </c>
      <c r="AK422">
        <v>0</v>
      </c>
      <c r="AL422">
        <v>830042.67</v>
      </c>
      <c r="AM422" t="s">
        <v>2453</v>
      </c>
      <c r="AN422" t="s">
        <v>2454</v>
      </c>
      <c r="AO422" t="s">
        <v>768</v>
      </c>
      <c r="AP422" t="s">
        <v>769</v>
      </c>
      <c r="AQ422" t="s">
        <v>82</v>
      </c>
      <c r="AR422" t="s">
        <v>5208</v>
      </c>
      <c r="AS422" s="3">
        <v>46202.46522332255</v>
      </c>
      <c r="AT422" t="s">
        <v>89</v>
      </c>
      <c r="AU422" t="s">
        <v>90</v>
      </c>
      <c r="AV422" t="s">
        <v>2294</v>
      </c>
      <c r="AW422" t="s">
        <v>92</v>
      </c>
      <c r="AX422" t="s">
        <v>2295</v>
      </c>
      <c r="AY422" t="s">
        <v>94</v>
      </c>
      <c r="AZ422" t="s">
        <v>85</v>
      </c>
      <c r="BA422" t="s">
        <v>5209</v>
      </c>
      <c r="BB422" t="s">
        <v>5200</v>
      </c>
      <c r="BC422" t="s">
        <v>5202</v>
      </c>
      <c r="BD422" t="s">
        <v>2453</v>
      </c>
      <c r="BE422" t="s">
        <v>2454</v>
      </c>
      <c r="BF422" t="b">
        <f t="shared" si="6"/>
        <v>1</v>
      </c>
      <c r="BG422" t="b">
        <v>1</v>
      </c>
      <c r="BH422">
        <v>2020</v>
      </c>
      <c r="BI422" t="b">
        <v>1</v>
      </c>
      <c r="BJ422" t="s">
        <v>2297</v>
      </c>
      <c r="BK422" t="s">
        <v>2459</v>
      </c>
      <c r="BL422" t="b">
        <v>1</v>
      </c>
      <c r="BM422" t="b">
        <v>1</v>
      </c>
      <c r="BN422" t="b">
        <v>1</v>
      </c>
      <c r="BO422" t="s">
        <v>5210</v>
      </c>
      <c r="BP422" t="b">
        <f>IF(IFERROR(VLOOKUP(A422,[1]Planilha1!$A:$A,1,0),FALSE)=FALSE,FALSE,TRUE)</f>
        <v>1</v>
      </c>
    </row>
    <row r="423" spans="1:68" x14ac:dyDescent="0.25">
      <c r="A423" t="s">
        <v>5211</v>
      </c>
      <c r="B423" t="s">
        <v>68</v>
      </c>
      <c r="D423" s="1">
        <v>46204</v>
      </c>
      <c r="E423" s="1">
        <v>47664</v>
      </c>
      <c r="F423" t="s">
        <v>5212</v>
      </c>
      <c r="G423" t="s">
        <v>5213</v>
      </c>
      <c r="H423" s="2" t="s">
        <v>5214</v>
      </c>
      <c r="I423" t="s">
        <v>5213</v>
      </c>
      <c r="K423" t="s">
        <v>5215</v>
      </c>
      <c r="L423">
        <v>5116781</v>
      </c>
      <c r="M423" t="s">
        <v>5216</v>
      </c>
      <c r="N423" t="s">
        <v>809</v>
      </c>
      <c r="O423" t="s">
        <v>810</v>
      </c>
      <c r="P423" t="s">
        <v>76</v>
      </c>
      <c r="Q423" t="s">
        <v>811</v>
      </c>
      <c r="R423" t="s">
        <v>2668</v>
      </c>
      <c r="S423" t="s">
        <v>2669</v>
      </c>
      <c r="T423" t="s">
        <v>2670</v>
      </c>
      <c r="U423" t="s">
        <v>112</v>
      </c>
      <c r="V423" t="s">
        <v>82</v>
      </c>
      <c r="W423" t="s">
        <v>2668</v>
      </c>
      <c r="X423" t="s">
        <v>2669</v>
      </c>
      <c r="Y423" t="s">
        <v>2670</v>
      </c>
      <c r="Z423" t="s">
        <v>112</v>
      </c>
      <c r="AA423" t="s">
        <v>82</v>
      </c>
      <c r="AB423" t="s">
        <v>83</v>
      </c>
      <c r="AC423" t="s">
        <v>84</v>
      </c>
      <c r="AD423" t="s">
        <v>85</v>
      </c>
      <c r="AE423" t="s">
        <v>5217</v>
      </c>
      <c r="AF423" t="s">
        <v>85</v>
      </c>
      <c r="AG423" t="s">
        <v>5218</v>
      </c>
      <c r="AH423">
        <v>55</v>
      </c>
      <c r="AI423">
        <v>1386420</v>
      </c>
      <c r="AJ423">
        <v>110000</v>
      </c>
      <c r="AK423">
        <v>0</v>
      </c>
      <c r="AL423">
        <v>1496420</v>
      </c>
      <c r="AM423" t="s">
        <v>2668</v>
      </c>
      <c r="AN423" t="s">
        <v>2669</v>
      </c>
      <c r="AO423" t="s">
        <v>2670</v>
      </c>
      <c r="AP423" t="s">
        <v>112</v>
      </c>
      <c r="AQ423" t="s">
        <v>82</v>
      </c>
      <c r="AR423" t="s">
        <v>5219</v>
      </c>
      <c r="AS423" s="3">
        <v>46202.46522332255</v>
      </c>
      <c r="AT423" t="s">
        <v>89</v>
      </c>
      <c r="AU423" t="s">
        <v>90</v>
      </c>
      <c r="AV423" t="s">
        <v>2294</v>
      </c>
      <c r="AW423" t="s">
        <v>92</v>
      </c>
      <c r="AX423" t="s">
        <v>2295</v>
      </c>
      <c r="AY423" t="s">
        <v>94</v>
      </c>
      <c r="AZ423" t="s">
        <v>85</v>
      </c>
      <c r="BA423" t="s">
        <v>5220</v>
      </c>
      <c r="BB423" t="s">
        <v>5211</v>
      </c>
      <c r="BC423" t="s">
        <v>5213</v>
      </c>
      <c r="BD423" t="s">
        <v>2668</v>
      </c>
      <c r="BE423" t="s">
        <v>2669</v>
      </c>
      <c r="BF423" t="b">
        <f t="shared" si="6"/>
        <v>1</v>
      </c>
      <c r="BG423" t="b">
        <v>1</v>
      </c>
      <c r="BH423">
        <v>2010</v>
      </c>
      <c r="BI423" t="b">
        <v>1</v>
      </c>
      <c r="BJ423" t="s">
        <v>2297</v>
      </c>
      <c r="BK423" t="s">
        <v>2675</v>
      </c>
      <c r="BL423" t="b">
        <v>1</v>
      </c>
      <c r="BM423" t="b">
        <v>1</v>
      </c>
      <c r="BN423" t="b">
        <v>1</v>
      </c>
      <c r="BO423" t="s">
        <v>5221</v>
      </c>
      <c r="BP423" t="b">
        <f>IF(IFERROR(VLOOKUP(A423,[1]Planilha1!$A:$A,1,0),FALSE)=FALSE,FALSE,TRUE)</f>
        <v>1</v>
      </c>
    </row>
    <row r="424" spans="1:68" x14ac:dyDescent="0.25">
      <c r="A424" t="s">
        <v>5222</v>
      </c>
      <c r="B424" t="s">
        <v>68</v>
      </c>
      <c r="D424" s="1">
        <v>46204</v>
      </c>
      <c r="E424" s="1">
        <v>47664</v>
      </c>
      <c r="F424" t="s">
        <v>5223</v>
      </c>
      <c r="G424" t="s">
        <v>5224</v>
      </c>
      <c r="H424" s="2" t="s">
        <v>5225</v>
      </c>
      <c r="I424" t="s">
        <v>5224</v>
      </c>
      <c r="K424" t="s">
        <v>5226</v>
      </c>
      <c r="L424">
        <v>5116862</v>
      </c>
      <c r="M424" t="s">
        <v>5227</v>
      </c>
      <c r="N424" t="s">
        <v>970</v>
      </c>
      <c r="O424" t="s">
        <v>528</v>
      </c>
      <c r="P424" t="s">
        <v>529</v>
      </c>
      <c r="Q424" t="s">
        <v>971</v>
      </c>
      <c r="R424" t="s">
        <v>2289</v>
      </c>
      <c r="S424" t="s">
        <v>2290</v>
      </c>
      <c r="T424" t="s">
        <v>184</v>
      </c>
      <c r="U424" t="s">
        <v>112</v>
      </c>
      <c r="V424" t="s">
        <v>82</v>
      </c>
      <c r="W424" t="s">
        <v>2289</v>
      </c>
      <c r="X424" t="s">
        <v>2290</v>
      </c>
      <c r="Y424" t="s">
        <v>184</v>
      </c>
      <c r="Z424" t="s">
        <v>112</v>
      </c>
      <c r="AA424" t="s">
        <v>82</v>
      </c>
      <c r="AB424" t="s">
        <v>83</v>
      </c>
      <c r="AC424" t="s">
        <v>235</v>
      </c>
      <c r="AD424" t="s">
        <v>85</v>
      </c>
      <c r="AE424" t="s">
        <v>5228</v>
      </c>
      <c r="AF424" t="s">
        <v>85</v>
      </c>
      <c r="AG424" t="s">
        <v>5229</v>
      </c>
      <c r="AH424">
        <v>9</v>
      </c>
      <c r="AI424">
        <v>1292460</v>
      </c>
      <c r="AJ424">
        <v>129246</v>
      </c>
      <c r="AK424">
        <v>0</v>
      </c>
      <c r="AL424">
        <v>1421706</v>
      </c>
      <c r="AM424" t="s">
        <v>2289</v>
      </c>
      <c r="AN424" t="s">
        <v>2290</v>
      </c>
      <c r="AO424" t="s">
        <v>184</v>
      </c>
      <c r="AP424" t="s">
        <v>112</v>
      </c>
      <c r="AQ424" t="s">
        <v>82</v>
      </c>
      <c r="AR424" t="s">
        <v>5230</v>
      </c>
      <c r="AS424" s="3">
        <v>46202.46522332255</v>
      </c>
      <c r="AT424" t="s">
        <v>89</v>
      </c>
      <c r="AU424" t="s">
        <v>90</v>
      </c>
      <c r="AV424" t="s">
        <v>2294</v>
      </c>
      <c r="AW424" t="s">
        <v>92</v>
      </c>
      <c r="AX424" t="s">
        <v>2295</v>
      </c>
      <c r="AY424" t="s">
        <v>94</v>
      </c>
      <c r="AZ424" t="s">
        <v>85</v>
      </c>
      <c r="BA424" t="s">
        <v>5231</v>
      </c>
      <c r="BB424" t="s">
        <v>5222</v>
      </c>
      <c r="BC424" t="s">
        <v>5224</v>
      </c>
      <c r="BD424" t="s">
        <v>2289</v>
      </c>
      <c r="BE424" t="s">
        <v>2290</v>
      </c>
      <c r="BF424" t="b">
        <f t="shared" si="6"/>
        <v>1</v>
      </c>
      <c r="BG424" t="b">
        <v>1</v>
      </c>
      <c r="BH424">
        <v>1992</v>
      </c>
      <c r="BI424" t="b">
        <v>1</v>
      </c>
      <c r="BJ424" t="s">
        <v>2297</v>
      </c>
      <c r="BK424" t="s">
        <v>2298</v>
      </c>
      <c r="BL424" t="b">
        <v>1</v>
      </c>
      <c r="BM424" t="b">
        <v>1</v>
      </c>
      <c r="BN424" t="b">
        <v>1</v>
      </c>
      <c r="BO424" t="s">
        <v>5232</v>
      </c>
      <c r="BP424" t="b">
        <f>IF(IFERROR(VLOOKUP(A424,[1]Planilha1!$A:$A,1,0),FALSE)=FALSE,FALSE,TRUE)</f>
        <v>1</v>
      </c>
    </row>
    <row r="425" spans="1:68" x14ac:dyDescent="0.25">
      <c r="A425" t="s">
        <v>5233</v>
      </c>
      <c r="B425" t="s">
        <v>68</v>
      </c>
      <c r="D425" s="1">
        <v>46204</v>
      </c>
      <c r="E425" s="1">
        <v>47664</v>
      </c>
      <c r="F425" t="s">
        <v>5234</v>
      </c>
      <c r="G425" t="s">
        <v>5235</v>
      </c>
      <c r="H425" s="2" t="s">
        <v>5236</v>
      </c>
      <c r="I425" t="s">
        <v>5235</v>
      </c>
      <c r="K425" t="s">
        <v>5237</v>
      </c>
      <c r="L425">
        <v>5116634</v>
      </c>
      <c r="M425" t="s">
        <v>5238</v>
      </c>
      <c r="N425" t="s">
        <v>1378</v>
      </c>
      <c r="O425" t="s">
        <v>1379</v>
      </c>
      <c r="P425" t="s">
        <v>529</v>
      </c>
      <c r="Q425" t="s">
        <v>2574</v>
      </c>
      <c r="R425" t="s">
        <v>2289</v>
      </c>
      <c r="S425" t="s">
        <v>2290</v>
      </c>
      <c r="T425" t="s">
        <v>184</v>
      </c>
      <c r="U425" t="s">
        <v>112</v>
      </c>
      <c r="V425" t="s">
        <v>82</v>
      </c>
      <c r="W425" t="s">
        <v>2289</v>
      </c>
      <c r="X425" t="s">
        <v>2290</v>
      </c>
      <c r="Y425" t="s">
        <v>184</v>
      </c>
      <c r="Z425" t="s">
        <v>112</v>
      </c>
      <c r="AA425" t="s">
        <v>82</v>
      </c>
      <c r="AB425" t="s">
        <v>83</v>
      </c>
      <c r="AC425" t="s">
        <v>1013</v>
      </c>
      <c r="AD425" t="s">
        <v>85</v>
      </c>
      <c r="AE425" t="s">
        <v>5239</v>
      </c>
      <c r="AF425" t="s">
        <v>85</v>
      </c>
      <c r="AG425" t="s">
        <v>5240</v>
      </c>
      <c r="AH425">
        <v>8</v>
      </c>
      <c r="AI425">
        <v>1344200</v>
      </c>
      <c r="AJ425">
        <v>150000</v>
      </c>
      <c r="AK425">
        <v>0</v>
      </c>
      <c r="AL425">
        <v>1494200</v>
      </c>
      <c r="AM425" t="s">
        <v>2289</v>
      </c>
      <c r="AN425" t="s">
        <v>2290</v>
      </c>
      <c r="AO425" t="s">
        <v>184</v>
      </c>
      <c r="AP425" t="s">
        <v>112</v>
      </c>
      <c r="AQ425" t="s">
        <v>82</v>
      </c>
      <c r="AR425" t="s">
        <v>5241</v>
      </c>
      <c r="AS425" s="3">
        <v>46202.46522332255</v>
      </c>
      <c r="AT425" t="s">
        <v>89</v>
      </c>
      <c r="AU425" t="s">
        <v>90</v>
      </c>
      <c r="AV425" t="s">
        <v>2294</v>
      </c>
      <c r="AW425" t="s">
        <v>92</v>
      </c>
      <c r="AX425" t="s">
        <v>2295</v>
      </c>
      <c r="AY425" t="s">
        <v>94</v>
      </c>
      <c r="AZ425" t="s">
        <v>85</v>
      </c>
      <c r="BA425" t="s">
        <v>5242</v>
      </c>
      <c r="BB425" t="s">
        <v>5233</v>
      </c>
      <c r="BC425" t="s">
        <v>5235</v>
      </c>
      <c r="BD425" t="s">
        <v>2289</v>
      </c>
      <c r="BE425" t="s">
        <v>2290</v>
      </c>
      <c r="BF425" t="b">
        <f t="shared" si="6"/>
        <v>1</v>
      </c>
      <c r="BG425" t="b">
        <v>1</v>
      </c>
      <c r="BH425">
        <v>2018</v>
      </c>
      <c r="BI425" t="b">
        <v>1</v>
      </c>
      <c r="BJ425" t="s">
        <v>2297</v>
      </c>
      <c r="BK425" t="s">
        <v>2298</v>
      </c>
      <c r="BL425" t="b">
        <v>1</v>
      </c>
      <c r="BM425" t="b">
        <v>1</v>
      </c>
      <c r="BN425" t="b">
        <v>1</v>
      </c>
      <c r="BO425" t="s">
        <v>5243</v>
      </c>
      <c r="BP425" t="b">
        <f>IF(IFERROR(VLOOKUP(A425,[1]Planilha1!$A:$A,1,0),FALSE)=FALSE,FALSE,TRUE)</f>
        <v>1</v>
      </c>
    </row>
    <row r="426" spans="1:68" x14ac:dyDescent="0.25">
      <c r="A426" t="s">
        <v>5244</v>
      </c>
      <c r="B426" t="s">
        <v>68</v>
      </c>
      <c r="D426" s="1">
        <v>46204</v>
      </c>
      <c r="E426" s="1">
        <v>47664</v>
      </c>
      <c r="F426" t="s">
        <v>5245</v>
      </c>
      <c r="G426" t="s">
        <v>5246</v>
      </c>
      <c r="H426" s="2" t="s">
        <v>5247</v>
      </c>
      <c r="I426" t="s">
        <v>5246</v>
      </c>
      <c r="K426" t="s">
        <v>5248</v>
      </c>
      <c r="L426">
        <v>5116320</v>
      </c>
      <c r="M426" t="s">
        <v>5249</v>
      </c>
      <c r="N426" t="s">
        <v>2880</v>
      </c>
      <c r="O426" t="s">
        <v>2018</v>
      </c>
      <c r="P426" t="s">
        <v>230</v>
      </c>
      <c r="Q426" t="s">
        <v>5250</v>
      </c>
      <c r="R426" t="s">
        <v>2378</v>
      </c>
      <c r="S426" t="s">
        <v>2379</v>
      </c>
      <c r="T426" t="s">
        <v>1151</v>
      </c>
      <c r="U426" t="s">
        <v>769</v>
      </c>
      <c r="V426" t="s">
        <v>82</v>
      </c>
      <c r="W426" t="s">
        <v>2378</v>
      </c>
      <c r="X426" t="s">
        <v>2379</v>
      </c>
      <c r="Y426" t="s">
        <v>1151</v>
      </c>
      <c r="Z426" t="s">
        <v>769</v>
      </c>
      <c r="AA426" t="s">
        <v>82</v>
      </c>
      <c r="AB426" t="s">
        <v>83</v>
      </c>
      <c r="AC426" t="s">
        <v>1013</v>
      </c>
      <c r="AD426" t="s">
        <v>136</v>
      </c>
      <c r="AE426" t="s">
        <v>5251</v>
      </c>
      <c r="AF426" t="s">
        <v>136</v>
      </c>
      <c r="AG426" t="s">
        <v>5252</v>
      </c>
      <c r="AH426">
        <v>14</v>
      </c>
      <c r="AI426">
        <v>761280</v>
      </c>
      <c r="AJ426">
        <v>84586.67</v>
      </c>
      <c r="AK426">
        <v>0</v>
      </c>
      <c r="AL426">
        <v>845866.67</v>
      </c>
      <c r="AM426" t="s">
        <v>2378</v>
      </c>
      <c r="AN426" t="s">
        <v>2379</v>
      </c>
      <c r="AO426" t="s">
        <v>1151</v>
      </c>
      <c r="AP426" t="s">
        <v>769</v>
      </c>
      <c r="AQ426" t="s">
        <v>82</v>
      </c>
      <c r="AR426" t="s">
        <v>5253</v>
      </c>
      <c r="AS426" s="3">
        <v>46202.46522332255</v>
      </c>
      <c r="AT426" t="s">
        <v>89</v>
      </c>
      <c r="AU426" t="s">
        <v>90</v>
      </c>
      <c r="AV426" t="s">
        <v>2294</v>
      </c>
      <c r="AW426" t="s">
        <v>92</v>
      </c>
      <c r="AX426" t="s">
        <v>2295</v>
      </c>
      <c r="AY426" t="s">
        <v>94</v>
      </c>
      <c r="AZ426" t="s">
        <v>85</v>
      </c>
      <c r="BA426" t="s">
        <v>5254</v>
      </c>
      <c r="BB426" t="s">
        <v>5244</v>
      </c>
      <c r="BC426" t="s">
        <v>5246</v>
      </c>
      <c r="BD426" t="s">
        <v>2378</v>
      </c>
      <c r="BE426" t="s">
        <v>2379</v>
      </c>
      <c r="BF426" t="b">
        <f t="shared" si="6"/>
        <v>1</v>
      </c>
      <c r="BG426" t="b">
        <v>1</v>
      </c>
      <c r="BH426">
        <v>2025</v>
      </c>
      <c r="BI426" t="b">
        <v>1</v>
      </c>
      <c r="BJ426" t="s">
        <v>2297</v>
      </c>
      <c r="BK426" t="s">
        <v>2384</v>
      </c>
      <c r="BL426" t="b">
        <v>1</v>
      </c>
      <c r="BM426" t="b">
        <v>1</v>
      </c>
      <c r="BN426" t="b">
        <v>1</v>
      </c>
      <c r="BO426" t="s">
        <v>5255</v>
      </c>
      <c r="BP426" t="b">
        <f>IF(IFERROR(VLOOKUP(A426,[1]Planilha1!$A:$A,1,0),FALSE)=FALSE,FALSE,TRUE)</f>
        <v>1</v>
      </c>
    </row>
    <row r="427" spans="1:68" x14ac:dyDescent="0.25">
      <c r="A427" t="s">
        <v>5256</v>
      </c>
      <c r="B427" t="s">
        <v>68</v>
      </c>
      <c r="D427" s="1">
        <v>46204</v>
      </c>
      <c r="E427" s="1">
        <v>47664</v>
      </c>
      <c r="F427" t="s">
        <v>5257</v>
      </c>
      <c r="G427" t="s">
        <v>5258</v>
      </c>
      <c r="H427" s="2" t="s">
        <v>5259</v>
      </c>
      <c r="I427" t="s">
        <v>5258</v>
      </c>
      <c r="K427" t="s">
        <v>5260</v>
      </c>
      <c r="L427">
        <v>5116837</v>
      </c>
      <c r="M427" t="s">
        <v>5261</v>
      </c>
      <c r="N427" t="s">
        <v>872</v>
      </c>
      <c r="O427" t="s">
        <v>873</v>
      </c>
      <c r="P427" t="s">
        <v>647</v>
      </c>
      <c r="Q427" t="s">
        <v>5262</v>
      </c>
      <c r="R427" t="s">
        <v>2378</v>
      </c>
      <c r="S427" t="s">
        <v>2379</v>
      </c>
      <c r="T427" t="s">
        <v>1151</v>
      </c>
      <c r="U427" t="s">
        <v>769</v>
      </c>
      <c r="V427" t="s">
        <v>82</v>
      </c>
      <c r="W427" t="s">
        <v>2378</v>
      </c>
      <c r="X427" t="s">
        <v>2379</v>
      </c>
      <c r="Y427" t="s">
        <v>1151</v>
      </c>
      <c r="Z427" t="s">
        <v>769</v>
      </c>
      <c r="AA427" t="s">
        <v>82</v>
      </c>
      <c r="AB427" t="s">
        <v>83</v>
      </c>
      <c r="AC427" t="s">
        <v>649</v>
      </c>
      <c r="AD427" t="s">
        <v>85</v>
      </c>
      <c r="AE427" t="s">
        <v>5263</v>
      </c>
      <c r="AF427" t="s">
        <v>85</v>
      </c>
      <c r="AG427" t="s">
        <v>5264</v>
      </c>
      <c r="AH427">
        <v>11</v>
      </c>
      <c r="AI427">
        <v>1029600</v>
      </c>
      <c r="AJ427">
        <v>147050</v>
      </c>
      <c r="AK427">
        <v>0</v>
      </c>
      <c r="AL427">
        <v>1176650</v>
      </c>
      <c r="AR427" t="s">
        <v>5265</v>
      </c>
      <c r="AS427" s="3">
        <v>46202.46522332255</v>
      </c>
      <c r="AT427" t="s">
        <v>89</v>
      </c>
      <c r="AU427" t="s">
        <v>90</v>
      </c>
      <c r="AV427" t="s">
        <v>2294</v>
      </c>
      <c r="AW427" t="s">
        <v>92</v>
      </c>
      <c r="AX427" t="s">
        <v>2295</v>
      </c>
      <c r="AY427" t="s">
        <v>94</v>
      </c>
      <c r="AZ427" t="s">
        <v>85</v>
      </c>
      <c r="BA427" t="s">
        <v>5266</v>
      </c>
      <c r="BB427" t="s">
        <v>5256</v>
      </c>
      <c r="BC427" t="s">
        <v>5258</v>
      </c>
      <c r="BD427" t="s">
        <v>2378</v>
      </c>
      <c r="BE427" t="s">
        <v>2379</v>
      </c>
      <c r="BF427" t="b">
        <f t="shared" si="6"/>
        <v>1</v>
      </c>
      <c r="BG427" t="b">
        <v>1</v>
      </c>
      <c r="BH427">
        <v>2015</v>
      </c>
      <c r="BI427" t="b">
        <v>1</v>
      </c>
      <c r="BJ427" t="s">
        <v>2297</v>
      </c>
      <c r="BK427" t="s">
        <v>2384</v>
      </c>
      <c r="BL427" t="b">
        <v>1</v>
      </c>
      <c r="BM427" t="b">
        <v>1</v>
      </c>
      <c r="BN427" t="b">
        <v>1</v>
      </c>
      <c r="BO427" t="s">
        <v>5267</v>
      </c>
      <c r="BP427" t="b">
        <f>IF(IFERROR(VLOOKUP(A427,[1]Planilha1!$A:$A,1,0),FALSE)=FALSE,FALSE,TRUE)</f>
        <v>1</v>
      </c>
    </row>
    <row r="428" spans="1:68" x14ac:dyDescent="0.25">
      <c r="A428" t="s">
        <v>5268</v>
      </c>
      <c r="B428" t="s">
        <v>68</v>
      </c>
      <c r="D428" s="1">
        <v>46204</v>
      </c>
      <c r="E428" s="1">
        <v>47664</v>
      </c>
      <c r="F428" t="s">
        <v>5269</v>
      </c>
      <c r="G428" t="s">
        <v>5270</v>
      </c>
      <c r="H428" s="2" t="s">
        <v>5271</v>
      </c>
      <c r="I428" t="s">
        <v>5270</v>
      </c>
      <c r="K428" t="s">
        <v>5272</v>
      </c>
      <c r="L428">
        <v>5116844</v>
      </c>
      <c r="M428" t="s">
        <v>5273</v>
      </c>
      <c r="N428" t="s">
        <v>793</v>
      </c>
      <c r="O428" t="s">
        <v>794</v>
      </c>
      <c r="P428" t="s">
        <v>647</v>
      </c>
      <c r="Q428" t="s">
        <v>4265</v>
      </c>
      <c r="R428" t="s">
        <v>2378</v>
      </c>
      <c r="S428" t="s">
        <v>2379</v>
      </c>
      <c r="T428" t="s">
        <v>1151</v>
      </c>
      <c r="U428" t="s">
        <v>769</v>
      </c>
      <c r="V428" t="s">
        <v>82</v>
      </c>
      <c r="W428" t="s">
        <v>2378</v>
      </c>
      <c r="X428" t="s">
        <v>2379</v>
      </c>
      <c r="Y428" t="s">
        <v>1151</v>
      </c>
      <c r="Z428" t="s">
        <v>769</v>
      </c>
      <c r="AA428" t="s">
        <v>82</v>
      </c>
      <c r="AB428" t="s">
        <v>83</v>
      </c>
      <c r="AC428" t="s">
        <v>649</v>
      </c>
      <c r="AD428" t="s">
        <v>85</v>
      </c>
      <c r="AE428" t="s">
        <v>5274</v>
      </c>
      <c r="AF428" t="s">
        <v>85</v>
      </c>
      <c r="AG428" t="s">
        <v>5275</v>
      </c>
      <c r="AH428">
        <v>5</v>
      </c>
      <c r="AI428">
        <v>1043640</v>
      </c>
      <c r="AJ428">
        <v>115596</v>
      </c>
      <c r="AK428">
        <v>0</v>
      </c>
      <c r="AL428">
        <v>1159236</v>
      </c>
      <c r="AM428" t="s">
        <v>2378</v>
      </c>
      <c r="AN428" t="s">
        <v>2379</v>
      </c>
      <c r="AO428" t="s">
        <v>1151</v>
      </c>
      <c r="AP428" t="s">
        <v>769</v>
      </c>
      <c r="AQ428" t="s">
        <v>82</v>
      </c>
      <c r="AR428" t="s">
        <v>5276</v>
      </c>
      <c r="AS428" s="3">
        <v>46202.46522332255</v>
      </c>
      <c r="AT428" t="s">
        <v>89</v>
      </c>
      <c r="AU428" t="s">
        <v>90</v>
      </c>
      <c r="AV428" t="s">
        <v>2294</v>
      </c>
      <c r="AW428" t="s">
        <v>92</v>
      </c>
      <c r="AX428" t="s">
        <v>2295</v>
      </c>
      <c r="AY428" t="s">
        <v>94</v>
      </c>
      <c r="AZ428" t="s">
        <v>85</v>
      </c>
      <c r="BA428" t="s">
        <v>5277</v>
      </c>
      <c r="BB428" t="s">
        <v>5268</v>
      </c>
      <c r="BC428" t="s">
        <v>5270</v>
      </c>
      <c r="BD428" t="s">
        <v>2378</v>
      </c>
      <c r="BE428" t="s">
        <v>2379</v>
      </c>
      <c r="BF428" t="b">
        <f t="shared" si="6"/>
        <v>1</v>
      </c>
      <c r="BG428" t="b">
        <v>1</v>
      </c>
      <c r="BH428">
        <v>2020</v>
      </c>
      <c r="BI428" t="b">
        <v>1</v>
      </c>
      <c r="BJ428" t="s">
        <v>2297</v>
      </c>
      <c r="BK428" t="s">
        <v>2384</v>
      </c>
      <c r="BL428" t="b">
        <v>1</v>
      </c>
      <c r="BM428" t="b">
        <v>1</v>
      </c>
      <c r="BN428" t="b">
        <v>1</v>
      </c>
      <c r="BO428" t="s">
        <v>5278</v>
      </c>
      <c r="BP428" t="b">
        <f>IF(IFERROR(VLOOKUP(A428,[1]Planilha1!$A:$A,1,0),FALSE)=FALSE,FALSE,TRUE)</f>
        <v>1</v>
      </c>
    </row>
    <row r="429" spans="1:68" x14ac:dyDescent="0.25">
      <c r="A429" t="s">
        <v>5279</v>
      </c>
      <c r="B429" t="s">
        <v>68</v>
      </c>
      <c r="D429" s="1">
        <v>46204</v>
      </c>
      <c r="E429" s="1">
        <v>47664</v>
      </c>
      <c r="F429" t="s">
        <v>5280</v>
      </c>
      <c r="G429" t="s">
        <v>5281</v>
      </c>
      <c r="H429" s="2" t="s">
        <v>5282</v>
      </c>
      <c r="I429" t="s">
        <v>5281</v>
      </c>
      <c r="K429" t="s">
        <v>5283</v>
      </c>
      <c r="L429">
        <v>5116636</v>
      </c>
      <c r="M429" t="s">
        <v>5284</v>
      </c>
      <c r="N429" t="s">
        <v>793</v>
      </c>
      <c r="O429" t="s">
        <v>794</v>
      </c>
      <c r="P429" t="s">
        <v>647</v>
      </c>
      <c r="Q429" t="s">
        <v>5285</v>
      </c>
      <c r="R429" t="s">
        <v>2378</v>
      </c>
      <c r="S429" t="s">
        <v>2379</v>
      </c>
      <c r="T429" t="s">
        <v>1151</v>
      </c>
      <c r="U429" t="s">
        <v>769</v>
      </c>
      <c r="V429" t="s">
        <v>82</v>
      </c>
      <c r="W429" t="s">
        <v>2378</v>
      </c>
      <c r="X429" t="s">
        <v>2379</v>
      </c>
      <c r="Y429" t="s">
        <v>1151</v>
      </c>
      <c r="Z429" t="s">
        <v>769</v>
      </c>
      <c r="AA429" t="s">
        <v>82</v>
      </c>
      <c r="AB429" t="s">
        <v>83</v>
      </c>
      <c r="AC429" t="s">
        <v>649</v>
      </c>
      <c r="AD429" t="s">
        <v>85</v>
      </c>
      <c r="AE429" t="s">
        <v>5286</v>
      </c>
      <c r="AF429" t="s">
        <v>85</v>
      </c>
      <c r="AG429" t="s">
        <v>5287</v>
      </c>
      <c r="AH429">
        <v>6</v>
      </c>
      <c r="AI429">
        <v>778750</v>
      </c>
      <c r="AJ429">
        <v>86528</v>
      </c>
      <c r="AK429">
        <v>0</v>
      </c>
      <c r="AL429">
        <v>865278</v>
      </c>
      <c r="AM429" t="s">
        <v>2378</v>
      </c>
      <c r="AN429" t="s">
        <v>2379</v>
      </c>
      <c r="AO429" t="s">
        <v>1151</v>
      </c>
      <c r="AP429" t="s">
        <v>769</v>
      </c>
      <c r="AQ429" t="s">
        <v>82</v>
      </c>
      <c r="AR429" t="s">
        <v>5288</v>
      </c>
      <c r="AS429" s="3">
        <v>46202.46522332255</v>
      </c>
      <c r="AT429" t="s">
        <v>89</v>
      </c>
      <c r="AU429" t="s">
        <v>90</v>
      </c>
      <c r="AV429" t="s">
        <v>2294</v>
      </c>
      <c r="AW429" t="s">
        <v>92</v>
      </c>
      <c r="AX429" t="s">
        <v>2295</v>
      </c>
      <c r="AY429" t="s">
        <v>94</v>
      </c>
      <c r="AZ429" t="s">
        <v>85</v>
      </c>
      <c r="BA429" t="s">
        <v>5289</v>
      </c>
      <c r="BB429" t="s">
        <v>5279</v>
      </c>
      <c r="BC429" t="s">
        <v>5281</v>
      </c>
      <c r="BD429" t="s">
        <v>2378</v>
      </c>
      <c r="BE429" t="s">
        <v>2379</v>
      </c>
      <c r="BF429" t="b">
        <f t="shared" si="6"/>
        <v>1</v>
      </c>
      <c r="BG429" t="b">
        <v>1</v>
      </c>
      <c r="BH429">
        <v>2021</v>
      </c>
      <c r="BI429" t="b">
        <v>1</v>
      </c>
      <c r="BJ429" t="s">
        <v>2297</v>
      </c>
      <c r="BK429" t="s">
        <v>2384</v>
      </c>
      <c r="BL429" t="b">
        <v>1</v>
      </c>
      <c r="BM429" t="b">
        <v>1</v>
      </c>
      <c r="BN429" t="b">
        <v>1</v>
      </c>
      <c r="BO429" t="s">
        <v>5290</v>
      </c>
      <c r="BP429" t="b">
        <f>IF(IFERROR(VLOOKUP(A429,[1]Planilha1!$A:$A,1,0),FALSE)=FALSE,FALSE,TRUE)</f>
        <v>1</v>
      </c>
    </row>
    <row r="430" spans="1:68" x14ac:dyDescent="0.25">
      <c r="A430" t="s">
        <v>5291</v>
      </c>
      <c r="B430" t="s">
        <v>68</v>
      </c>
      <c r="D430" s="1">
        <v>46204</v>
      </c>
      <c r="E430" s="1">
        <v>47664</v>
      </c>
      <c r="F430" t="s">
        <v>5292</v>
      </c>
      <c r="G430" t="s">
        <v>5293</v>
      </c>
      <c r="H430" s="2" t="s">
        <v>5294</v>
      </c>
      <c r="I430" t="s">
        <v>5293</v>
      </c>
      <c r="K430" t="s">
        <v>5295</v>
      </c>
      <c r="L430">
        <v>5116732</v>
      </c>
      <c r="M430" t="s">
        <v>5296</v>
      </c>
      <c r="N430" t="s">
        <v>1378</v>
      </c>
      <c r="O430" t="s">
        <v>1379</v>
      </c>
      <c r="P430" t="s">
        <v>529</v>
      </c>
      <c r="Q430" t="s">
        <v>2574</v>
      </c>
      <c r="R430" t="s">
        <v>2289</v>
      </c>
      <c r="S430" t="s">
        <v>2290</v>
      </c>
      <c r="T430" t="s">
        <v>184</v>
      </c>
      <c r="U430" t="s">
        <v>112</v>
      </c>
      <c r="V430" t="s">
        <v>82</v>
      </c>
      <c r="W430" t="s">
        <v>2289</v>
      </c>
      <c r="X430" t="s">
        <v>2290</v>
      </c>
      <c r="Y430" t="s">
        <v>184</v>
      </c>
      <c r="Z430" t="s">
        <v>112</v>
      </c>
      <c r="AA430" t="s">
        <v>82</v>
      </c>
      <c r="AB430" t="s">
        <v>83</v>
      </c>
      <c r="AC430" t="s">
        <v>1013</v>
      </c>
      <c r="AD430" t="s">
        <v>149</v>
      </c>
      <c r="AE430" t="s">
        <v>5297</v>
      </c>
      <c r="AF430" t="s">
        <v>85</v>
      </c>
      <c r="AG430" t="s">
        <v>5298</v>
      </c>
      <c r="AH430">
        <v>3</v>
      </c>
      <c r="AI430">
        <v>586560</v>
      </c>
      <c r="AJ430">
        <v>83875</v>
      </c>
      <c r="AK430">
        <v>0</v>
      </c>
      <c r="AL430">
        <v>670435</v>
      </c>
      <c r="AM430" t="s">
        <v>2289</v>
      </c>
      <c r="AN430" t="s">
        <v>2290</v>
      </c>
      <c r="AO430" t="s">
        <v>184</v>
      </c>
      <c r="AP430" t="s">
        <v>112</v>
      </c>
      <c r="AQ430" t="s">
        <v>82</v>
      </c>
      <c r="AR430" t="s">
        <v>5299</v>
      </c>
      <c r="AS430" s="3">
        <v>46202.46522332255</v>
      </c>
      <c r="AT430" t="s">
        <v>89</v>
      </c>
      <c r="AU430" t="s">
        <v>90</v>
      </c>
      <c r="AV430" t="s">
        <v>2294</v>
      </c>
      <c r="AW430" t="s">
        <v>92</v>
      </c>
      <c r="AX430" t="s">
        <v>2295</v>
      </c>
      <c r="AY430" t="s">
        <v>94</v>
      </c>
      <c r="AZ430" t="s">
        <v>85</v>
      </c>
      <c r="BA430" t="s">
        <v>5300</v>
      </c>
      <c r="BB430" t="s">
        <v>5291</v>
      </c>
      <c r="BC430" t="s">
        <v>5293</v>
      </c>
      <c r="BD430" t="s">
        <v>2289</v>
      </c>
      <c r="BE430" t="s">
        <v>2290</v>
      </c>
      <c r="BF430" t="b">
        <f t="shared" si="6"/>
        <v>1</v>
      </c>
      <c r="BG430" t="b">
        <v>1</v>
      </c>
      <c r="BH430">
        <v>2017</v>
      </c>
      <c r="BI430" t="b">
        <v>1</v>
      </c>
      <c r="BJ430" t="s">
        <v>2297</v>
      </c>
      <c r="BK430" t="s">
        <v>2298</v>
      </c>
      <c r="BL430" t="b">
        <v>1</v>
      </c>
      <c r="BM430" t="b">
        <v>1</v>
      </c>
      <c r="BN430" t="b">
        <v>1</v>
      </c>
      <c r="BO430" t="s">
        <v>5301</v>
      </c>
      <c r="BP430" t="b">
        <f>IF(IFERROR(VLOOKUP(A430,[1]Planilha1!$A:$A,1,0),FALSE)=FALSE,FALSE,TRUE)</f>
        <v>1</v>
      </c>
    </row>
    <row r="431" spans="1:68" x14ac:dyDescent="0.25">
      <c r="A431" t="s">
        <v>5302</v>
      </c>
      <c r="B431" t="s">
        <v>68</v>
      </c>
      <c r="D431" s="1">
        <v>46204</v>
      </c>
      <c r="E431" s="1">
        <v>47664</v>
      </c>
      <c r="F431" t="s">
        <v>5303</v>
      </c>
      <c r="G431" t="s">
        <v>5304</v>
      </c>
      <c r="H431" s="2" t="s">
        <v>5305</v>
      </c>
      <c r="I431" t="s">
        <v>5304</v>
      </c>
      <c r="K431" t="s">
        <v>5306</v>
      </c>
      <c r="L431">
        <v>5116615</v>
      </c>
      <c r="M431" t="s">
        <v>5307</v>
      </c>
      <c r="N431" t="s">
        <v>1378</v>
      </c>
      <c r="O431" t="s">
        <v>1379</v>
      </c>
      <c r="P431" t="s">
        <v>529</v>
      </c>
      <c r="Q431" t="s">
        <v>2574</v>
      </c>
      <c r="R431" t="s">
        <v>2289</v>
      </c>
      <c r="S431" t="s">
        <v>2290</v>
      </c>
      <c r="T431" t="s">
        <v>184</v>
      </c>
      <c r="U431" t="s">
        <v>112</v>
      </c>
      <c r="V431" t="s">
        <v>82</v>
      </c>
      <c r="W431" t="s">
        <v>2289</v>
      </c>
      <c r="X431" t="s">
        <v>2290</v>
      </c>
      <c r="Y431" t="s">
        <v>184</v>
      </c>
      <c r="Z431" t="s">
        <v>112</v>
      </c>
      <c r="AA431" t="s">
        <v>82</v>
      </c>
      <c r="AB431" t="s">
        <v>83</v>
      </c>
      <c r="AC431" t="s">
        <v>1013</v>
      </c>
      <c r="AD431" t="s">
        <v>149</v>
      </c>
      <c r="AE431" t="s">
        <v>5308</v>
      </c>
      <c r="AF431" t="s">
        <v>85</v>
      </c>
      <c r="AG431" t="s">
        <v>5309</v>
      </c>
      <c r="AH431">
        <v>7</v>
      </c>
      <c r="AI431">
        <v>894350</v>
      </c>
      <c r="AJ431">
        <v>99372</v>
      </c>
      <c r="AK431">
        <v>0</v>
      </c>
      <c r="AL431">
        <v>993722</v>
      </c>
      <c r="AM431" t="s">
        <v>2289</v>
      </c>
      <c r="AN431" t="s">
        <v>2290</v>
      </c>
      <c r="AO431" t="s">
        <v>184</v>
      </c>
      <c r="AP431" t="s">
        <v>112</v>
      </c>
      <c r="AQ431" t="s">
        <v>82</v>
      </c>
      <c r="AR431" t="s">
        <v>5310</v>
      </c>
      <c r="AS431" s="3">
        <v>46202.46522332255</v>
      </c>
      <c r="AT431" t="s">
        <v>89</v>
      </c>
      <c r="AU431" t="s">
        <v>90</v>
      </c>
      <c r="AV431" t="s">
        <v>2294</v>
      </c>
      <c r="AW431" t="s">
        <v>92</v>
      </c>
      <c r="AX431" t="s">
        <v>2295</v>
      </c>
      <c r="AY431" t="s">
        <v>94</v>
      </c>
      <c r="AZ431" t="s">
        <v>85</v>
      </c>
      <c r="BA431" t="s">
        <v>5311</v>
      </c>
      <c r="BB431" t="s">
        <v>5302</v>
      </c>
      <c r="BC431" t="s">
        <v>5304</v>
      </c>
      <c r="BD431" t="s">
        <v>2289</v>
      </c>
      <c r="BE431" t="s">
        <v>2290</v>
      </c>
      <c r="BF431" t="b">
        <f t="shared" si="6"/>
        <v>1</v>
      </c>
      <c r="BG431" t="b">
        <v>1</v>
      </c>
      <c r="BH431">
        <v>2022</v>
      </c>
      <c r="BI431" t="b">
        <v>1</v>
      </c>
      <c r="BJ431" t="s">
        <v>2297</v>
      </c>
      <c r="BK431" t="s">
        <v>2298</v>
      </c>
      <c r="BL431" t="b">
        <v>1</v>
      </c>
      <c r="BM431" t="b">
        <v>1</v>
      </c>
      <c r="BN431" t="b">
        <v>1</v>
      </c>
      <c r="BO431" t="s">
        <v>5312</v>
      </c>
      <c r="BP431" t="b">
        <f>IF(IFERROR(VLOOKUP(A431,[1]Planilha1!$A:$A,1,0),FALSE)=FALSE,FALSE,TRUE)</f>
        <v>1</v>
      </c>
    </row>
    <row r="432" spans="1:68" x14ac:dyDescent="0.25">
      <c r="A432" t="s">
        <v>5313</v>
      </c>
      <c r="B432" t="s">
        <v>68</v>
      </c>
      <c r="D432" s="1">
        <v>46204</v>
      </c>
      <c r="E432" s="1">
        <v>47664</v>
      </c>
      <c r="F432" t="s">
        <v>5314</v>
      </c>
      <c r="G432" t="s">
        <v>5315</v>
      </c>
      <c r="H432" s="2" t="s">
        <v>5316</v>
      </c>
      <c r="I432" t="s">
        <v>5315</v>
      </c>
      <c r="K432" t="s">
        <v>5317</v>
      </c>
      <c r="L432">
        <v>5116786</v>
      </c>
      <c r="M432" t="s">
        <v>5318</v>
      </c>
      <c r="N432" t="s">
        <v>161</v>
      </c>
      <c r="O432" t="s">
        <v>162</v>
      </c>
      <c r="P432" t="s">
        <v>76</v>
      </c>
      <c r="Q432" t="s">
        <v>924</v>
      </c>
      <c r="R432" t="s">
        <v>2535</v>
      </c>
      <c r="S432" t="s">
        <v>2536</v>
      </c>
      <c r="T432" t="s">
        <v>2537</v>
      </c>
      <c r="U432" t="s">
        <v>301</v>
      </c>
      <c r="V432" t="s">
        <v>82</v>
      </c>
      <c r="W432" t="s">
        <v>2535</v>
      </c>
      <c r="X432" t="s">
        <v>2536</v>
      </c>
      <c r="Y432" t="s">
        <v>2537</v>
      </c>
      <c r="Z432" t="s">
        <v>301</v>
      </c>
      <c r="AA432" t="s">
        <v>82</v>
      </c>
      <c r="AB432" t="s">
        <v>83</v>
      </c>
      <c r="AC432" t="s">
        <v>166</v>
      </c>
      <c r="AD432" t="s">
        <v>149</v>
      </c>
      <c r="AE432" t="s">
        <v>5319</v>
      </c>
      <c r="AF432" t="s">
        <v>85</v>
      </c>
      <c r="AG432" t="s">
        <v>5320</v>
      </c>
      <c r="AH432">
        <v>13</v>
      </c>
      <c r="AI432">
        <v>1321740</v>
      </c>
      <c r="AJ432">
        <v>150000</v>
      </c>
      <c r="AK432">
        <v>0</v>
      </c>
      <c r="AL432">
        <v>1471740</v>
      </c>
      <c r="AM432" t="s">
        <v>2535</v>
      </c>
      <c r="AN432" t="s">
        <v>2536</v>
      </c>
      <c r="AO432" t="s">
        <v>2537</v>
      </c>
      <c r="AP432" t="s">
        <v>301</v>
      </c>
      <c r="AQ432" t="s">
        <v>82</v>
      </c>
      <c r="AR432" t="s">
        <v>5321</v>
      </c>
      <c r="AS432" s="3">
        <v>46202.46522332255</v>
      </c>
      <c r="AT432" t="s">
        <v>89</v>
      </c>
      <c r="AU432" t="s">
        <v>90</v>
      </c>
      <c r="AV432" t="s">
        <v>2294</v>
      </c>
      <c r="AW432" t="s">
        <v>92</v>
      </c>
      <c r="AX432" t="s">
        <v>2295</v>
      </c>
      <c r="AY432" t="s">
        <v>94</v>
      </c>
      <c r="AZ432" t="s">
        <v>85</v>
      </c>
      <c r="BA432" t="s">
        <v>5322</v>
      </c>
      <c r="BB432" t="s">
        <v>5313</v>
      </c>
      <c r="BC432" t="s">
        <v>5315</v>
      </c>
      <c r="BD432" t="s">
        <v>2535</v>
      </c>
      <c r="BE432" t="s">
        <v>2536</v>
      </c>
      <c r="BF432" t="b">
        <f t="shared" si="6"/>
        <v>1</v>
      </c>
      <c r="BG432" t="b">
        <v>1</v>
      </c>
      <c r="BH432">
        <v>2019</v>
      </c>
      <c r="BI432" t="b">
        <v>1</v>
      </c>
      <c r="BJ432" t="s">
        <v>2297</v>
      </c>
      <c r="BK432" t="s">
        <v>2542</v>
      </c>
      <c r="BL432" t="b">
        <v>1</v>
      </c>
      <c r="BM432" t="b">
        <v>1</v>
      </c>
      <c r="BN432" t="b">
        <v>1</v>
      </c>
      <c r="BO432" t="s">
        <v>5323</v>
      </c>
      <c r="BP432" t="b">
        <f>IF(IFERROR(VLOOKUP(A432,[1]Planilha1!$A:$A,1,0),FALSE)=FALSE,FALSE,TRUE)</f>
        <v>1</v>
      </c>
    </row>
    <row r="433" spans="1:68" x14ac:dyDescent="0.25">
      <c r="A433" t="s">
        <v>5324</v>
      </c>
      <c r="B433" t="s">
        <v>68</v>
      </c>
      <c r="D433" s="1">
        <v>46204</v>
      </c>
      <c r="E433" s="1">
        <v>47664</v>
      </c>
      <c r="F433" t="s">
        <v>5325</v>
      </c>
      <c r="G433" t="s">
        <v>5326</v>
      </c>
      <c r="H433" s="2" t="s">
        <v>5327</v>
      </c>
      <c r="I433" t="s">
        <v>5326</v>
      </c>
      <c r="K433" t="s">
        <v>5328</v>
      </c>
      <c r="L433">
        <v>5116383</v>
      </c>
      <c r="M433" t="s">
        <v>5329</v>
      </c>
      <c r="N433" t="s">
        <v>214</v>
      </c>
      <c r="O433" t="s">
        <v>215</v>
      </c>
      <c r="P433" t="s">
        <v>76</v>
      </c>
      <c r="Q433" t="s">
        <v>5330</v>
      </c>
      <c r="R433" t="s">
        <v>2535</v>
      </c>
      <c r="S433" t="s">
        <v>2536</v>
      </c>
      <c r="T433" t="s">
        <v>2537</v>
      </c>
      <c r="U433" t="s">
        <v>301</v>
      </c>
      <c r="V433" t="s">
        <v>82</v>
      </c>
      <c r="W433" t="s">
        <v>2535</v>
      </c>
      <c r="X433" t="s">
        <v>2536</v>
      </c>
      <c r="Y433" t="s">
        <v>2537</v>
      </c>
      <c r="Z433" t="s">
        <v>301</v>
      </c>
      <c r="AA433" t="s">
        <v>82</v>
      </c>
      <c r="AB433" t="s">
        <v>83</v>
      </c>
      <c r="AC433" t="s">
        <v>84</v>
      </c>
      <c r="AD433" t="s">
        <v>252</v>
      </c>
      <c r="AE433" t="s">
        <v>5331</v>
      </c>
      <c r="AF433" t="s">
        <v>252</v>
      </c>
      <c r="AG433" t="s">
        <v>5332</v>
      </c>
      <c r="AH433">
        <v>19</v>
      </c>
      <c r="AI433">
        <v>1351080</v>
      </c>
      <c r="AJ433">
        <v>148884</v>
      </c>
      <c r="AK433">
        <v>0</v>
      </c>
      <c r="AL433">
        <v>1499964</v>
      </c>
      <c r="AM433" t="s">
        <v>2535</v>
      </c>
      <c r="AN433" t="s">
        <v>2536</v>
      </c>
      <c r="AO433" t="s">
        <v>2537</v>
      </c>
      <c r="AP433" t="s">
        <v>301</v>
      </c>
      <c r="AQ433" t="s">
        <v>82</v>
      </c>
      <c r="AR433" t="s">
        <v>5333</v>
      </c>
      <c r="AS433" s="3">
        <v>46202.46522332255</v>
      </c>
      <c r="AT433" t="s">
        <v>89</v>
      </c>
      <c r="AU433" t="s">
        <v>90</v>
      </c>
      <c r="AV433" t="s">
        <v>2294</v>
      </c>
      <c r="AW433" t="s">
        <v>92</v>
      </c>
      <c r="AX433" t="s">
        <v>2295</v>
      </c>
      <c r="AY433" t="s">
        <v>94</v>
      </c>
      <c r="AZ433" t="s">
        <v>85</v>
      </c>
      <c r="BA433" t="s">
        <v>5334</v>
      </c>
      <c r="BB433" t="s">
        <v>5324</v>
      </c>
      <c r="BC433" t="s">
        <v>5326</v>
      </c>
      <c r="BD433" t="s">
        <v>2535</v>
      </c>
      <c r="BE433" t="s">
        <v>2536</v>
      </c>
      <c r="BF433" t="b">
        <f t="shared" si="6"/>
        <v>1</v>
      </c>
      <c r="BG433" t="b">
        <v>1</v>
      </c>
      <c r="BH433">
        <v>2020</v>
      </c>
      <c r="BI433" t="b">
        <v>1</v>
      </c>
      <c r="BJ433" t="s">
        <v>2297</v>
      </c>
      <c r="BK433" t="s">
        <v>2542</v>
      </c>
      <c r="BL433" t="b">
        <v>1</v>
      </c>
      <c r="BM433" t="b">
        <v>1</v>
      </c>
      <c r="BN433" t="b">
        <v>1</v>
      </c>
      <c r="BO433" t="s">
        <v>5335</v>
      </c>
      <c r="BP433" t="b">
        <f>IF(IFERROR(VLOOKUP(A433,[1]Planilha1!$A:$A,1,0),FALSE)=FALSE,FALSE,TRUE)</f>
        <v>1</v>
      </c>
    </row>
    <row r="434" spans="1:68" x14ac:dyDescent="0.25">
      <c r="A434" t="s">
        <v>5336</v>
      </c>
      <c r="B434" t="s">
        <v>68</v>
      </c>
      <c r="D434" s="1">
        <v>46204</v>
      </c>
      <c r="E434" s="1">
        <v>47664</v>
      </c>
      <c r="F434" t="s">
        <v>5337</v>
      </c>
      <c r="G434" t="s">
        <v>5338</v>
      </c>
      <c r="H434" s="2" t="s">
        <v>5339</v>
      </c>
      <c r="I434" t="s">
        <v>5338</v>
      </c>
      <c r="K434" t="s">
        <v>5340</v>
      </c>
      <c r="L434">
        <v>5116863</v>
      </c>
      <c r="M434" t="s">
        <v>5341</v>
      </c>
      <c r="N434" t="s">
        <v>886</v>
      </c>
      <c r="O434" t="s">
        <v>887</v>
      </c>
      <c r="P434" t="s">
        <v>107</v>
      </c>
      <c r="Q434" t="s">
        <v>5342</v>
      </c>
      <c r="R434" t="s">
        <v>2453</v>
      </c>
      <c r="S434" t="s">
        <v>2454</v>
      </c>
      <c r="T434" t="s">
        <v>768</v>
      </c>
      <c r="U434" t="s">
        <v>769</v>
      </c>
      <c r="V434" t="s">
        <v>82</v>
      </c>
      <c r="W434" t="s">
        <v>2453</v>
      </c>
      <c r="X434" t="s">
        <v>2454</v>
      </c>
      <c r="Y434" t="s">
        <v>768</v>
      </c>
      <c r="Z434" t="s">
        <v>769</v>
      </c>
      <c r="AA434" t="s">
        <v>82</v>
      </c>
      <c r="AB434" t="s">
        <v>83</v>
      </c>
      <c r="AC434" t="s">
        <v>202</v>
      </c>
      <c r="AD434" t="s">
        <v>85</v>
      </c>
      <c r="AE434" t="s">
        <v>5343</v>
      </c>
      <c r="AF434" t="s">
        <v>85</v>
      </c>
      <c r="AG434" t="s">
        <v>5344</v>
      </c>
      <c r="AH434">
        <v>10</v>
      </c>
      <c r="AI434">
        <v>1147900</v>
      </c>
      <c r="AJ434">
        <v>127500</v>
      </c>
      <c r="AK434">
        <v>0</v>
      </c>
      <c r="AL434">
        <v>1275400</v>
      </c>
      <c r="AM434" t="s">
        <v>2453</v>
      </c>
      <c r="AN434" t="s">
        <v>2454</v>
      </c>
      <c r="AO434" t="s">
        <v>768</v>
      </c>
      <c r="AP434" t="s">
        <v>769</v>
      </c>
      <c r="AQ434" t="s">
        <v>82</v>
      </c>
      <c r="AR434" t="s">
        <v>5345</v>
      </c>
      <c r="AS434" s="3">
        <v>46202.46522332255</v>
      </c>
      <c r="AT434" t="s">
        <v>89</v>
      </c>
      <c r="AU434" t="s">
        <v>90</v>
      </c>
      <c r="AV434" t="s">
        <v>2294</v>
      </c>
      <c r="AW434" t="s">
        <v>92</v>
      </c>
      <c r="AX434" t="s">
        <v>2295</v>
      </c>
      <c r="AY434" t="s">
        <v>94</v>
      </c>
      <c r="AZ434" t="s">
        <v>85</v>
      </c>
      <c r="BA434" t="s">
        <v>5346</v>
      </c>
      <c r="BB434" t="s">
        <v>5336</v>
      </c>
      <c r="BC434" t="s">
        <v>5338</v>
      </c>
      <c r="BD434" t="s">
        <v>2453</v>
      </c>
      <c r="BE434" t="s">
        <v>2454</v>
      </c>
      <c r="BF434" t="b">
        <f t="shared" si="6"/>
        <v>1</v>
      </c>
      <c r="BG434" t="b">
        <v>1</v>
      </c>
      <c r="BH434">
        <v>2004</v>
      </c>
      <c r="BI434" t="b">
        <v>1</v>
      </c>
      <c r="BJ434" t="s">
        <v>2297</v>
      </c>
      <c r="BK434" t="s">
        <v>2459</v>
      </c>
      <c r="BL434" t="b">
        <v>1</v>
      </c>
      <c r="BM434" t="b">
        <v>1</v>
      </c>
      <c r="BN434" t="b">
        <v>1</v>
      </c>
      <c r="BO434" t="s">
        <v>2484</v>
      </c>
      <c r="BP434" t="b">
        <f>IF(IFERROR(VLOOKUP(A434,[1]Planilha1!$A:$A,1,0),FALSE)=FALSE,FALSE,TRUE)</f>
        <v>1</v>
      </c>
    </row>
    <row r="435" spans="1:68" x14ac:dyDescent="0.25">
      <c r="A435" t="s">
        <v>5347</v>
      </c>
      <c r="B435" t="s">
        <v>68</v>
      </c>
      <c r="D435" s="1">
        <v>46204</v>
      </c>
      <c r="E435" s="1">
        <v>47664</v>
      </c>
      <c r="F435" t="s">
        <v>5348</v>
      </c>
      <c r="G435" t="s">
        <v>5349</v>
      </c>
      <c r="H435" s="2" t="s">
        <v>5350</v>
      </c>
      <c r="I435" t="s">
        <v>5349</v>
      </c>
      <c r="K435" t="s">
        <v>5351</v>
      </c>
      <c r="L435">
        <v>5116668</v>
      </c>
      <c r="M435" t="s">
        <v>5352</v>
      </c>
      <c r="N435" t="s">
        <v>886</v>
      </c>
      <c r="O435" t="s">
        <v>887</v>
      </c>
      <c r="P435" t="s">
        <v>107</v>
      </c>
      <c r="Q435" t="s">
        <v>2031</v>
      </c>
      <c r="R435" t="s">
        <v>2453</v>
      </c>
      <c r="S435" t="s">
        <v>2454</v>
      </c>
      <c r="T435" t="s">
        <v>768</v>
      </c>
      <c r="U435" t="s">
        <v>769</v>
      </c>
      <c r="V435" t="s">
        <v>82</v>
      </c>
      <c r="W435" t="s">
        <v>2453</v>
      </c>
      <c r="X435" t="s">
        <v>2454</v>
      </c>
      <c r="Y435" t="s">
        <v>768</v>
      </c>
      <c r="Z435" t="s">
        <v>769</v>
      </c>
      <c r="AA435" t="s">
        <v>82</v>
      </c>
      <c r="AB435" t="s">
        <v>83</v>
      </c>
      <c r="AC435" t="s">
        <v>202</v>
      </c>
      <c r="AD435" t="s">
        <v>149</v>
      </c>
      <c r="AE435" t="s">
        <v>5353</v>
      </c>
      <c r="AF435" t="s">
        <v>85</v>
      </c>
      <c r="AG435" t="s">
        <v>5354</v>
      </c>
      <c r="AH435">
        <v>7</v>
      </c>
      <c r="AI435">
        <v>1267500</v>
      </c>
      <c r="AJ435">
        <v>126547.2</v>
      </c>
      <c r="AK435">
        <v>0</v>
      </c>
      <c r="AL435">
        <v>1394047.2</v>
      </c>
      <c r="AR435" t="s">
        <v>5355</v>
      </c>
      <c r="AS435" s="3">
        <v>46202.46522332255</v>
      </c>
      <c r="AT435" t="s">
        <v>89</v>
      </c>
      <c r="AU435" t="s">
        <v>90</v>
      </c>
      <c r="AV435" t="s">
        <v>2294</v>
      </c>
      <c r="AW435" t="s">
        <v>92</v>
      </c>
      <c r="AX435" t="s">
        <v>2295</v>
      </c>
      <c r="AY435" t="s">
        <v>94</v>
      </c>
      <c r="AZ435" t="s">
        <v>85</v>
      </c>
      <c r="BA435" t="s">
        <v>5356</v>
      </c>
      <c r="BB435" t="s">
        <v>5347</v>
      </c>
      <c r="BC435" t="s">
        <v>5349</v>
      </c>
      <c r="BD435" t="s">
        <v>2453</v>
      </c>
      <c r="BE435" t="s">
        <v>2454</v>
      </c>
      <c r="BF435" t="b">
        <f t="shared" si="6"/>
        <v>1</v>
      </c>
      <c r="BG435" t="b">
        <v>1</v>
      </c>
      <c r="BH435">
        <v>2016</v>
      </c>
      <c r="BI435" t="b">
        <v>1</v>
      </c>
      <c r="BJ435" t="s">
        <v>2297</v>
      </c>
      <c r="BK435" t="s">
        <v>2459</v>
      </c>
      <c r="BL435" t="b">
        <v>1</v>
      </c>
      <c r="BM435" t="b">
        <v>1</v>
      </c>
      <c r="BN435" t="b">
        <v>1</v>
      </c>
      <c r="BO435" t="s">
        <v>5357</v>
      </c>
      <c r="BP435" t="b">
        <f>IF(IFERROR(VLOOKUP(A435,[1]Planilha1!$A:$A,1,0),FALSE)=FALSE,FALSE,TRUE)</f>
        <v>1</v>
      </c>
    </row>
    <row r="436" spans="1:68" x14ac:dyDescent="0.25">
      <c r="A436" t="s">
        <v>5358</v>
      </c>
      <c r="B436" t="s">
        <v>68</v>
      </c>
      <c r="D436" s="1">
        <v>46204</v>
      </c>
      <c r="E436" s="1">
        <v>47664</v>
      </c>
      <c r="F436" t="s">
        <v>5359</v>
      </c>
      <c r="G436" t="s">
        <v>5360</v>
      </c>
      <c r="H436" s="2" t="s">
        <v>5361</v>
      </c>
      <c r="I436" t="s">
        <v>5360</v>
      </c>
      <c r="K436" t="s">
        <v>5362</v>
      </c>
      <c r="L436">
        <v>5116641</v>
      </c>
      <c r="M436" t="s">
        <v>5363</v>
      </c>
      <c r="N436" t="s">
        <v>359</v>
      </c>
      <c r="O436" t="s">
        <v>360</v>
      </c>
      <c r="P436" t="s">
        <v>129</v>
      </c>
      <c r="Q436" t="s">
        <v>3497</v>
      </c>
      <c r="R436" t="s">
        <v>2972</v>
      </c>
      <c r="S436" t="s">
        <v>2973</v>
      </c>
      <c r="T436" t="s">
        <v>300</v>
      </c>
      <c r="U436" t="s">
        <v>301</v>
      </c>
      <c r="V436" t="s">
        <v>82</v>
      </c>
      <c r="W436" t="s">
        <v>2972</v>
      </c>
      <c r="X436" t="s">
        <v>2973</v>
      </c>
      <c r="Y436" t="s">
        <v>300</v>
      </c>
      <c r="Z436" t="s">
        <v>301</v>
      </c>
      <c r="AA436" t="s">
        <v>82</v>
      </c>
      <c r="AB436" t="s">
        <v>83</v>
      </c>
      <c r="AC436" t="s">
        <v>185</v>
      </c>
      <c r="AD436" t="s">
        <v>252</v>
      </c>
      <c r="AE436" t="s">
        <v>5364</v>
      </c>
      <c r="AF436" t="s">
        <v>85</v>
      </c>
      <c r="AG436" t="s">
        <v>5365</v>
      </c>
      <c r="AH436">
        <v>17</v>
      </c>
      <c r="AI436">
        <v>1210040</v>
      </c>
      <c r="AJ436">
        <v>123100</v>
      </c>
      <c r="AK436">
        <v>0</v>
      </c>
      <c r="AL436">
        <v>1333140</v>
      </c>
      <c r="AM436" t="s">
        <v>2972</v>
      </c>
      <c r="AN436" t="s">
        <v>2973</v>
      </c>
      <c r="AO436" t="s">
        <v>300</v>
      </c>
      <c r="AP436" t="s">
        <v>301</v>
      </c>
      <c r="AQ436" t="s">
        <v>82</v>
      </c>
      <c r="AR436" t="s">
        <v>5366</v>
      </c>
      <c r="AS436" s="3">
        <v>46202.465223658182</v>
      </c>
      <c r="AT436" t="s">
        <v>89</v>
      </c>
      <c r="AU436" t="s">
        <v>90</v>
      </c>
      <c r="AV436" t="s">
        <v>2712</v>
      </c>
      <c r="AW436" t="s">
        <v>92</v>
      </c>
      <c r="AX436" t="s">
        <v>2713</v>
      </c>
      <c r="AY436" t="s">
        <v>94</v>
      </c>
      <c r="AZ436" t="s">
        <v>85</v>
      </c>
      <c r="BA436" t="s">
        <v>5367</v>
      </c>
      <c r="BB436" t="s">
        <v>5358</v>
      </c>
      <c r="BC436" t="s">
        <v>5360</v>
      </c>
      <c r="BD436" t="s">
        <v>2972</v>
      </c>
      <c r="BE436" t="s">
        <v>2973</v>
      </c>
      <c r="BF436" t="b">
        <f t="shared" si="6"/>
        <v>1</v>
      </c>
      <c r="BG436" t="b">
        <v>1</v>
      </c>
      <c r="BH436">
        <v>2009</v>
      </c>
      <c r="BI436" t="b">
        <v>1</v>
      </c>
      <c r="BJ436" t="s">
        <v>2715</v>
      </c>
      <c r="BK436" t="s">
        <v>2978</v>
      </c>
      <c r="BL436" t="b">
        <v>1</v>
      </c>
      <c r="BM436" t="b">
        <v>1</v>
      </c>
      <c r="BN436" t="b">
        <v>1</v>
      </c>
      <c r="BO436" t="s">
        <v>5368</v>
      </c>
      <c r="BP436" t="b">
        <f>IF(IFERROR(VLOOKUP(A436,[1]Planilha1!$A:$A,1,0),FALSE)=FALSE,FALSE,TRUE)</f>
        <v>1</v>
      </c>
    </row>
    <row r="437" spans="1:68" x14ac:dyDescent="0.25">
      <c r="A437" t="s">
        <v>5369</v>
      </c>
      <c r="B437" t="s">
        <v>68</v>
      </c>
      <c r="D437" s="1">
        <v>46204</v>
      </c>
      <c r="E437" s="1">
        <v>47664</v>
      </c>
      <c r="F437" t="s">
        <v>5370</v>
      </c>
      <c r="G437" t="s">
        <v>5371</v>
      </c>
      <c r="H437" s="2" t="s">
        <v>5372</v>
      </c>
      <c r="I437" t="s">
        <v>5371</v>
      </c>
      <c r="K437" t="s">
        <v>5373</v>
      </c>
      <c r="L437">
        <v>5115825</v>
      </c>
      <c r="M437" t="s">
        <v>5374</v>
      </c>
      <c r="N437" t="s">
        <v>127</v>
      </c>
      <c r="O437" t="s">
        <v>128</v>
      </c>
      <c r="P437" t="s">
        <v>129</v>
      </c>
      <c r="Q437" t="s">
        <v>130</v>
      </c>
      <c r="R437" t="s">
        <v>2773</v>
      </c>
      <c r="S437" t="s">
        <v>2774</v>
      </c>
      <c r="T437" t="s">
        <v>184</v>
      </c>
      <c r="U437" t="s">
        <v>112</v>
      </c>
      <c r="V437" t="s">
        <v>82</v>
      </c>
      <c r="W437" t="s">
        <v>2773</v>
      </c>
      <c r="X437" t="s">
        <v>2774</v>
      </c>
      <c r="Y437" t="s">
        <v>184</v>
      </c>
      <c r="Z437" t="s">
        <v>112</v>
      </c>
      <c r="AA437" t="s">
        <v>82</v>
      </c>
      <c r="AB437" t="s">
        <v>83</v>
      </c>
      <c r="AC437" t="s">
        <v>135</v>
      </c>
      <c r="AD437" t="s">
        <v>1798</v>
      </c>
      <c r="AE437" t="s">
        <v>5375</v>
      </c>
      <c r="AF437" t="s">
        <v>1798</v>
      </c>
      <c r="AG437" t="s">
        <v>5376</v>
      </c>
      <c r="AH437">
        <v>11</v>
      </c>
      <c r="AI437">
        <v>1314430</v>
      </c>
      <c r="AJ437">
        <v>170875.9</v>
      </c>
      <c r="AK437">
        <v>0</v>
      </c>
      <c r="AL437">
        <v>1485305.9</v>
      </c>
      <c r="AM437" t="s">
        <v>2773</v>
      </c>
      <c r="AN437" t="s">
        <v>2774</v>
      </c>
      <c r="AO437" t="s">
        <v>184</v>
      </c>
      <c r="AP437" t="s">
        <v>112</v>
      </c>
      <c r="AQ437" t="s">
        <v>82</v>
      </c>
      <c r="AR437" t="s">
        <v>5377</v>
      </c>
      <c r="AS437" s="3">
        <v>46202.465223658182</v>
      </c>
      <c r="AT437" t="s">
        <v>89</v>
      </c>
      <c r="AU437" t="s">
        <v>90</v>
      </c>
      <c r="AV437" t="s">
        <v>2712</v>
      </c>
      <c r="AW437" t="s">
        <v>92</v>
      </c>
      <c r="AX437" t="s">
        <v>2713</v>
      </c>
      <c r="AY437" t="s">
        <v>94</v>
      </c>
      <c r="AZ437" t="s">
        <v>85</v>
      </c>
      <c r="BA437" t="s">
        <v>5378</v>
      </c>
      <c r="BB437" t="s">
        <v>5369</v>
      </c>
      <c r="BC437" t="s">
        <v>5371</v>
      </c>
      <c r="BD437" t="s">
        <v>2773</v>
      </c>
      <c r="BE437" t="s">
        <v>2774</v>
      </c>
      <c r="BF437" t="b">
        <f t="shared" si="6"/>
        <v>1</v>
      </c>
      <c r="BG437" t="b">
        <v>1</v>
      </c>
      <c r="BH437">
        <v>1999</v>
      </c>
      <c r="BI437" t="b">
        <v>1</v>
      </c>
      <c r="BJ437" t="s">
        <v>2715</v>
      </c>
      <c r="BK437" t="s">
        <v>2779</v>
      </c>
      <c r="BL437" t="b">
        <v>1</v>
      </c>
      <c r="BM437" t="b">
        <v>1</v>
      </c>
      <c r="BN437" t="b">
        <v>1</v>
      </c>
      <c r="BO437" t="s">
        <v>5379</v>
      </c>
      <c r="BP437" t="b">
        <f>IF(IFERROR(VLOOKUP(A437,[1]Planilha1!$A:$A,1,0),FALSE)=FALSE,FALSE,TRUE)</f>
        <v>1</v>
      </c>
    </row>
    <row r="438" spans="1:68" x14ac:dyDescent="0.25">
      <c r="A438" t="s">
        <v>5380</v>
      </c>
      <c r="B438" t="s">
        <v>68</v>
      </c>
      <c r="D438" s="1">
        <v>46204</v>
      </c>
      <c r="E438" s="1">
        <v>47664</v>
      </c>
      <c r="F438" t="s">
        <v>5381</v>
      </c>
      <c r="G438" t="s">
        <v>5382</v>
      </c>
      <c r="H438" s="2" t="s">
        <v>5383</v>
      </c>
      <c r="I438" t="s">
        <v>5382</v>
      </c>
      <c r="K438" t="s">
        <v>5384</v>
      </c>
      <c r="L438">
        <v>5116896</v>
      </c>
      <c r="M438" t="s">
        <v>5385</v>
      </c>
      <c r="N438" t="s">
        <v>161</v>
      </c>
      <c r="O438" t="s">
        <v>162</v>
      </c>
      <c r="P438" t="s">
        <v>76</v>
      </c>
      <c r="Q438" t="s">
        <v>924</v>
      </c>
      <c r="R438" t="s">
        <v>362</v>
      </c>
      <c r="S438" t="s">
        <v>363</v>
      </c>
      <c r="T438" t="s">
        <v>364</v>
      </c>
      <c r="U438" t="s">
        <v>81</v>
      </c>
      <c r="V438" t="s">
        <v>82</v>
      </c>
      <c r="W438" t="s">
        <v>362</v>
      </c>
      <c r="X438" t="s">
        <v>363</v>
      </c>
      <c r="Y438" t="s">
        <v>364</v>
      </c>
      <c r="Z438" t="s">
        <v>81</v>
      </c>
      <c r="AA438" t="s">
        <v>82</v>
      </c>
      <c r="AB438" t="s">
        <v>83</v>
      </c>
      <c r="AC438" t="s">
        <v>166</v>
      </c>
      <c r="AD438" t="s">
        <v>85</v>
      </c>
      <c r="AE438" t="s">
        <v>5386</v>
      </c>
      <c r="AF438" t="s">
        <v>85</v>
      </c>
      <c r="AG438" t="s">
        <v>5387</v>
      </c>
      <c r="AH438">
        <v>5</v>
      </c>
      <c r="AI438">
        <v>1035840</v>
      </c>
      <c r="AJ438">
        <v>130600</v>
      </c>
      <c r="AK438">
        <v>0</v>
      </c>
      <c r="AL438">
        <v>1166440</v>
      </c>
      <c r="AM438" t="s">
        <v>362</v>
      </c>
      <c r="AN438" t="s">
        <v>363</v>
      </c>
      <c r="AO438" t="s">
        <v>364</v>
      </c>
      <c r="AP438" t="s">
        <v>81</v>
      </c>
      <c r="AQ438" t="s">
        <v>82</v>
      </c>
      <c r="AR438" t="s">
        <v>5388</v>
      </c>
      <c r="AS438" s="3">
        <v>46202.465223999308</v>
      </c>
      <c r="AT438" t="s">
        <v>89</v>
      </c>
      <c r="AU438" t="s">
        <v>90</v>
      </c>
      <c r="AV438" t="s">
        <v>91</v>
      </c>
      <c r="AW438" t="s">
        <v>92</v>
      </c>
      <c r="AX438" t="s">
        <v>93</v>
      </c>
      <c r="AY438" t="s">
        <v>94</v>
      </c>
      <c r="AZ438" t="s">
        <v>85</v>
      </c>
      <c r="BA438" t="s">
        <v>5389</v>
      </c>
      <c r="BB438" t="s">
        <v>5380</v>
      </c>
      <c r="BC438" t="s">
        <v>5382</v>
      </c>
      <c r="BD438" t="s">
        <v>362</v>
      </c>
      <c r="BE438" t="s">
        <v>363</v>
      </c>
      <c r="BF438" t="b">
        <f t="shared" si="6"/>
        <v>1</v>
      </c>
      <c r="BG438" t="b">
        <v>1</v>
      </c>
      <c r="BH438">
        <v>1986</v>
      </c>
      <c r="BI438" t="b">
        <v>1</v>
      </c>
      <c r="BJ438" t="s">
        <v>96</v>
      </c>
      <c r="BK438" t="s">
        <v>369</v>
      </c>
      <c r="BL438" t="b">
        <v>1</v>
      </c>
      <c r="BM438" t="b">
        <v>1</v>
      </c>
      <c r="BN438" t="b">
        <v>1</v>
      </c>
      <c r="BO438" t="s">
        <v>5390</v>
      </c>
      <c r="BP438" t="b">
        <f>IF(IFERROR(VLOOKUP(A438,[1]Planilha1!$A:$A,1,0),FALSE)=FALSE,FALSE,TRUE)</f>
        <v>1</v>
      </c>
    </row>
    <row r="439" spans="1:68" x14ac:dyDescent="0.25">
      <c r="A439" s="4" t="s">
        <v>5391</v>
      </c>
      <c r="B439" t="s">
        <v>68</v>
      </c>
      <c r="D439" s="1">
        <v>46204</v>
      </c>
      <c r="E439" s="1">
        <v>47664</v>
      </c>
      <c r="F439" t="s">
        <v>5392</v>
      </c>
      <c r="G439" s="4" t="s">
        <v>5393</v>
      </c>
      <c r="H439" s="2" t="s">
        <v>5394</v>
      </c>
      <c r="I439" t="s">
        <v>5393</v>
      </c>
      <c r="K439" t="s">
        <v>5395</v>
      </c>
      <c r="L439">
        <v>5116764</v>
      </c>
      <c r="M439" t="s">
        <v>5396</v>
      </c>
      <c r="N439" t="s">
        <v>199</v>
      </c>
      <c r="O439" t="s">
        <v>200</v>
      </c>
      <c r="P439" t="s">
        <v>107</v>
      </c>
      <c r="Q439" t="s">
        <v>280</v>
      </c>
      <c r="R439" t="s">
        <v>182</v>
      </c>
      <c r="S439" t="s">
        <v>183</v>
      </c>
      <c r="T439" t="s">
        <v>184</v>
      </c>
      <c r="U439" t="s">
        <v>112</v>
      </c>
      <c r="V439" t="s">
        <v>82</v>
      </c>
      <c r="W439" t="s">
        <v>182</v>
      </c>
      <c r="X439" t="s">
        <v>183</v>
      </c>
      <c r="Y439" t="s">
        <v>184</v>
      </c>
      <c r="Z439" t="s">
        <v>112</v>
      </c>
      <c r="AA439" t="s">
        <v>82</v>
      </c>
      <c r="AB439" t="s">
        <v>83</v>
      </c>
      <c r="AC439" t="s">
        <v>202</v>
      </c>
      <c r="AD439" t="s">
        <v>149</v>
      </c>
      <c r="AE439" t="s">
        <v>5397</v>
      </c>
      <c r="AF439" t="s">
        <v>85</v>
      </c>
      <c r="AG439" t="s">
        <v>5398</v>
      </c>
      <c r="AH439">
        <v>9</v>
      </c>
      <c r="AI439">
        <v>1044780</v>
      </c>
      <c r="AJ439">
        <v>149800</v>
      </c>
      <c r="AK439">
        <v>0</v>
      </c>
      <c r="AL439">
        <v>1194580</v>
      </c>
      <c r="AM439" t="s">
        <v>182</v>
      </c>
      <c r="AN439" t="s">
        <v>183</v>
      </c>
      <c r="AO439" t="s">
        <v>184</v>
      </c>
      <c r="AP439" t="s">
        <v>112</v>
      </c>
      <c r="AQ439" t="s">
        <v>82</v>
      </c>
      <c r="AR439" t="s">
        <v>5399</v>
      </c>
      <c r="AS439" s="3">
        <v>46202.465223999308</v>
      </c>
      <c r="AT439" t="s">
        <v>89</v>
      </c>
      <c r="AU439" t="s">
        <v>90</v>
      </c>
      <c r="AV439" t="s">
        <v>91</v>
      </c>
      <c r="AW439" t="s">
        <v>92</v>
      </c>
      <c r="AX439" t="s">
        <v>93</v>
      </c>
      <c r="AY439" t="s">
        <v>94</v>
      </c>
      <c r="AZ439" t="s">
        <v>85</v>
      </c>
      <c r="BA439" t="s">
        <v>5400</v>
      </c>
      <c r="BB439" s="4" t="s">
        <v>5391</v>
      </c>
      <c r="BC439" s="4" t="s">
        <v>5393</v>
      </c>
      <c r="BD439" s="4" t="s">
        <v>182</v>
      </c>
      <c r="BE439" s="4" t="s">
        <v>183</v>
      </c>
      <c r="BF439" s="4" t="b">
        <f>TRUE</f>
        <v>1</v>
      </c>
      <c r="BG439" t="b">
        <v>1</v>
      </c>
      <c r="BH439">
        <v>2004</v>
      </c>
      <c r="BI439" t="b">
        <v>1</v>
      </c>
      <c r="BJ439" t="s">
        <v>96</v>
      </c>
      <c r="BK439" t="s">
        <v>191</v>
      </c>
      <c r="BL439" t="b">
        <v>1</v>
      </c>
      <c r="BM439" s="4" t="b">
        <f>TRUE</f>
        <v>1</v>
      </c>
      <c r="BN439" t="b">
        <f>TRUE</f>
        <v>1</v>
      </c>
      <c r="BO439" t="s">
        <v>5401</v>
      </c>
      <c r="BP439" t="b">
        <f>IF(IFERROR(VLOOKUP(A439,[1]Planilha1!$A:$A,1,0),FALSE)=FALSE,FALSE,TRUE)</f>
        <v>1</v>
      </c>
    </row>
    <row r="440" spans="1:68" x14ac:dyDescent="0.25">
      <c r="A440" t="s">
        <v>5402</v>
      </c>
      <c r="B440" t="s">
        <v>68</v>
      </c>
      <c r="D440" s="1">
        <v>46204</v>
      </c>
      <c r="E440" s="1">
        <v>47664</v>
      </c>
      <c r="F440" t="s">
        <v>5403</v>
      </c>
      <c r="G440" t="s">
        <v>5404</v>
      </c>
      <c r="H440" s="2" t="s">
        <v>5405</v>
      </c>
      <c r="I440" t="s">
        <v>5404</v>
      </c>
      <c r="K440" t="s">
        <v>5406</v>
      </c>
      <c r="L440">
        <v>5116817</v>
      </c>
      <c r="M440" t="s">
        <v>5407</v>
      </c>
      <c r="N440" t="s">
        <v>619</v>
      </c>
      <c r="O440" t="s">
        <v>200</v>
      </c>
      <c r="P440" t="s">
        <v>107</v>
      </c>
      <c r="Q440" t="s">
        <v>5408</v>
      </c>
      <c r="R440" t="s">
        <v>5409</v>
      </c>
      <c r="S440" t="s">
        <v>5410</v>
      </c>
      <c r="T440" t="s">
        <v>1552</v>
      </c>
      <c r="U440" t="s">
        <v>134</v>
      </c>
      <c r="V440" t="s">
        <v>82</v>
      </c>
      <c r="W440" t="s">
        <v>5409</v>
      </c>
      <c r="X440" t="s">
        <v>5410</v>
      </c>
      <c r="Y440" t="s">
        <v>1552</v>
      </c>
      <c r="Z440" t="s">
        <v>134</v>
      </c>
      <c r="AA440" t="s">
        <v>82</v>
      </c>
      <c r="AB440" t="s">
        <v>83</v>
      </c>
      <c r="AC440" t="s">
        <v>202</v>
      </c>
      <c r="AD440" t="s">
        <v>85</v>
      </c>
      <c r="AE440" t="s">
        <v>5411</v>
      </c>
      <c r="AF440" t="s">
        <v>85</v>
      </c>
      <c r="AG440" t="s">
        <v>5412</v>
      </c>
      <c r="AH440">
        <v>9</v>
      </c>
      <c r="AI440">
        <v>1349960</v>
      </c>
      <c r="AJ440">
        <v>150000</v>
      </c>
      <c r="AK440">
        <v>0</v>
      </c>
      <c r="AL440">
        <v>1499960</v>
      </c>
      <c r="AR440" t="s">
        <v>5413</v>
      </c>
      <c r="AS440" s="3">
        <v>46202.465223999308</v>
      </c>
      <c r="AT440" t="s">
        <v>89</v>
      </c>
      <c r="AU440" t="s">
        <v>90</v>
      </c>
      <c r="AV440" t="s">
        <v>91</v>
      </c>
      <c r="AW440" t="s">
        <v>92</v>
      </c>
      <c r="AX440" t="s">
        <v>93</v>
      </c>
      <c r="AY440" t="s">
        <v>94</v>
      </c>
      <c r="AZ440" t="s">
        <v>85</v>
      </c>
      <c r="BA440" t="s">
        <v>5414</v>
      </c>
      <c r="BB440" t="s">
        <v>5402</v>
      </c>
      <c r="BC440" t="s">
        <v>5404</v>
      </c>
      <c r="BD440" t="s">
        <v>5409</v>
      </c>
      <c r="BE440" t="s">
        <v>5410</v>
      </c>
      <c r="BF440" t="b">
        <f t="shared" si="6"/>
        <v>0</v>
      </c>
      <c r="BG440" t="b">
        <v>0</v>
      </c>
      <c r="BH440">
        <v>2004</v>
      </c>
      <c r="BI440" t="b">
        <v>0</v>
      </c>
      <c r="BJ440" t="s">
        <v>96</v>
      </c>
      <c r="BK440" t="s">
        <v>119</v>
      </c>
      <c r="BL440" t="b">
        <v>1</v>
      </c>
      <c r="BM440" t="b">
        <v>1</v>
      </c>
      <c r="BN440" t="b">
        <v>0</v>
      </c>
      <c r="BO440" t="s">
        <v>5415</v>
      </c>
      <c r="BP440" t="b">
        <f>IF(IFERROR(VLOOKUP(A440,[1]Planilha1!$A:$A,1,0),FALSE)=FALSE,FALSE,TRUE)</f>
        <v>0</v>
      </c>
    </row>
    <row r="441" spans="1:68" x14ac:dyDescent="0.25">
      <c r="A441" t="s">
        <v>5416</v>
      </c>
      <c r="B441" t="s">
        <v>68</v>
      </c>
      <c r="D441" s="1">
        <v>46204</v>
      </c>
      <c r="E441" s="1">
        <v>47664</v>
      </c>
      <c r="F441" t="s">
        <v>5417</v>
      </c>
      <c r="G441" t="s">
        <v>5418</v>
      </c>
      <c r="H441" s="2" t="s">
        <v>5419</v>
      </c>
      <c r="I441" t="s">
        <v>5418</v>
      </c>
      <c r="K441" t="s">
        <v>5420</v>
      </c>
      <c r="L441">
        <v>5116602</v>
      </c>
      <c r="M441" t="s">
        <v>5421</v>
      </c>
      <c r="N441" t="s">
        <v>507</v>
      </c>
      <c r="O441" t="s">
        <v>162</v>
      </c>
      <c r="P441" t="s">
        <v>76</v>
      </c>
      <c r="Q441" t="s">
        <v>2323</v>
      </c>
      <c r="R441" t="s">
        <v>5422</v>
      </c>
      <c r="S441" t="s">
        <v>5423</v>
      </c>
      <c r="T441" t="s">
        <v>1552</v>
      </c>
      <c r="U441" t="s">
        <v>134</v>
      </c>
      <c r="V441" t="s">
        <v>82</v>
      </c>
      <c r="W441" t="s">
        <v>5422</v>
      </c>
      <c r="X441" t="s">
        <v>5423</v>
      </c>
      <c r="Y441" t="s">
        <v>1552</v>
      </c>
      <c r="Z441" t="s">
        <v>134</v>
      </c>
      <c r="AA441" t="s">
        <v>82</v>
      </c>
      <c r="AB441" t="s">
        <v>83</v>
      </c>
      <c r="AC441" t="s">
        <v>166</v>
      </c>
      <c r="AD441" t="s">
        <v>252</v>
      </c>
      <c r="AE441" t="s">
        <v>5424</v>
      </c>
      <c r="AF441" t="s">
        <v>85</v>
      </c>
      <c r="AG441" t="s">
        <v>5425</v>
      </c>
      <c r="AH441">
        <v>5</v>
      </c>
      <c r="AI441">
        <v>879580</v>
      </c>
      <c r="AJ441">
        <v>96848</v>
      </c>
      <c r="AK441">
        <v>0</v>
      </c>
      <c r="AL441">
        <v>976428</v>
      </c>
      <c r="AR441" t="s">
        <v>5426</v>
      </c>
      <c r="AS441" s="3">
        <v>46202.465223999308</v>
      </c>
      <c r="AT441" t="s">
        <v>89</v>
      </c>
      <c r="AU441" t="s">
        <v>90</v>
      </c>
      <c r="AV441" t="s">
        <v>91</v>
      </c>
      <c r="AW441" t="s">
        <v>92</v>
      </c>
      <c r="AX441" t="s">
        <v>93</v>
      </c>
      <c r="AY441" t="s">
        <v>94</v>
      </c>
      <c r="AZ441" t="s">
        <v>85</v>
      </c>
      <c r="BA441" t="s">
        <v>5427</v>
      </c>
      <c r="BB441" t="s">
        <v>5416</v>
      </c>
      <c r="BC441" t="s">
        <v>5418</v>
      </c>
      <c r="BD441" t="s">
        <v>5422</v>
      </c>
      <c r="BE441" t="s">
        <v>5423</v>
      </c>
      <c r="BF441" t="b">
        <f t="shared" si="6"/>
        <v>0</v>
      </c>
      <c r="BG441" t="b">
        <v>0</v>
      </c>
      <c r="BH441">
        <v>2008</v>
      </c>
      <c r="BI441" t="b">
        <v>0</v>
      </c>
      <c r="BJ441" t="s">
        <v>96</v>
      </c>
      <c r="BK441" t="s">
        <v>119</v>
      </c>
      <c r="BL441" t="b">
        <v>1</v>
      </c>
      <c r="BM441" t="b">
        <v>1</v>
      </c>
      <c r="BN441" t="b">
        <v>0</v>
      </c>
      <c r="BO441" t="s">
        <v>5428</v>
      </c>
      <c r="BP441" t="b">
        <f>IF(IFERROR(VLOOKUP(A441,[1]Planilha1!$A:$A,1,0),FALSE)=FALSE,FALSE,TRUE)</f>
        <v>0</v>
      </c>
    </row>
    <row r="442" spans="1:68" x14ac:dyDescent="0.25">
      <c r="A442" t="s">
        <v>5429</v>
      </c>
      <c r="B442" t="s">
        <v>68</v>
      </c>
      <c r="D442" s="1">
        <v>46204</v>
      </c>
      <c r="E442" s="1">
        <v>47664</v>
      </c>
      <c r="F442" t="s">
        <v>5430</v>
      </c>
      <c r="G442" t="s">
        <v>5431</v>
      </c>
      <c r="H442" s="2" t="s">
        <v>5432</v>
      </c>
      <c r="I442" t="s">
        <v>5431</v>
      </c>
      <c r="K442" t="s">
        <v>5433</v>
      </c>
      <c r="L442">
        <v>5116740</v>
      </c>
      <c r="M442" t="s">
        <v>5434</v>
      </c>
      <c r="N442" t="s">
        <v>179</v>
      </c>
      <c r="O442" t="s">
        <v>180</v>
      </c>
      <c r="P442" t="s">
        <v>129</v>
      </c>
      <c r="Q442" t="s">
        <v>1174</v>
      </c>
      <c r="R442" t="s">
        <v>2225</v>
      </c>
      <c r="S442" t="s">
        <v>2226</v>
      </c>
      <c r="T442" t="s">
        <v>111</v>
      </c>
      <c r="U442" t="s">
        <v>112</v>
      </c>
      <c r="V442" t="s">
        <v>82</v>
      </c>
      <c r="W442" t="s">
        <v>2225</v>
      </c>
      <c r="X442" t="s">
        <v>2226</v>
      </c>
      <c r="Y442" t="s">
        <v>111</v>
      </c>
      <c r="Z442" t="s">
        <v>112</v>
      </c>
      <c r="AA442" t="s">
        <v>82</v>
      </c>
      <c r="AB442" t="s">
        <v>83</v>
      </c>
      <c r="AC442" t="s">
        <v>185</v>
      </c>
      <c r="AD442" t="s">
        <v>149</v>
      </c>
      <c r="AE442" t="s">
        <v>5435</v>
      </c>
      <c r="AF442" t="s">
        <v>85</v>
      </c>
      <c r="AG442" t="s">
        <v>5436</v>
      </c>
      <c r="AH442">
        <v>6</v>
      </c>
      <c r="AI442">
        <v>1121120</v>
      </c>
      <c r="AJ442">
        <v>36577</v>
      </c>
      <c r="AK442">
        <v>0</v>
      </c>
      <c r="AL442">
        <v>1157697</v>
      </c>
      <c r="AM442" t="s">
        <v>2225</v>
      </c>
      <c r="AN442" t="s">
        <v>2226</v>
      </c>
      <c r="AO442" t="s">
        <v>111</v>
      </c>
      <c r="AP442" t="s">
        <v>112</v>
      </c>
      <c r="AQ442" t="s">
        <v>82</v>
      </c>
      <c r="AR442" t="s">
        <v>5437</v>
      </c>
      <c r="AS442" s="3">
        <v>46202.465224200983</v>
      </c>
      <c r="AT442" t="s">
        <v>89</v>
      </c>
      <c r="AU442" t="s">
        <v>90</v>
      </c>
      <c r="AV442" t="s">
        <v>2116</v>
      </c>
      <c r="AW442" t="s">
        <v>92</v>
      </c>
      <c r="AX442" t="s">
        <v>2117</v>
      </c>
      <c r="AY442" t="s">
        <v>94</v>
      </c>
      <c r="AZ442" t="s">
        <v>85</v>
      </c>
      <c r="BA442" t="s">
        <v>5438</v>
      </c>
      <c r="BB442" t="s">
        <v>5429</v>
      </c>
      <c r="BC442" t="s">
        <v>5431</v>
      </c>
      <c r="BD442" t="s">
        <v>2225</v>
      </c>
      <c r="BE442" t="s">
        <v>2226</v>
      </c>
      <c r="BF442" t="b">
        <f t="shared" si="6"/>
        <v>1</v>
      </c>
      <c r="BG442" t="b">
        <v>1</v>
      </c>
      <c r="BH442">
        <v>1978</v>
      </c>
      <c r="BI442" t="b">
        <f>TRUE</f>
        <v>1</v>
      </c>
      <c r="BJ442" t="s">
        <v>2119</v>
      </c>
      <c r="BK442" t="s">
        <v>2120</v>
      </c>
      <c r="BL442" t="b">
        <v>1</v>
      </c>
      <c r="BM442" t="b">
        <v>1</v>
      </c>
      <c r="BN442" t="b">
        <v>1</v>
      </c>
      <c r="BO442" t="s">
        <v>5439</v>
      </c>
      <c r="BP442" t="b">
        <f>IF(IFERROR(VLOOKUP(A442,[1]Planilha1!$A:$A,1,0),FALSE)=FALSE,FALSE,TRUE)</f>
        <v>1</v>
      </c>
    </row>
    <row r="443" spans="1:68" x14ac:dyDescent="0.25">
      <c r="A443" t="s">
        <v>5440</v>
      </c>
      <c r="B443" t="s">
        <v>68</v>
      </c>
      <c r="D443" s="1">
        <v>46204</v>
      </c>
      <c r="E443" s="1">
        <v>47664</v>
      </c>
      <c r="F443" t="s">
        <v>5441</v>
      </c>
      <c r="G443" t="s">
        <v>5442</v>
      </c>
      <c r="H443" s="2" t="s">
        <v>5443</v>
      </c>
      <c r="I443" t="s">
        <v>5442</v>
      </c>
      <c r="K443" t="s">
        <v>5444</v>
      </c>
      <c r="L443">
        <v>5116777</v>
      </c>
      <c r="M443" t="s">
        <v>5445</v>
      </c>
      <c r="N443" t="s">
        <v>1130</v>
      </c>
      <c r="O443" t="s">
        <v>1131</v>
      </c>
      <c r="P443" t="s">
        <v>529</v>
      </c>
      <c r="Q443" t="s">
        <v>5446</v>
      </c>
      <c r="R443" t="s">
        <v>2043</v>
      </c>
      <c r="S443" t="s">
        <v>2044</v>
      </c>
      <c r="T443" t="s">
        <v>768</v>
      </c>
      <c r="U443" t="s">
        <v>769</v>
      </c>
      <c r="V443" t="s">
        <v>82</v>
      </c>
      <c r="W443" t="s">
        <v>2043</v>
      </c>
      <c r="X443" t="s">
        <v>2044</v>
      </c>
      <c r="Y443" t="s">
        <v>768</v>
      </c>
      <c r="Z443" t="s">
        <v>769</v>
      </c>
      <c r="AA443" t="s">
        <v>82</v>
      </c>
      <c r="AB443" t="s">
        <v>83</v>
      </c>
      <c r="AC443" t="s">
        <v>1135</v>
      </c>
      <c r="AD443" t="s">
        <v>85</v>
      </c>
      <c r="AE443" t="s">
        <v>5447</v>
      </c>
      <c r="AF443" t="s">
        <v>85</v>
      </c>
      <c r="AG443" t="s">
        <v>5448</v>
      </c>
      <c r="AH443">
        <v>3</v>
      </c>
      <c r="AI443">
        <v>158200</v>
      </c>
      <c r="AJ443">
        <v>20700</v>
      </c>
      <c r="AK443">
        <v>0</v>
      </c>
      <c r="AL443">
        <v>178900</v>
      </c>
      <c r="AR443" t="s">
        <v>5449</v>
      </c>
      <c r="AS443" s="3">
        <v>46202.465224200983</v>
      </c>
      <c r="AT443" t="s">
        <v>89</v>
      </c>
      <c r="AU443" t="s">
        <v>90</v>
      </c>
      <c r="AV443" t="s">
        <v>2116</v>
      </c>
      <c r="AW443" t="s">
        <v>92</v>
      </c>
      <c r="AX443" t="s">
        <v>2117</v>
      </c>
      <c r="AY443" t="s">
        <v>94</v>
      </c>
      <c r="AZ443" t="s">
        <v>85</v>
      </c>
      <c r="BA443" t="s">
        <v>5450</v>
      </c>
      <c r="BB443" t="s">
        <v>5440</v>
      </c>
      <c r="BC443" t="s">
        <v>5442</v>
      </c>
      <c r="BD443" t="s">
        <v>2043</v>
      </c>
      <c r="BE443" t="s">
        <v>2044</v>
      </c>
      <c r="BF443" t="b">
        <f t="shared" si="6"/>
        <v>0</v>
      </c>
      <c r="BG443" t="b">
        <v>0</v>
      </c>
      <c r="BH443">
        <v>1999</v>
      </c>
      <c r="BI443" t="b">
        <v>0</v>
      </c>
      <c r="BJ443" t="s">
        <v>2119</v>
      </c>
      <c r="BK443" t="s">
        <v>2049</v>
      </c>
      <c r="BL443" t="b">
        <v>1</v>
      </c>
      <c r="BM443" t="b">
        <v>1</v>
      </c>
      <c r="BN443" t="b">
        <v>0</v>
      </c>
      <c r="BO443" t="s">
        <v>5451</v>
      </c>
    </row>
    <row r="444" spans="1:68" x14ac:dyDescent="0.25">
      <c r="A444" t="s">
        <v>5452</v>
      </c>
      <c r="B444" t="s">
        <v>68</v>
      </c>
      <c r="D444" s="1">
        <v>46204</v>
      </c>
      <c r="E444" s="1">
        <v>47664</v>
      </c>
      <c r="F444" t="s">
        <v>5453</v>
      </c>
      <c r="G444" t="s">
        <v>5454</v>
      </c>
      <c r="H444" s="2" t="s">
        <v>5455</v>
      </c>
      <c r="I444" t="s">
        <v>5454</v>
      </c>
      <c r="K444" t="s">
        <v>5456</v>
      </c>
      <c r="L444">
        <v>5116702</v>
      </c>
      <c r="M444" t="s">
        <v>5457</v>
      </c>
      <c r="N444" t="s">
        <v>452</v>
      </c>
      <c r="O444" t="s">
        <v>453</v>
      </c>
      <c r="P444" t="s">
        <v>454</v>
      </c>
      <c r="Q444" t="s">
        <v>5458</v>
      </c>
      <c r="R444" t="s">
        <v>606</v>
      </c>
      <c r="S444" t="s">
        <v>607</v>
      </c>
      <c r="T444" t="s">
        <v>184</v>
      </c>
      <c r="U444" t="s">
        <v>112</v>
      </c>
      <c r="V444" t="s">
        <v>82</v>
      </c>
      <c r="W444" t="s">
        <v>606</v>
      </c>
      <c r="X444" t="s">
        <v>607</v>
      </c>
      <c r="Y444" t="s">
        <v>184</v>
      </c>
      <c r="Z444" t="s">
        <v>112</v>
      </c>
      <c r="AA444" t="s">
        <v>82</v>
      </c>
      <c r="AB444" t="s">
        <v>83</v>
      </c>
      <c r="AC444" t="s">
        <v>459</v>
      </c>
      <c r="AD444" t="s">
        <v>149</v>
      </c>
      <c r="AE444" t="s">
        <v>5459</v>
      </c>
      <c r="AF444" t="s">
        <v>85</v>
      </c>
      <c r="AG444" t="s">
        <v>5460</v>
      </c>
      <c r="AH444">
        <v>8</v>
      </c>
      <c r="AI444">
        <v>588120</v>
      </c>
      <c r="AJ444">
        <v>1469028</v>
      </c>
      <c r="AK444">
        <v>0</v>
      </c>
      <c r="AL444">
        <v>2057148</v>
      </c>
      <c r="AM444" t="s">
        <v>606</v>
      </c>
      <c r="AN444" t="s">
        <v>607</v>
      </c>
      <c r="AO444" t="s">
        <v>184</v>
      </c>
      <c r="AP444" t="s">
        <v>112</v>
      </c>
      <c r="AQ444" t="s">
        <v>82</v>
      </c>
      <c r="AR444" t="s">
        <v>5461</v>
      </c>
      <c r="AS444" s="3">
        <v>46202.465224200983</v>
      </c>
      <c r="AT444" t="s">
        <v>89</v>
      </c>
      <c r="AU444" t="s">
        <v>90</v>
      </c>
      <c r="AV444" t="s">
        <v>2116</v>
      </c>
      <c r="AW444" t="s">
        <v>92</v>
      </c>
      <c r="AX444" t="s">
        <v>2117</v>
      </c>
      <c r="AY444" t="s">
        <v>94</v>
      </c>
      <c r="AZ444" t="s">
        <v>85</v>
      </c>
      <c r="BA444" t="s">
        <v>5462</v>
      </c>
      <c r="BB444" t="s">
        <v>5452</v>
      </c>
      <c r="BC444" t="s">
        <v>5454</v>
      </c>
      <c r="BD444" t="s">
        <v>606</v>
      </c>
      <c r="BE444" t="s">
        <v>607</v>
      </c>
      <c r="BF444" t="b">
        <f t="shared" si="6"/>
        <v>0</v>
      </c>
      <c r="BG444" t="b">
        <v>0</v>
      </c>
      <c r="BH444">
        <v>2025</v>
      </c>
      <c r="BI444" t="b">
        <v>0</v>
      </c>
      <c r="BJ444" t="s">
        <v>2119</v>
      </c>
      <c r="BK444" t="s">
        <v>287</v>
      </c>
      <c r="BL444" t="b">
        <v>0</v>
      </c>
      <c r="BM444" t="b">
        <v>1</v>
      </c>
      <c r="BN444" t="b">
        <v>1</v>
      </c>
      <c r="BO444" t="s">
        <v>5463</v>
      </c>
    </row>
    <row r="445" spans="1:68" x14ac:dyDescent="0.25">
      <c r="A445" t="s">
        <v>5464</v>
      </c>
      <c r="B445" t="s">
        <v>68</v>
      </c>
      <c r="D445" s="1">
        <v>46204</v>
      </c>
      <c r="E445" s="1">
        <v>47664</v>
      </c>
      <c r="F445" t="s">
        <v>5465</v>
      </c>
      <c r="G445" t="s">
        <v>5466</v>
      </c>
      <c r="H445" s="2" t="s">
        <v>5467</v>
      </c>
      <c r="I445" t="s">
        <v>5466</v>
      </c>
      <c r="K445" t="s">
        <v>5468</v>
      </c>
      <c r="L445">
        <v>5116343</v>
      </c>
      <c r="M445" t="s">
        <v>5469</v>
      </c>
      <c r="N445" t="s">
        <v>2145</v>
      </c>
      <c r="O445" t="s">
        <v>2146</v>
      </c>
      <c r="P445" t="s">
        <v>129</v>
      </c>
      <c r="Q445" t="s">
        <v>2147</v>
      </c>
      <c r="R445" t="s">
        <v>2148</v>
      </c>
      <c r="S445" t="s">
        <v>2149</v>
      </c>
      <c r="T445" t="s">
        <v>184</v>
      </c>
      <c r="U445" t="s">
        <v>112</v>
      </c>
      <c r="V445" t="s">
        <v>82</v>
      </c>
      <c r="W445" t="s">
        <v>2148</v>
      </c>
      <c r="X445" t="s">
        <v>2149</v>
      </c>
      <c r="Y445" t="s">
        <v>184</v>
      </c>
      <c r="Z445" t="s">
        <v>112</v>
      </c>
      <c r="AA445" t="s">
        <v>82</v>
      </c>
      <c r="AB445" t="s">
        <v>83</v>
      </c>
      <c r="AC445" t="s">
        <v>185</v>
      </c>
      <c r="AD445" t="s">
        <v>1396</v>
      </c>
      <c r="AE445" t="s">
        <v>5470</v>
      </c>
      <c r="AF445" t="s">
        <v>1396</v>
      </c>
      <c r="AG445" t="s">
        <v>5471</v>
      </c>
      <c r="AH445">
        <v>20</v>
      </c>
      <c r="AI445">
        <v>1350000</v>
      </c>
      <c r="AJ445">
        <v>150000</v>
      </c>
      <c r="AK445">
        <v>0</v>
      </c>
      <c r="AL445">
        <v>1500000</v>
      </c>
      <c r="AM445" t="s">
        <v>2148</v>
      </c>
      <c r="AN445" t="s">
        <v>2149</v>
      </c>
      <c r="AO445" t="s">
        <v>184</v>
      </c>
      <c r="AP445" t="s">
        <v>112</v>
      </c>
      <c r="AQ445" t="s">
        <v>82</v>
      </c>
      <c r="AR445" t="s">
        <v>5472</v>
      </c>
      <c r="AS445" s="3">
        <v>46202.465224200983</v>
      </c>
      <c r="AT445" t="s">
        <v>89</v>
      </c>
      <c r="AU445" t="s">
        <v>90</v>
      </c>
      <c r="AV445" t="s">
        <v>2116</v>
      </c>
      <c r="AW445" t="s">
        <v>92</v>
      </c>
      <c r="AX445" t="s">
        <v>2117</v>
      </c>
      <c r="AY445" t="s">
        <v>94</v>
      </c>
      <c r="AZ445" t="s">
        <v>85</v>
      </c>
      <c r="BA445" t="s">
        <v>5473</v>
      </c>
      <c r="BB445" t="s">
        <v>5464</v>
      </c>
      <c r="BC445" t="s">
        <v>5466</v>
      </c>
      <c r="BD445" t="s">
        <v>2148</v>
      </c>
      <c r="BE445" t="s">
        <v>2149</v>
      </c>
      <c r="BF445" t="b">
        <f t="shared" si="6"/>
        <v>1</v>
      </c>
      <c r="BG445" t="b">
        <v>1</v>
      </c>
      <c r="BH445">
        <v>1999</v>
      </c>
      <c r="BI445" t="b">
        <v>1</v>
      </c>
      <c r="BJ445" t="s">
        <v>2119</v>
      </c>
      <c r="BK445" t="s">
        <v>2155</v>
      </c>
      <c r="BL445" t="b">
        <v>1</v>
      </c>
      <c r="BM445" t="b">
        <v>1</v>
      </c>
      <c r="BN445" t="b">
        <v>1</v>
      </c>
      <c r="BO445" t="s">
        <v>5474</v>
      </c>
    </row>
    <row r="446" spans="1:68" x14ac:dyDescent="0.25">
      <c r="A446" t="s">
        <v>5475</v>
      </c>
      <c r="B446" t="s">
        <v>68</v>
      </c>
      <c r="D446" s="1">
        <v>46204</v>
      </c>
      <c r="E446" s="1">
        <v>47664</v>
      </c>
      <c r="F446" t="s">
        <v>5476</v>
      </c>
      <c r="G446" t="s">
        <v>5477</v>
      </c>
      <c r="H446" s="2" t="s">
        <v>5478</v>
      </c>
      <c r="I446" t="s">
        <v>5477</v>
      </c>
      <c r="K446" t="s">
        <v>5479</v>
      </c>
      <c r="L446">
        <v>5116600</v>
      </c>
      <c r="M446" t="s">
        <v>5480</v>
      </c>
      <c r="N446" t="s">
        <v>2561</v>
      </c>
      <c r="O446" t="s">
        <v>229</v>
      </c>
      <c r="P446" t="s">
        <v>230</v>
      </c>
      <c r="Q446" t="s">
        <v>2562</v>
      </c>
      <c r="R446" t="s">
        <v>5481</v>
      </c>
      <c r="S446" t="s">
        <v>5482</v>
      </c>
      <c r="T446" t="s">
        <v>300</v>
      </c>
      <c r="U446" t="s">
        <v>301</v>
      </c>
      <c r="V446" t="s">
        <v>82</v>
      </c>
      <c r="W446" t="s">
        <v>5481</v>
      </c>
      <c r="X446" t="s">
        <v>5482</v>
      </c>
      <c r="Y446" t="s">
        <v>300</v>
      </c>
      <c r="Z446" t="s">
        <v>301</v>
      </c>
      <c r="AA446" t="s">
        <v>82</v>
      </c>
      <c r="AB446" t="s">
        <v>83</v>
      </c>
      <c r="AC446" t="s">
        <v>235</v>
      </c>
      <c r="AD446" t="s">
        <v>149</v>
      </c>
      <c r="AE446" t="s">
        <v>5483</v>
      </c>
      <c r="AF446" t="s">
        <v>85</v>
      </c>
      <c r="AG446" t="s">
        <v>5484</v>
      </c>
      <c r="AH446">
        <v>10</v>
      </c>
      <c r="AI446">
        <v>1348776</v>
      </c>
      <c r="AJ446">
        <v>149000</v>
      </c>
      <c r="AK446">
        <v>0</v>
      </c>
      <c r="AL446">
        <v>1497776</v>
      </c>
      <c r="AM446" t="s">
        <v>5481</v>
      </c>
      <c r="AN446" t="s">
        <v>5482</v>
      </c>
      <c r="AO446" t="s">
        <v>300</v>
      </c>
      <c r="AP446" t="s">
        <v>301</v>
      </c>
      <c r="AQ446" t="s">
        <v>82</v>
      </c>
      <c r="AR446" t="s">
        <v>5485</v>
      </c>
      <c r="AS446" s="3">
        <v>46202.465224200983</v>
      </c>
      <c r="AT446" t="s">
        <v>89</v>
      </c>
      <c r="AU446" t="s">
        <v>90</v>
      </c>
      <c r="AV446" t="s">
        <v>2116</v>
      </c>
      <c r="AW446" t="s">
        <v>92</v>
      </c>
      <c r="AX446" t="s">
        <v>2117</v>
      </c>
      <c r="AY446" t="s">
        <v>94</v>
      </c>
      <c r="AZ446" t="s">
        <v>85</v>
      </c>
      <c r="BA446" t="s">
        <v>5486</v>
      </c>
      <c r="BB446" t="s">
        <v>5475</v>
      </c>
      <c r="BC446" t="s">
        <v>5477</v>
      </c>
      <c r="BD446" t="s">
        <v>5481</v>
      </c>
      <c r="BE446" t="s">
        <v>5482</v>
      </c>
      <c r="BF446" t="b">
        <f t="shared" si="6"/>
        <v>1</v>
      </c>
      <c r="BG446" t="b">
        <v>1</v>
      </c>
      <c r="BH446">
        <v>2014</v>
      </c>
      <c r="BI446" t="b">
        <v>1</v>
      </c>
      <c r="BJ446" t="s">
        <v>2119</v>
      </c>
      <c r="BK446" t="s">
        <v>2049</v>
      </c>
      <c r="BL446" t="b">
        <v>1</v>
      </c>
      <c r="BM446" t="b">
        <v>1</v>
      </c>
      <c r="BN446" t="b">
        <v>1</v>
      </c>
      <c r="BO446" t="s">
        <v>5487</v>
      </c>
    </row>
    <row r="447" spans="1:68" x14ac:dyDescent="0.25">
      <c r="A447" t="s">
        <v>5488</v>
      </c>
      <c r="B447" t="s">
        <v>68</v>
      </c>
      <c r="D447" s="1">
        <v>46204</v>
      </c>
      <c r="E447" s="1">
        <v>47664</v>
      </c>
      <c r="F447" t="s">
        <v>5489</v>
      </c>
      <c r="G447" t="s">
        <v>5490</v>
      </c>
      <c r="H447" s="2" t="s">
        <v>5491</v>
      </c>
      <c r="I447" t="s">
        <v>5490</v>
      </c>
      <c r="K447" t="s">
        <v>5492</v>
      </c>
      <c r="L447">
        <v>5116442</v>
      </c>
      <c r="M447" t="s">
        <v>5493</v>
      </c>
      <c r="N447" t="s">
        <v>2880</v>
      </c>
      <c r="O447" t="s">
        <v>2018</v>
      </c>
      <c r="P447" t="s">
        <v>230</v>
      </c>
      <c r="Q447" t="s">
        <v>2881</v>
      </c>
      <c r="R447" t="s">
        <v>5481</v>
      </c>
      <c r="S447" t="s">
        <v>5482</v>
      </c>
      <c r="T447" t="s">
        <v>300</v>
      </c>
      <c r="U447" t="s">
        <v>301</v>
      </c>
      <c r="V447" t="s">
        <v>82</v>
      </c>
      <c r="W447" t="s">
        <v>5481</v>
      </c>
      <c r="X447" t="s">
        <v>5482</v>
      </c>
      <c r="Y447" t="s">
        <v>300</v>
      </c>
      <c r="Z447" t="s">
        <v>301</v>
      </c>
      <c r="AA447" t="s">
        <v>82</v>
      </c>
      <c r="AB447" t="s">
        <v>83</v>
      </c>
      <c r="AC447" t="s">
        <v>1013</v>
      </c>
      <c r="AD447" t="s">
        <v>252</v>
      </c>
      <c r="AE447" t="s">
        <v>5494</v>
      </c>
      <c r="AF447" t="s">
        <v>252</v>
      </c>
      <c r="AG447" t="s">
        <v>5495</v>
      </c>
      <c r="AH447">
        <v>7</v>
      </c>
      <c r="AI447">
        <v>1451400</v>
      </c>
      <c r="AJ447">
        <v>48600</v>
      </c>
      <c r="AK447">
        <v>0</v>
      </c>
      <c r="AL447">
        <v>1500000</v>
      </c>
      <c r="AM447" t="s">
        <v>298</v>
      </c>
      <c r="AN447" t="s">
        <v>299</v>
      </c>
      <c r="AO447" t="s">
        <v>300</v>
      </c>
      <c r="AP447" t="s">
        <v>301</v>
      </c>
      <c r="AQ447" t="s">
        <v>82</v>
      </c>
      <c r="AR447" t="s">
        <v>5496</v>
      </c>
      <c r="AS447" s="3">
        <v>46202.465224200983</v>
      </c>
      <c r="AT447" t="s">
        <v>89</v>
      </c>
      <c r="AU447" t="s">
        <v>90</v>
      </c>
      <c r="AV447" t="s">
        <v>2116</v>
      </c>
      <c r="AW447" t="s">
        <v>92</v>
      </c>
      <c r="AX447" t="s">
        <v>2117</v>
      </c>
      <c r="AY447" t="s">
        <v>94</v>
      </c>
      <c r="AZ447" t="s">
        <v>85</v>
      </c>
      <c r="BA447" t="s">
        <v>5497</v>
      </c>
      <c r="BB447" t="s">
        <v>5488</v>
      </c>
      <c r="BC447" t="s">
        <v>5490</v>
      </c>
      <c r="BD447" t="s">
        <v>5481</v>
      </c>
      <c r="BE447" t="s">
        <v>5482</v>
      </c>
      <c r="BF447" t="b">
        <f t="shared" si="6"/>
        <v>1</v>
      </c>
      <c r="BG447" t="b">
        <v>1</v>
      </c>
      <c r="BH447">
        <v>1991</v>
      </c>
      <c r="BI447" t="b">
        <v>1</v>
      </c>
      <c r="BJ447" t="s">
        <v>2119</v>
      </c>
      <c r="BK447" t="s">
        <v>2049</v>
      </c>
      <c r="BL447" t="b">
        <v>1</v>
      </c>
      <c r="BM447" t="b">
        <v>1</v>
      </c>
      <c r="BN447" t="b">
        <v>1</v>
      </c>
      <c r="BO447" t="s">
        <v>5498</v>
      </c>
    </row>
    <row r="448" spans="1:68" x14ac:dyDescent="0.25">
      <c r="A448" t="s">
        <v>5499</v>
      </c>
      <c r="B448" t="s">
        <v>68</v>
      </c>
      <c r="D448" s="1">
        <v>46204</v>
      </c>
      <c r="E448" s="1">
        <v>47664</v>
      </c>
      <c r="F448" t="s">
        <v>5500</v>
      </c>
      <c r="G448" t="s">
        <v>5501</v>
      </c>
      <c r="H448" s="2" t="s">
        <v>5502</v>
      </c>
      <c r="I448" t="s">
        <v>5501</v>
      </c>
      <c r="K448" t="s">
        <v>5503</v>
      </c>
      <c r="L448">
        <v>5116559</v>
      </c>
      <c r="M448" t="s">
        <v>5504</v>
      </c>
      <c r="N448" t="s">
        <v>389</v>
      </c>
      <c r="O448" t="s">
        <v>390</v>
      </c>
      <c r="P448" t="s">
        <v>107</v>
      </c>
      <c r="Q448" t="s">
        <v>391</v>
      </c>
      <c r="R448" t="s">
        <v>2225</v>
      </c>
      <c r="S448" t="s">
        <v>2226</v>
      </c>
      <c r="T448" t="s">
        <v>111</v>
      </c>
      <c r="U448" t="s">
        <v>112</v>
      </c>
      <c r="V448" t="s">
        <v>82</v>
      </c>
      <c r="W448" t="s">
        <v>2225</v>
      </c>
      <c r="X448" t="s">
        <v>2226</v>
      </c>
      <c r="Y448" t="s">
        <v>111</v>
      </c>
      <c r="Z448" t="s">
        <v>112</v>
      </c>
      <c r="AA448" t="s">
        <v>82</v>
      </c>
      <c r="AB448" t="s">
        <v>83</v>
      </c>
      <c r="AC448" t="s">
        <v>202</v>
      </c>
      <c r="AD448" t="s">
        <v>149</v>
      </c>
      <c r="AE448" t="s">
        <v>5505</v>
      </c>
      <c r="AF448" t="s">
        <v>85</v>
      </c>
      <c r="AG448" t="s">
        <v>5506</v>
      </c>
      <c r="AH448">
        <v>4</v>
      </c>
      <c r="AI448">
        <v>977600</v>
      </c>
      <c r="AJ448">
        <v>97334</v>
      </c>
      <c r="AK448">
        <v>0</v>
      </c>
      <c r="AL448">
        <v>1074934</v>
      </c>
      <c r="AM448" t="s">
        <v>2225</v>
      </c>
      <c r="AN448" t="s">
        <v>2226</v>
      </c>
      <c r="AO448" t="s">
        <v>111</v>
      </c>
      <c r="AP448" t="s">
        <v>112</v>
      </c>
      <c r="AQ448" t="s">
        <v>82</v>
      </c>
      <c r="AR448" t="s">
        <v>5507</v>
      </c>
      <c r="AS448" s="3">
        <v>46202.465224200983</v>
      </c>
      <c r="AT448" t="s">
        <v>89</v>
      </c>
      <c r="AU448" t="s">
        <v>90</v>
      </c>
      <c r="AV448" t="s">
        <v>2116</v>
      </c>
      <c r="AW448" t="s">
        <v>92</v>
      </c>
      <c r="AX448" t="s">
        <v>2117</v>
      </c>
      <c r="AY448" t="s">
        <v>94</v>
      </c>
      <c r="AZ448" t="s">
        <v>85</v>
      </c>
      <c r="BA448" t="s">
        <v>5508</v>
      </c>
      <c r="BB448" t="s">
        <v>5499</v>
      </c>
      <c r="BC448" t="s">
        <v>5501</v>
      </c>
      <c r="BD448" t="s">
        <v>2225</v>
      </c>
      <c r="BE448" t="s">
        <v>2226</v>
      </c>
      <c r="BF448" t="b">
        <f t="shared" si="6"/>
        <v>0</v>
      </c>
      <c r="BG448" t="b">
        <v>1</v>
      </c>
      <c r="BH448">
        <v>1993</v>
      </c>
      <c r="BI448" t="b">
        <v>0</v>
      </c>
      <c r="BJ448" t="s">
        <v>2119</v>
      </c>
      <c r="BK448" t="s">
        <v>2120</v>
      </c>
      <c r="BL448" t="b">
        <v>1</v>
      </c>
      <c r="BM448" t="b">
        <v>1</v>
      </c>
      <c r="BN448" t="b">
        <v>1</v>
      </c>
      <c r="BO448" t="s">
        <v>5509</v>
      </c>
    </row>
    <row r="449" spans="1:67" x14ac:dyDescent="0.25">
      <c r="A449" t="s">
        <v>5510</v>
      </c>
      <c r="B449" t="s">
        <v>68</v>
      </c>
      <c r="D449" s="1">
        <v>46204</v>
      </c>
      <c r="E449" s="1">
        <v>47664</v>
      </c>
      <c r="F449" t="s">
        <v>5511</v>
      </c>
      <c r="G449" t="s">
        <v>5512</v>
      </c>
      <c r="H449" s="2" t="s">
        <v>5513</v>
      </c>
      <c r="I449" t="s">
        <v>5512</v>
      </c>
      <c r="K449" t="s">
        <v>5514</v>
      </c>
      <c r="L449">
        <v>5116654</v>
      </c>
      <c r="M449" t="s">
        <v>5515</v>
      </c>
      <c r="N449" t="s">
        <v>809</v>
      </c>
      <c r="O449" t="s">
        <v>810</v>
      </c>
      <c r="P449" t="s">
        <v>76</v>
      </c>
      <c r="Q449" t="s">
        <v>1312</v>
      </c>
      <c r="R449" t="s">
        <v>2131</v>
      </c>
      <c r="S449" t="s">
        <v>2132</v>
      </c>
      <c r="T449" t="s">
        <v>364</v>
      </c>
      <c r="U449" t="s">
        <v>81</v>
      </c>
      <c r="V449" t="s">
        <v>82</v>
      </c>
      <c r="W449" t="s">
        <v>2131</v>
      </c>
      <c r="X449" t="s">
        <v>2132</v>
      </c>
      <c r="Y449" t="s">
        <v>364</v>
      </c>
      <c r="Z449" t="s">
        <v>81</v>
      </c>
      <c r="AA449" t="s">
        <v>82</v>
      </c>
      <c r="AB449" t="s">
        <v>83</v>
      </c>
      <c r="AC449" t="s">
        <v>84</v>
      </c>
      <c r="AD449" t="s">
        <v>149</v>
      </c>
      <c r="AE449" t="s">
        <v>5516</v>
      </c>
      <c r="AF449" t="s">
        <v>85</v>
      </c>
      <c r="AG449" t="s">
        <v>5517</v>
      </c>
      <c r="AH449">
        <v>9</v>
      </c>
      <c r="AI449">
        <v>1268280</v>
      </c>
      <c r="AJ449">
        <v>129792</v>
      </c>
      <c r="AK449">
        <v>0</v>
      </c>
      <c r="AL449">
        <v>1398072</v>
      </c>
      <c r="AM449" t="s">
        <v>2131</v>
      </c>
      <c r="AN449" t="s">
        <v>2132</v>
      </c>
      <c r="AO449" t="s">
        <v>364</v>
      </c>
      <c r="AP449" t="s">
        <v>81</v>
      </c>
      <c r="AQ449" t="s">
        <v>82</v>
      </c>
      <c r="AR449" t="s">
        <v>5518</v>
      </c>
      <c r="AS449" s="3">
        <v>46202.465224200983</v>
      </c>
      <c r="AT449" t="s">
        <v>89</v>
      </c>
      <c r="AU449" t="s">
        <v>90</v>
      </c>
      <c r="AV449" t="s">
        <v>2116</v>
      </c>
      <c r="AW449" t="s">
        <v>92</v>
      </c>
      <c r="AX449" t="s">
        <v>2117</v>
      </c>
      <c r="AY449" t="s">
        <v>94</v>
      </c>
      <c r="AZ449" t="s">
        <v>85</v>
      </c>
      <c r="BA449" t="s">
        <v>5519</v>
      </c>
      <c r="BB449" t="s">
        <v>5510</v>
      </c>
      <c r="BC449" t="s">
        <v>5512</v>
      </c>
      <c r="BD449" t="s">
        <v>2131</v>
      </c>
      <c r="BE449" t="s">
        <v>2132</v>
      </c>
      <c r="BF449" t="b">
        <f t="shared" si="6"/>
        <v>1</v>
      </c>
      <c r="BG449" t="b">
        <v>1</v>
      </c>
      <c r="BH449">
        <v>2012</v>
      </c>
      <c r="BI449" t="b">
        <v>1</v>
      </c>
      <c r="BJ449" t="s">
        <v>2119</v>
      </c>
      <c r="BK449" t="s">
        <v>2137</v>
      </c>
      <c r="BL449" t="b">
        <v>1</v>
      </c>
      <c r="BM449" t="b">
        <v>1</v>
      </c>
      <c r="BN449" t="b">
        <v>1</v>
      </c>
      <c r="BO449" t="s">
        <v>5520</v>
      </c>
    </row>
    <row r="450" spans="1:67" x14ac:dyDescent="0.25">
      <c r="A450" t="s">
        <v>5521</v>
      </c>
      <c r="B450" t="s">
        <v>68</v>
      </c>
      <c r="D450" s="1">
        <v>46204</v>
      </c>
      <c r="E450" s="1">
        <v>47664</v>
      </c>
      <c r="F450" t="s">
        <v>5522</v>
      </c>
      <c r="G450" t="s">
        <v>5523</v>
      </c>
      <c r="H450" s="2" t="s">
        <v>5524</v>
      </c>
      <c r="I450" t="s">
        <v>5523</v>
      </c>
      <c r="K450" t="s">
        <v>5525</v>
      </c>
      <c r="L450">
        <v>5116618</v>
      </c>
      <c r="M450" t="s">
        <v>5526</v>
      </c>
      <c r="N450" t="s">
        <v>105</v>
      </c>
      <c r="O450" t="s">
        <v>106</v>
      </c>
      <c r="P450" t="s">
        <v>107</v>
      </c>
      <c r="Q450" t="s">
        <v>5527</v>
      </c>
      <c r="R450" t="s">
        <v>2111</v>
      </c>
      <c r="S450" t="s">
        <v>2112</v>
      </c>
      <c r="T450" t="s">
        <v>184</v>
      </c>
      <c r="U450" t="s">
        <v>112</v>
      </c>
      <c r="V450" t="s">
        <v>82</v>
      </c>
      <c r="W450" t="s">
        <v>2111</v>
      </c>
      <c r="X450" t="s">
        <v>2112</v>
      </c>
      <c r="Y450" t="s">
        <v>184</v>
      </c>
      <c r="Z450" t="s">
        <v>112</v>
      </c>
      <c r="AA450" t="s">
        <v>82</v>
      </c>
      <c r="AB450" t="s">
        <v>83</v>
      </c>
      <c r="AC450" t="s">
        <v>113</v>
      </c>
      <c r="AD450" t="s">
        <v>149</v>
      </c>
      <c r="AE450" t="s">
        <v>5528</v>
      </c>
      <c r="AF450" t="s">
        <v>85</v>
      </c>
      <c r="AG450" t="s">
        <v>5529</v>
      </c>
      <c r="AH450">
        <v>12</v>
      </c>
      <c r="AI450">
        <v>1332720</v>
      </c>
      <c r="AJ450">
        <v>132000</v>
      </c>
      <c r="AK450">
        <v>0</v>
      </c>
      <c r="AL450">
        <v>1464720</v>
      </c>
      <c r="AM450" t="s">
        <v>2111</v>
      </c>
      <c r="AN450" t="s">
        <v>2112</v>
      </c>
      <c r="AO450" t="s">
        <v>184</v>
      </c>
      <c r="AP450" t="s">
        <v>112</v>
      </c>
      <c r="AQ450" t="s">
        <v>82</v>
      </c>
      <c r="AR450" t="s">
        <v>5530</v>
      </c>
      <c r="AS450" s="3">
        <v>46202.465224200983</v>
      </c>
      <c r="AT450" t="s">
        <v>89</v>
      </c>
      <c r="AU450" t="s">
        <v>90</v>
      </c>
      <c r="AV450" t="s">
        <v>2116</v>
      </c>
      <c r="AW450" t="s">
        <v>92</v>
      </c>
      <c r="AX450" t="s">
        <v>2117</v>
      </c>
      <c r="AY450" t="s">
        <v>94</v>
      </c>
      <c r="AZ450" t="s">
        <v>85</v>
      </c>
      <c r="BA450" t="s">
        <v>5531</v>
      </c>
      <c r="BB450" t="s">
        <v>5521</v>
      </c>
      <c r="BC450" t="s">
        <v>5523</v>
      </c>
      <c r="BD450" t="s">
        <v>2111</v>
      </c>
      <c r="BE450" t="s">
        <v>2112</v>
      </c>
      <c r="BF450" t="b">
        <f t="shared" si="6"/>
        <v>1</v>
      </c>
      <c r="BG450" t="b">
        <v>1</v>
      </c>
      <c r="BH450">
        <v>2019</v>
      </c>
      <c r="BI450" t="b">
        <v>1</v>
      </c>
      <c r="BJ450" t="s">
        <v>2119</v>
      </c>
      <c r="BK450" t="s">
        <v>2120</v>
      </c>
      <c r="BL450" t="b">
        <v>1</v>
      </c>
      <c r="BM450" t="b">
        <v>1</v>
      </c>
      <c r="BN450" t="b">
        <v>1</v>
      </c>
      <c r="BO450" t="s">
        <v>5532</v>
      </c>
    </row>
    <row r="451" spans="1:67" x14ac:dyDescent="0.25">
      <c r="A451" t="s">
        <v>5533</v>
      </c>
      <c r="B451" t="s">
        <v>68</v>
      </c>
      <c r="D451" s="1">
        <v>46204</v>
      </c>
      <c r="E451" s="1">
        <v>47664</v>
      </c>
      <c r="F451" t="s">
        <v>5534</v>
      </c>
      <c r="G451" t="s">
        <v>5535</v>
      </c>
      <c r="H451" s="2" t="s">
        <v>5536</v>
      </c>
      <c r="I451" t="s">
        <v>5535</v>
      </c>
      <c r="K451" t="s">
        <v>5537</v>
      </c>
      <c r="L451">
        <v>5116692</v>
      </c>
      <c r="M451" t="s">
        <v>5538</v>
      </c>
      <c r="N451" t="s">
        <v>809</v>
      </c>
      <c r="O451" t="s">
        <v>810</v>
      </c>
      <c r="P451" t="s">
        <v>76</v>
      </c>
      <c r="Q451" t="s">
        <v>1312</v>
      </c>
      <c r="R451" t="s">
        <v>5539</v>
      </c>
      <c r="S451" t="s">
        <v>5540</v>
      </c>
      <c r="T451" t="s">
        <v>364</v>
      </c>
      <c r="U451" t="s">
        <v>81</v>
      </c>
      <c r="V451" t="s">
        <v>82</v>
      </c>
      <c r="W451" t="s">
        <v>2131</v>
      </c>
      <c r="X451" t="s">
        <v>2132</v>
      </c>
      <c r="Y451" t="s">
        <v>364</v>
      </c>
      <c r="Z451" t="s">
        <v>81</v>
      </c>
      <c r="AA451" t="s">
        <v>82</v>
      </c>
      <c r="AB451" t="s">
        <v>83</v>
      </c>
      <c r="AC451" t="s">
        <v>84</v>
      </c>
      <c r="AD451" t="s">
        <v>149</v>
      </c>
      <c r="AE451" t="s">
        <v>5541</v>
      </c>
      <c r="AF451" t="s">
        <v>85</v>
      </c>
      <c r="AG451" t="s">
        <v>5542</v>
      </c>
      <c r="AH451">
        <v>7</v>
      </c>
      <c r="AI451">
        <v>1385280</v>
      </c>
      <c r="AJ451">
        <v>112250</v>
      </c>
      <c r="AK451">
        <v>0</v>
      </c>
      <c r="AL451">
        <v>1497530</v>
      </c>
      <c r="AR451" t="s">
        <v>5543</v>
      </c>
      <c r="AS451" s="3">
        <v>46202.465224200983</v>
      </c>
      <c r="AT451" t="s">
        <v>89</v>
      </c>
      <c r="AU451" t="s">
        <v>90</v>
      </c>
      <c r="AV451" t="s">
        <v>2116</v>
      </c>
      <c r="AW451" t="s">
        <v>92</v>
      </c>
      <c r="AX451" t="s">
        <v>2117</v>
      </c>
      <c r="AY451" t="s">
        <v>94</v>
      </c>
      <c r="AZ451" t="s">
        <v>85</v>
      </c>
      <c r="BA451" t="s">
        <v>5544</v>
      </c>
      <c r="BB451" t="s">
        <v>5533</v>
      </c>
      <c r="BC451" t="s">
        <v>5535</v>
      </c>
      <c r="BD451" t="s">
        <v>2131</v>
      </c>
      <c r="BE451" t="s">
        <v>2132</v>
      </c>
      <c r="BF451" t="b">
        <f t="shared" ref="BF451:BF458" si="7">IF(AND(BG451,BI451,BL451,BM451),TRUE,FALSE)</f>
        <v>1</v>
      </c>
      <c r="BG451" t="b">
        <v>1</v>
      </c>
      <c r="BH451">
        <v>2000</v>
      </c>
      <c r="BI451" t="b">
        <v>1</v>
      </c>
      <c r="BJ451" t="s">
        <v>2119</v>
      </c>
      <c r="BK451" t="s">
        <v>2137</v>
      </c>
      <c r="BL451" t="b">
        <v>1</v>
      </c>
      <c r="BM451" t="b">
        <v>1</v>
      </c>
      <c r="BN451" t="b">
        <v>1</v>
      </c>
      <c r="BO451" t="s">
        <v>5545</v>
      </c>
    </row>
    <row r="452" spans="1:67" x14ac:dyDescent="0.25">
      <c r="A452" t="s">
        <v>5546</v>
      </c>
      <c r="B452" t="s">
        <v>68</v>
      </c>
      <c r="D452" s="1">
        <v>46204</v>
      </c>
      <c r="E452" s="1">
        <v>47664</v>
      </c>
      <c r="F452" t="s">
        <v>5547</v>
      </c>
      <c r="G452" t="s">
        <v>5548</v>
      </c>
      <c r="H452" s="2" t="s">
        <v>5549</v>
      </c>
      <c r="I452" t="s">
        <v>5548</v>
      </c>
      <c r="K452" t="s">
        <v>5550</v>
      </c>
      <c r="L452">
        <v>5116749</v>
      </c>
      <c r="M452" t="s">
        <v>5551</v>
      </c>
      <c r="N452" t="s">
        <v>5552</v>
      </c>
      <c r="O452" t="s">
        <v>528</v>
      </c>
      <c r="P452" t="s">
        <v>529</v>
      </c>
      <c r="Q452" t="s">
        <v>5553</v>
      </c>
      <c r="R452" t="s">
        <v>2131</v>
      </c>
      <c r="S452" t="s">
        <v>2132</v>
      </c>
      <c r="T452" t="s">
        <v>364</v>
      </c>
      <c r="U452" t="s">
        <v>81</v>
      </c>
      <c r="V452" t="s">
        <v>82</v>
      </c>
      <c r="W452" t="s">
        <v>2131</v>
      </c>
      <c r="X452" t="s">
        <v>2132</v>
      </c>
      <c r="Y452" t="s">
        <v>364</v>
      </c>
      <c r="Z452" t="s">
        <v>81</v>
      </c>
      <c r="AA452" t="s">
        <v>82</v>
      </c>
      <c r="AB452" t="s">
        <v>83</v>
      </c>
      <c r="AC452" t="s">
        <v>235</v>
      </c>
      <c r="AD452" t="s">
        <v>149</v>
      </c>
      <c r="AE452" t="s">
        <v>5554</v>
      </c>
      <c r="AF452" t="s">
        <v>85</v>
      </c>
      <c r="AG452" t="s">
        <v>5555</v>
      </c>
      <c r="AH452">
        <v>8</v>
      </c>
      <c r="AI452">
        <v>1379040</v>
      </c>
      <c r="AJ452">
        <v>90000</v>
      </c>
      <c r="AK452">
        <v>0</v>
      </c>
      <c r="AL452">
        <v>1469040</v>
      </c>
      <c r="AM452" t="s">
        <v>2131</v>
      </c>
      <c r="AN452" t="s">
        <v>2132</v>
      </c>
      <c r="AO452" t="s">
        <v>364</v>
      </c>
      <c r="AP452" t="s">
        <v>81</v>
      </c>
      <c r="AQ452" t="s">
        <v>82</v>
      </c>
      <c r="AR452" t="s">
        <v>5556</v>
      </c>
      <c r="AS452" s="3">
        <v>46202.465224200983</v>
      </c>
      <c r="AT452" t="s">
        <v>89</v>
      </c>
      <c r="AU452" t="s">
        <v>90</v>
      </c>
      <c r="AV452" t="s">
        <v>2116</v>
      </c>
      <c r="AW452" t="s">
        <v>92</v>
      </c>
      <c r="AX452" t="s">
        <v>2117</v>
      </c>
      <c r="AY452" t="s">
        <v>94</v>
      </c>
      <c r="AZ452" t="s">
        <v>85</v>
      </c>
      <c r="BA452" t="s">
        <v>5557</v>
      </c>
      <c r="BB452" t="s">
        <v>5546</v>
      </c>
      <c r="BC452" t="s">
        <v>5548</v>
      </c>
      <c r="BD452" t="s">
        <v>2131</v>
      </c>
      <c r="BE452" t="s">
        <v>2132</v>
      </c>
      <c r="BF452" t="b">
        <f t="shared" si="7"/>
        <v>1</v>
      </c>
      <c r="BG452" t="b">
        <v>1</v>
      </c>
      <c r="BH452">
        <v>2017</v>
      </c>
      <c r="BI452" t="b">
        <v>1</v>
      </c>
      <c r="BJ452" t="s">
        <v>2119</v>
      </c>
      <c r="BK452" t="s">
        <v>2137</v>
      </c>
      <c r="BL452" t="b">
        <v>1</v>
      </c>
      <c r="BM452" t="b">
        <v>1</v>
      </c>
      <c r="BN452" t="b">
        <v>1</v>
      </c>
      <c r="BO452" t="s">
        <v>5558</v>
      </c>
    </row>
    <row r="453" spans="1:67" x14ac:dyDescent="0.25">
      <c r="A453" t="s">
        <v>5559</v>
      </c>
      <c r="B453" t="s">
        <v>68</v>
      </c>
      <c r="D453" s="1">
        <v>46204</v>
      </c>
      <c r="E453" s="1">
        <v>47664</v>
      </c>
      <c r="F453" t="s">
        <v>5560</v>
      </c>
      <c r="G453" t="s">
        <v>5561</v>
      </c>
      <c r="H453" s="2" t="s">
        <v>5562</v>
      </c>
      <c r="I453" t="s">
        <v>5561</v>
      </c>
      <c r="K453" t="s">
        <v>5563</v>
      </c>
      <c r="L453">
        <v>5116693</v>
      </c>
      <c r="M453" t="s">
        <v>5564</v>
      </c>
      <c r="N453" t="s">
        <v>249</v>
      </c>
      <c r="O453" t="s">
        <v>250</v>
      </c>
      <c r="P453" t="s">
        <v>76</v>
      </c>
      <c r="Q453" t="s">
        <v>251</v>
      </c>
      <c r="R453" t="s">
        <v>2131</v>
      </c>
      <c r="S453" t="s">
        <v>2132</v>
      </c>
      <c r="T453" t="s">
        <v>364</v>
      </c>
      <c r="U453" t="s">
        <v>81</v>
      </c>
      <c r="V453" t="s">
        <v>82</v>
      </c>
      <c r="W453" t="s">
        <v>2131</v>
      </c>
      <c r="X453" t="s">
        <v>2132</v>
      </c>
      <c r="Y453" t="s">
        <v>364</v>
      </c>
      <c r="Z453" t="s">
        <v>81</v>
      </c>
      <c r="AA453" t="s">
        <v>82</v>
      </c>
      <c r="AB453" t="s">
        <v>83</v>
      </c>
      <c r="AC453" t="s">
        <v>202</v>
      </c>
      <c r="AD453" t="s">
        <v>149</v>
      </c>
      <c r="AE453" t="s">
        <v>5565</v>
      </c>
      <c r="AF453" t="s">
        <v>85</v>
      </c>
      <c r="AG453" t="s">
        <v>5566</v>
      </c>
      <c r="AH453">
        <v>8</v>
      </c>
      <c r="AI453">
        <v>1426880</v>
      </c>
      <c r="AJ453">
        <v>67000</v>
      </c>
      <c r="AK453">
        <v>0</v>
      </c>
      <c r="AL453">
        <v>1493880</v>
      </c>
      <c r="AR453" t="s">
        <v>5567</v>
      </c>
      <c r="AS453" s="3">
        <v>46202.465224200983</v>
      </c>
      <c r="AT453" t="s">
        <v>89</v>
      </c>
      <c r="AU453" t="s">
        <v>90</v>
      </c>
      <c r="AV453" t="s">
        <v>2116</v>
      </c>
      <c r="AW453" t="s">
        <v>92</v>
      </c>
      <c r="AX453" t="s">
        <v>2117</v>
      </c>
      <c r="AY453" t="s">
        <v>94</v>
      </c>
      <c r="AZ453" t="s">
        <v>85</v>
      </c>
      <c r="BA453" t="s">
        <v>5568</v>
      </c>
      <c r="BB453" t="s">
        <v>5559</v>
      </c>
      <c r="BC453" t="s">
        <v>5561</v>
      </c>
      <c r="BD453" t="s">
        <v>2131</v>
      </c>
      <c r="BE453" t="s">
        <v>2132</v>
      </c>
      <c r="BF453" t="b">
        <f t="shared" si="7"/>
        <v>1</v>
      </c>
      <c r="BG453" t="b">
        <v>1</v>
      </c>
      <c r="BH453">
        <v>2012</v>
      </c>
      <c r="BI453" t="b">
        <v>1</v>
      </c>
      <c r="BJ453" t="s">
        <v>2119</v>
      </c>
      <c r="BK453" t="s">
        <v>2137</v>
      </c>
      <c r="BL453" t="b">
        <v>1</v>
      </c>
      <c r="BM453" t="b">
        <v>1</v>
      </c>
      <c r="BN453" t="b">
        <v>0</v>
      </c>
      <c r="BO453" t="s">
        <v>5569</v>
      </c>
    </row>
    <row r="454" spans="1:67" x14ac:dyDescent="0.25">
      <c r="A454" t="s">
        <v>5570</v>
      </c>
      <c r="B454" t="s">
        <v>68</v>
      </c>
      <c r="D454" s="1">
        <v>46204</v>
      </c>
      <c r="E454" s="1">
        <v>47664</v>
      </c>
      <c r="F454" t="s">
        <v>5571</v>
      </c>
      <c r="G454" t="s">
        <v>5572</v>
      </c>
      <c r="H454" s="2" t="s">
        <v>5573</v>
      </c>
      <c r="I454" t="s">
        <v>5572</v>
      </c>
      <c r="K454" t="s">
        <v>5574</v>
      </c>
      <c r="L454">
        <v>5115641</v>
      </c>
      <c r="M454" t="s">
        <v>5575</v>
      </c>
      <c r="N454" t="s">
        <v>2145</v>
      </c>
      <c r="O454" t="s">
        <v>2146</v>
      </c>
      <c r="P454" t="s">
        <v>129</v>
      </c>
      <c r="Q454" t="s">
        <v>5576</v>
      </c>
      <c r="R454" t="s">
        <v>2148</v>
      </c>
      <c r="S454" t="s">
        <v>2149</v>
      </c>
      <c r="T454" t="s">
        <v>184</v>
      </c>
      <c r="U454" t="s">
        <v>112</v>
      </c>
      <c r="V454" t="s">
        <v>82</v>
      </c>
      <c r="W454" t="s">
        <v>2148</v>
      </c>
      <c r="X454" t="s">
        <v>2149</v>
      </c>
      <c r="Y454" t="s">
        <v>184</v>
      </c>
      <c r="Z454" t="s">
        <v>112</v>
      </c>
      <c r="AA454" t="s">
        <v>82</v>
      </c>
      <c r="AB454" t="s">
        <v>83</v>
      </c>
      <c r="AC454" t="s">
        <v>185</v>
      </c>
      <c r="AD454" t="s">
        <v>267</v>
      </c>
      <c r="AE454" t="s">
        <v>5577</v>
      </c>
      <c r="AF454" t="s">
        <v>267</v>
      </c>
      <c r="AG454" t="s">
        <v>5578</v>
      </c>
      <c r="AH454">
        <v>33</v>
      </c>
      <c r="AI454">
        <v>1365520</v>
      </c>
      <c r="AJ454">
        <v>134480</v>
      </c>
      <c r="AK454">
        <v>0</v>
      </c>
      <c r="AL454">
        <v>1500000</v>
      </c>
      <c r="AM454" t="s">
        <v>2148</v>
      </c>
      <c r="AN454" t="s">
        <v>2149</v>
      </c>
      <c r="AO454" t="s">
        <v>184</v>
      </c>
      <c r="AP454" t="s">
        <v>112</v>
      </c>
      <c r="AQ454" t="s">
        <v>82</v>
      </c>
      <c r="AR454" t="s">
        <v>5579</v>
      </c>
      <c r="AS454" s="3">
        <v>46202.465224200983</v>
      </c>
      <c r="AT454" t="s">
        <v>89</v>
      </c>
      <c r="AU454" t="s">
        <v>90</v>
      </c>
      <c r="AV454" t="s">
        <v>2116</v>
      </c>
      <c r="AW454" t="s">
        <v>92</v>
      </c>
      <c r="AX454" t="s">
        <v>2117</v>
      </c>
      <c r="AY454" t="s">
        <v>94</v>
      </c>
      <c r="AZ454" t="s">
        <v>85</v>
      </c>
      <c r="BA454" t="s">
        <v>5580</v>
      </c>
      <c r="BB454" t="s">
        <v>5570</v>
      </c>
      <c r="BC454" t="s">
        <v>5572</v>
      </c>
      <c r="BD454" t="s">
        <v>2148</v>
      </c>
      <c r="BE454" t="s">
        <v>2149</v>
      </c>
      <c r="BF454" t="b">
        <f t="shared" si="7"/>
        <v>1</v>
      </c>
      <c r="BG454" t="b">
        <v>1</v>
      </c>
      <c r="BH454">
        <v>2001</v>
      </c>
      <c r="BI454" t="b">
        <v>1</v>
      </c>
      <c r="BJ454" t="s">
        <v>2119</v>
      </c>
      <c r="BK454" t="s">
        <v>2155</v>
      </c>
      <c r="BL454" t="b">
        <v>1</v>
      </c>
      <c r="BM454" t="b">
        <v>1</v>
      </c>
      <c r="BN454" t="b">
        <v>1</v>
      </c>
      <c r="BO454" t="s">
        <v>5581</v>
      </c>
    </row>
    <row r="455" spans="1:67" x14ac:dyDescent="0.25">
      <c r="A455" t="s">
        <v>5582</v>
      </c>
      <c r="B455" t="s">
        <v>68</v>
      </c>
      <c r="D455" s="1">
        <v>46204</v>
      </c>
      <c r="E455" s="1">
        <v>47664</v>
      </c>
      <c r="F455" t="s">
        <v>5583</v>
      </c>
      <c r="G455" t="s">
        <v>5584</v>
      </c>
      <c r="H455" s="2" t="s">
        <v>5585</v>
      </c>
      <c r="I455" t="s">
        <v>5584</v>
      </c>
      <c r="K455" t="s">
        <v>5586</v>
      </c>
      <c r="L455">
        <v>5116734</v>
      </c>
      <c r="M455" t="s">
        <v>5587</v>
      </c>
      <c r="N455" t="s">
        <v>2145</v>
      </c>
      <c r="O455" t="s">
        <v>2146</v>
      </c>
      <c r="P455" t="s">
        <v>129</v>
      </c>
      <c r="Q455" t="s">
        <v>2147</v>
      </c>
      <c r="R455" t="s">
        <v>2148</v>
      </c>
      <c r="S455" t="s">
        <v>2149</v>
      </c>
      <c r="T455" t="s">
        <v>184</v>
      </c>
      <c r="U455" t="s">
        <v>112</v>
      </c>
      <c r="V455" t="s">
        <v>82</v>
      </c>
      <c r="W455" t="s">
        <v>2148</v>
      </c>
      <c r="X455" t="s">
        <v>2149</v>
      </c>
      <c r="Y455" t="s">
        <v>184</v>
      </c>
      <c r="Z455" t="s">
        <v>112</v>
      </c>
      <c r="AA455" t="s">
        <v>82</v>
      </c>
      <c r="AB455" t="s">
        <v>83</v>
      </c>
      <c r="AC455" t="s">
        <v>185</v>
      </c>
      <c r="AD455" t="s">
        <v>149</v>
      </c>
      <c r="AE455" t="s">
        <v>5588</v>
      </c>
      <c r="AF455" t="s">
        <v>85</v>
      </c>
      <c r="AG455" t="s">
        <v>5589</v>
      </c>
      <c r="AH455">
        <v>21</v>
      </c>
      <c r="AI455">
        <v>1260210</v>
      </c>
      <c r="AJ455">
        <v>120000</v>
      </c>
      <c r="AK455">
        <v>0</v>
      </c>
      <c r="AL455">
        <v>1380210</v>
      </c>
      <c r="AM455" t="s">
        <v>2148</v>
      </c>
      <c r="AN455" t="s">
        <v>2149</v>
      </c>
      <c r="AO455" t="s">
        <v>184</v>
      </c>
      <c r="AP455" t="s">
        <v>112</v>
      </c>
      <c r="AQ455" t="s">
        <v>82</v>
      </c>
      <c r="AR455" t="s">
        <v>5590</v>
      </c>
      <c r="AS455" s="3">
        <v>46202.465224200983</v>
      </c>
      <c r="AT455" t="s">
        <v>89</v>
      </c>
      <c r="AU455" t="s">
        <v>90</v>
      </c>
      <c r="AV455" t="s">
        <v>2116</v>
      </c>
      <c r="AW455" t="s">
        <v>92</v>
      </c>
      <c r="AX455" t="s">
        <v>2117</v>
      </c>
      <c r="AY455" t="s">
        <v>94</v>
      </c>
      <c r="AZ455" t="s">
        <v>85</v>
      </c>
      <c r="BA455" t="s">
        <v>5591</v>
      </c>
      <c r="BB455" t="s">
        <v>5582</v>
      </c>
      <c r="BC455" t="s">
        <v>5584</v>
      </c>
      <c r="BD455" t="s">
        <v>2148</v>
      </c>
      <c r="BE455" t="s">
        <v>2149</v>
      </c>
      <c r="BF455" t="b">
        <f t="shared" si="7"/>
        <v>1</v>
      </c>
      <c r="BG455" t="b">
        <v>1</v>
      </c>
      <c r="BH455">
        <v>2016</v>
      </c>
      <c r="BI455" t="b">
        <v>1</v>
      </c>
      <c r="BJ455" t="s">
        <v>2119</v>
      </c>
      <c r="BK455" t="s">
        <v>2155</v>
      </c>
      <c r="BL455" t="b">
        <v>1</v>
      </c>
      <c r="BM455" t="b">
        <v>1</v>
      </c>
      <c r="BN455" t="b">
        <v>1</v>
      </c>
      <c r="BO455" t="s">
        <v>5592</v>
      </c>
    </row>
    <row r="456" spans="1:67" x14ac:dyDescent="0.25">
      <c r="A456" t="s">
        <v>5593</v>
      </c>
      <c r="B456" t="s">
        <v>68</v>
      </c>
      <c r="D456" s="1">
        <v>46204</v>
      </c>
      <c r="E456" s="1">
        <v>47664</v>
      </c>
      <c r="F456" t="s">
        <v>5594</v>
      </c>
      <c r="G456" t="s">
        <v>5595</v>
      </c>
      <c r="H456" s="2" t="s">
        <v>5596</v>
      </c>
      <c r="I456" t="s">
        <v>5595</v>
      </c>
      <c r="K456" t="s">
        <v>5597</v>
      </c>
      <c r="L456">
        <v>5116556</v>
      </c>
      <c r="M456" t="s">
        <v>5598</v>
      </c>
      <c r="N456" t="s">
        <v>228</v>
      </c>
      <c r="O456" t="s">
        <v>229</v>
      </c>
      <c r="P456" t="s">
        <v>230</v>
      </c>
      <c r="Q456" t="s">
        <v>483</v>
      </c>
      <c r="R456" t="s">
        <v>2111</v>
      </c>
      <c r="S456" t="s">
        <v>2112</v>
      </c>
      <c r="T456" t="s">
        <v>184</v>
      </c>
      <c r="U456" t="s">
        <v>112</v>
      </c>
      <c r="V456" t="s">
        <v>82</v>
      </c>
      <c r="W456" t="s">
        <v>2111</v>
      </c>
      <c r="X456" t="s">
        <v>2112</v>
      </c>
      <c r="Y456" t="s">
        <v>184</v>
      </c>
      <c r="Z456" t="s">
        <v>112</v>
      </c>
      <c r="AA456" t="s">
        <v>82</v>
      </c>
      <c r="AB456" t="s">
        <v>83</v>
      </c>
      <c r="AC456" t="s">
        <v>235</v>
      </c>
      <c r="AD456" t="s">
        <v>149</v>
      </c>
      <c r="AE456" t="s">
        <v>5599</v>
      </c>
      <c r="AF456" t="s">
        <v>85</v>
      </c>
      <c r="AG456" t="s">
        <v>5600</v>
      </c>
      <c r="AH456">
        <v>34</v>
      </c>
      <c r="AI456">
        <v>1363440</v>
      </c>
      <c r="AJ456">
        <v>136281.60000000001</v>
      </c>
      <c r="AK456">
        <v>0</v>
      </c>
      <c r="AL456">
        <v>1499721.6</v>
      </c>
      <c r="AR456" t="s">
        <v>5601</v>
      </c>
      <c r="AS456" s="3">
        <v>46202.465224200983</v>
      </c>
      <c r="AT456" t="s">
        <v>89</v>
      </c>
      <c r="AU456" t="s">
        <v>90</v>
      </c>
      <c r="AV456" t="s">
        <v>2116</v>
      </c>
      <c r="AW456" t="s">
        <v>92</v>
      </c>
      <c r="AX456" t="s">
        <v>2117</v>
      </c>
      <c r="AY456" t="s">
        <v>94</v>
      </c>
      <c r="AZ456" t="s">
        <v>85</v>
      </c>
      <c r="BA456" t="s">
        <v>5602</v>
      </c>
      <c r="BB456" t="s">
        <v>5593</v>
      </c>
      <c r="BC456" t="s">
        <v>5595</v>
      </c>
      <c r="BD456" t="s">
        <v>2111</v>
      </c>
      <c r="BE456" t="s">
        <v>2112</v>
      </c>
      <c r="BF456" t="b">
        <f t="shared" si="7"/>
        <v>1</v>
      </c>
      <c r="BG456" t="b">
        <v>1</v>
      </c>
      <c r="BH456">
        <v>2010</v>
      </c>
      <c r="BI456" t="b">
        <v>1</v>
      </c>
      <c r="BJ456" t="s">
        <v>2119</v>
      </c>
      <c r="BK456" t="s">
        <v>2120</v>
      </c>
      <c r="BL456" t="b">
        <v>1</v>
      </c>
      <c r="BM456" t="b">
        <v>1</v>
      </c>
      <c r="BN456" t="b">
        <v>1</v>
      </c>
      <c r="BO456" t="s">
        <v>5603</v>
      </c>
    </row>
    <row r="457" spans="1:67" x14ac:dyDescent="0.25">
      <c r="A457" t="s">
        <v>5604</v>
      </c>
      <c r="B457" t="s">
        <v>68</v>
      </c>
      <c r="D457" s="1">
        <v>46204</v>
      </c>
      <c r="E457" s="1">
        <v>47664</v>
      </c>
      <c r="F457" t="s">
        <v>5605</v>
      </c>
      <c r="G457" t="s">
        <v>5606</v>
      </c>
      <c r="H457" s="2" t="s">
        <v>5607</v>
      </c>
      <c r="I457" t="s">
        <v>5606</v>
      </c>
      <c r="K457" t="s">
        <v>5608</v>
      </c>
      <c r="L457">
        <v>5116884</v>
      </c>
      <c r="M457" t="s">
        <v>5609</v>
      </c>
      <c r="N457" t="s">
        <v>3367</v>
      </c>
      <c r="O457" t="s">
        <v>3368</v>
      </c>
      <c r="P457" t="s">
        <v>107</v>
      </c>
      <c r="Q457" t="s">
        <v>5610</v>
      </c>
      <c r="R457" t="s">
        <v>5611</v>
      </c>
      <c r="S457" t="s">
        <v>5612</v>
      </c>
      <c r="T457" t="s">
        <v>111</v>
      </c>
      <c r="U457" t="s">
        <v>112</v>
      </c>
      <c r="V457" t="s">
        <v>82</v>
      </c>
      <c r="W457" t="s">
        <v>5611</v>
      </c>
      <c r="X457" t="s">
        <v>5612</v>
      </c>
      <c r="Y457" t="s">
        <v>111</v>
      </c>
      <c r="Z457" t="s">
        <v>112</v>
      </c>
      <c r="AA457" t="s">
        <v>82</v>
      </c>
      <c r="AB457" t="s">
        <v>83</v>
      </c>
      <c r="AC457" t="s">
        <v>113</v>
      </c>
      <c r="AD457" t="s">
        <v>85</v>
      </c>
      <c r="AE457" t="s">
        <v>5613</v>
      </c>
      <c r="AF457" t="s">
        <v>85</v>
      </c>
      <c r="AG457" t="s">
        <v>5614</v>
      </c>
      <c r="AH457">
        <v>4</v>
      </c>
      <c r="AI457">
        <v>517920</v>
      </c>
      <c r="AJ457">
        <v>74800</v>
      </c>
      <c r="AK457">
        <v>0</v>
      </c>
      <c r="AL457">
        <v>592720</v>
      </c>
      <c r="AM457" t="s">
        <v>5611</v>
      </c>
      <c r="AN457" t="s">
        <v>5612</v>
      </c>
      <c r="AO457" t="s">
        <v>111</v>
      </c>
      <c r="AP457" t="s">
        <v>112</v>
      </c>
      <c r="AQ457" t="s">
        <v>82</v>
      </c>
      <c r="AR457" t="s">
        <v>5615</v>
      </c>
      <c r="AS457" s="3">
        <v>46202.465224200983</v>
      </c>
      <c r="AT457" t="s">
        <v>89</v>
      </c>
      <c r="AU457" t="s">
        <v>90</v>
      </c>
      <c r="AV457" t="s">
        <v>2116</v>
      </c>
      <c r="AW457" t="s">
        <v>92</v>
      </c>
      <c r="AX457" t="s">
        <v>2117</v>
      </c>
      <c r="AY457" t="s">
        <v>94</v>
      </c>
      <c r="AZ457" t="s">
        <v>85</v>
      </c>
      <c r="BA457" t="s">
        <v>5616</v>
      </c>
      <c r="BB457" t="s">
        <v>5604</v>
      </c>
      <c r="BC457" t="s">
        <v>5606</v>
      </c>
      <c r="BD457" t="s">
        <v>5611</v>
      </c>
      <c r="BE457" t="s">
        <v>5612</v>
      </c>
      <c r="BF457" t="b">
        <f t="shared" si="7"/>
        <v>0</v>
      </c>
      <c r="BG457" t="b">
        <v>0</v>
      </c>
      <c r="BH457">
        <v>1997</v>
      </c>
      <c r="BI457" t="b">
        <v>0</v>
      </c>
      <c r="BJ457" t="s">
        <v>2119</v>
      </c>
      <c r="BK457" t="s">
        <v>2169</v>
      </c>
      <c r="BL457" t="b">
        <v>1</v>
      </c>
      <c r="BM457" t="b">
        <v>1</v>
      </c>
      <c r="BN457" t="b">
        <v>1</v>
      </c>
      <c r="BO457" t="s">
        <v>5617</v>
      </c>
    </row>
    <row r="458" spans="1:67" x14ac:dyDescent="0.25">
      <c r="A458" t="s">
        <v>5618</v>
      </c>
      <c r="B458" t="s">
        <v>68</v>
      </c>
      <c r="D458" s="1">
        <v>46204</v>
      </c>
      <c r="E458" s="1">
        <v>47664</v>
      </c>
      <c r="F458" t="s">
        <v>5619</v>
      </c>
      <c r="G458" t="s">
        <v>5620</v>
      </c>
      <c r="H458" s="2" t="s">
        <v>5621</v>
      </c>
      <c r="I458" t="s">
        <v>5620</v>
      </c>
      <c r="K458" t="s">
        <v>5622</v>
      </c>
      <c r="L458">
        <v>5111204</v>
      </c>
      <c r="M458" t="s">
        <v>5623</v>
      </c>
      <c r="N458" t="s">
        <v>2211</v>
      </c>
      <c r="O458" t="s">
        <v>1484</v>
      </c>
      <c r="P458" t="s">
        <v>76</v>
      </c>
      <c r="Q458" t="s">
        <v>5624</v>
      </c>
      <c r="R458" t="s">
        <v>1325</v>
      </c>
      <c r="S458" t="s">
        <v>1326</v>
      </c>
      <c r="T458" t="s">
        <v>111</v>
      </c>
      <c r="U458" t="s">
        <v>112</v>
      </c>
      <c r="V458" t="s">
        <v>82</v>
      </c>
      <c r="W458" t="s">
        <v>1325</v>
      </c>
      <c r="X458" t="s">
        <v>1326</v>
      </c>
      <c r="Y458" t="s">
        <v>111</v>
      </c>
      <c r="Z458" t="s">
        <v>112</v>
      </c>
      <c r="AA458" t="s">
        <v>82</v>
      </c>
      <c r="AB458" t="s">
        <v>83</v>
      </c>
      <c r="AC458" t="s">
        <v>166</v>
      </c>
      <c r="AD458" t="s">
        <v>167</v>
      </c>
      <c r="AE458" t="s">
        <v>5625</v>
      </c>
      <c r="AF458" t="s">
        <v>167</v>
      </c>
      <c r="AG458" t="s">
        <v>5626</v>
      </c>
      <c r="AH458">
        <v>1</v>
      </c>
      <c r="AI458">
        <v>124800</v>
      </c>
      <c r="AJ458">
        <v>1200000</v>
      </c>
      <c r="AK458">
        <v>0</v>
      </c>
      <c r="AL458">
        <v>1324800</v>
      </c>
      <c r="AM458" t="s">
        <v>1325</v>
      </c>
      <c r="AN458" t="s">
        <v>1326</v>
      </c>
      <c r="AO458" t="s">
        <v>111</v>
      </c>
      <c r="AP458" t="s">
        <v>112</v>
      </c>
      <c r="AQ458" t="s">
        <v>82</v>
      </c>
      <c r="AR458" t="s">
        <v>5627</v>
      </c>
      <c r="AS458" s="3">
        <v>46202.465224200983</v>
      </c>
      <c r="AT458" t="s">
        <v>89</v>
      </c>
      <c r="AU458" t="s">
        <v>90</v>
      </c>
      <c r="AV458" t="s">
        <v>2116</v>
      </c>
      <c r="AW458" t="s">
        <v>92</v>
      </c>
      <c r="AX458" t="s">
        <v>2117</v>
      </c>
      <c r="AY458" t="s">
        <v>94</v>
      </c>
      <c r="AZ458" t="s">
        <v>85</v>
      </c>
      <c r="BA458" t="s">
        <v>5628</v>
      </c>
      <c r="BB458" t="s">
        <v>5618</v>
      </c>
      <c r="BC458" t="s">
        <v>5620</v>
      </c>
      <c r="BD458" t="s">
        <v>1325</v>
      </c>
      <c r="BE458" t="s">
        <v>1326</v>
      </c>
      <c r="BF458" t="b">
        <f t="shared" si="7"/>
        <v>0</v>
      </c>
      <c r="BG458" t="b">
        <v>0</v>
      </c>
      <c r="BH458">
        <v>1996</v>
      </c>
      <c r="BI458" t="b">
        <v>0</v>
      </c>
      <c r="BJ458" t="s">
        <v>2119</v>
      </c>
      <c r="BK458" t="s">
        <v>119</v>
      </c>
      <c r="BL458" t="b">
        <v>0</v>
      </c>
      <c r="BM458" t="b">
        <v>1</v>
      </c>
      <c r="BN458" t="b">
        <v>1</v>
      </c>
      <c r="BO458" t="s">
        <v>5629</v>
      </c>
    </row>
  </sheetData>
  <autoFilter ref="A1:BP458" xr:uid="{00000000-0001-0000-0000-000000000000}"/>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3" r:id="rId112" xr:uid="{00000000-0004-0000-0000-00006F000000}"/>
    <hyperlink ref="H114" r:id="rId113" xr:uid="{00000000-0004-0000-0000-000070000000}"/>
    <hyperlink ref="H115" r:id="rId114" xr:uid="{00000000-0004-0000-0000-000071000000}"/>
    <hyperlink ref="H116" r:id="rId115" xr:uid="{00000000-0004-0000-0000-000072000000}"/>
    <hyperlink ref="H117" r:id="rId116" xr:uid="{00000000-0004-0000-0000-000073000000}"/>
    <hyperlink ref="H118" r:id="rId117" xr:uid="{00000000-0004-0000-0000-000074000000}"/>
    <hyperlink ref="H119" r:id="rId118" xr:uid="{00000000-0004-0000-0000-000075000000}"/>
    <hyperlink ref="H120" r:id="rId119" xr:uid="{00000000-0004-0000-0000-000076000000}"/>
    <hyperlink ref="H121" r:id="rId120" xr:uid="{00000000-0004-0000-0000-000077000000}"/>
    <hyperlink ref="H122" r:id="rId121" xr:uid="{00000000-0004-0000-0000-000078000000}"/>
    <hyperlink ref="H123" r:id="rId122" xr:uid="{00000000-0004-0000-0000-000079000000}"/>
    <hyperlink ref="H124" r:id="rId123" xr:uid="{00000000-0004-0000-0000-00007A000000}"/>
    <hyperlink ref="H125" r:id="rId124" xr:uid="{00000000-0004-0000-0000-00007B000000}"/>
    <hyperlink ref="H126" r:id="rId125" xr:uid="{00000000-0004-0000-0000-00007C000000}"/>
    <hyperlink ref="H127" r:id="rId126" xr:uid="{00000000-0004-0000-0000-00007D000000}"/>
    <hyperlink ref="H128" r:id="rId127" xr:uid="{00000000-0004-0000-0000-00007E000000}"/>
    <hyperlink ref="H129" r:id="rId128" xr:uid="{00000000-0004-0000-0000-00007F000000}"/>
    <hyperlink ref="H130" r:id="rId129" xr:uid="{00000000-0004-0000-0000-000080000000}"/>
    <hyperlink ref="H131" r:id="rId130" xr:uid="{00000000-0004-0000-0000-000081000000}"/>
    <hyperlink ref="H132" r:id="rId131" xr:uid="{00000000-0004-0000-0000-000082000000}"/>
    <hyperlink ref="H133" r:id="rId132" xr:uid="{00000000-0004-0000-0000-000083000000}"/>
    <hyperlink ref="H134" r:id="rId133" xr:uid="{00000000-0004-0000-0000-000084000000}"/>
    <hyperlink ref="H135" r:id="rId134" xr:uid="{00000000-0004-0000-0000-000085000000}"/>
    <hyperlink ref="H136" r:id="rId135" xr:uid="{00000000-0004-0000-0000-000086000000}"/>
    <hyperlink ref="H137" r:id="rId136" xr:uid="{00000000-0004-0000-0000-000087000000}"/>
    <hyperlink ref="H138" r:id="rId137" xr:uid="{00000000-0004-0000-0000-000088000000}"/>
    <hyperlink ref="H139" r:id="rId138" xr:uid="{00000000-0004-0000-0000-000089000000}"/>
    <hyperlink ref="H140" r:id="rId139" xr:uid="{00000000-0004-0000-0000-00008A000000}"/>
    <hyperlink ref="H141" r:id="rId140" xr:uid="{00000000-0004-0000-0000-00008B000000}"/>
    <hyperlink ref="H142" r:id="rId141" xr:uid="{00000000-0004-0000-0000-00008C000000}"/>
    <hyperlink ref="H143" r:id="rId142" xr:uid="{00000000-0004-0000-0000-00008D000000}"/>
    <hyperlink ref="H144" r:id="rId143" xr:uid="{00000000-0004-0000-0000-00008E000000}"/>
    <hyperlink ref="H145" r:id="rId144" xr:uid="{00000000-0004-0000-0000-00008F000000}"/>
    <hyperlink ref="H146" r:id="rId145" xr:uid="{00000000-0004-0000-0000-000090000000}"/>
    <hyperlink ref="H147" r:id="rId146" xr:uid="{00000000-0004-0000-0000-000091000000}"/>
    <hyperlink ref="H148" r:id="rId147" xr:uid="{00000000-0004-0000-0000-000092000000}"/>
    <hyperlink ref="H149" r:id="rId148" xr:uid="{00000000-0004-0000-0000-000093000000}"/>
    <hyperlink ref="H150" r:id="rId149" xr:uid="{00000000-0004-0000-0000-000094000000}"/>
    <hyperlink ref="H151" r:id="rId150" xr:uid="{00000000-0004-0000-0000-000095000000}"/>
    <hyperlink ref="H152" r:id="rId151" xr:uid="{00000000-0004-0000-0000-000096000000}"/>
    <hyperlink ref="H153" r:id="rId152" xr:uid="{00000000-0004-0000-0000-000097000000}"/>
    <hyperlink ref="H154" r:id="rId153" xr:uid="{00000000-0004-0000-0000-000098000000}"/>
    <hyperlink ref="H155" r:id="rId154" xr:uid="{00000000-0004-0000-0000-000099000000}"/>
    <hyperlink ref="H156" r:id="rId155" xr:uid="{00000000-0004-0000-0000-00009A000000}"/>
    <hyperlink ref="H157" r:id="rId156" xr:uid="{00000000-0004-0000-0000-00009B000000}"/>
    <hyperlink ref="H158" r:id="rId157" xr:uid="{00000000-0004-0000-0000-00009C000000}"/>
    <hyperlink ref="H159" r:id="rId158" xr:uid="{00000000-0004-0000-0000-00009D000000}"/>
    <hyperlink ref="H160" r:id="rId159" xr:uid="{00000000-0004-0000-0000-00009E000000}"/>
    <hyperlink ref="H161" r:id="rId160" xr:uid="{00000000-0004-0000-0000-00009F000000}"/>
    <hyperlink ref="H162" r:id="rId161" xr:uid="{00000000-0004-0000-0000-0000A0000000}"/>
    <hyperlink ref="H163" r:id="rId162" xr:uid="{00000000-0004-0000-0000-0000A1000000}"/>
    <hyperlink ref="H164" r:id="rId163" xr:uid="{00000000-0004-0000-0000-0000A2000000}"/>
    <hyperlink ref="H165" r:id="rId164" xr:uid="{00000000-0004-0000-0000-0000A3000000}"/>
    <hyperlink ref="H166" r:id="rId165" xr:uid="{00000000-0004-0000-0000-0000A4000000}"/>
    <hyperlink ref="H167" r:id="rId166" xr:uid="{00000000-0004-0000-0000-0000A5000000}"/>
    <hyperlink ref="H168" r:id="rId167" xr:uid="{00000000-0004-0000-0000-0000A6000000}"/>
    <hyperlink ref="H169" r:id="rId168" xr:uid="{00000000-0004-0000-0000-0000A7000000}"/>
    <hyperlink ref="H170" r:id="rId169" xr:uid="{00000000-0004-0000-0000-0000A8000000}"/>
    <hyperlink ref="H171" r:id="rId170" xr:uid="{00000000-0004-0000-0000-0000A9000000}"/>
    <hyperlink ref="H172" r:id="rId171" xr:uid="{00000000-0004-0000-0000-0000AA000000}"/>
    <hyperlink ref="H173" r:id="rId172" xr:uid="{00000000-0004-0000-0000-0000AB000000}"/>
    <hyperlink ref="H174" r:id="rId173" xr:uid="{00000000-0004-0000-0000-0000AC000000}"/>
    <hyperlink ref="H175" r:id="rId174" xr:uid="{00000000-0004-0000-0000-0000AD000000}"/>
    <hyperlink ref="H176" r:id="rId175" xr:uid="{00000000-0004-0000-0000-0000AE000000}"/>
    <hyperlink ref="H177" r:id="rId176" xr:uid="{00000000-0004-0000-0000-0000AF000000}"/>
    <hyperlink ref="H178" r:id="rId177" xr:uid="{00000000-0004-0000-0000-0000B0000000}"/>
    <hyperlink ref="H179" r:id="rId178" xr:uid="{00000000-0004-0000-0000-0000B1000000}"/>
    <hyperlink ref="H180" r:id="rId179" xr:uid="{00000000-0004-0000-0000-0000B2000000}"/>
    <hyperlink ref="H181" r:id="rId180" xr:uid="{00000000-0004-0000-0000-0000B3000000}"/>
    <hyperlink ref="H182" r:id="rId181" xr:uid="{00000000-0004-0000-0000-0000B4000000}"/>
    <hyperlink ref="H183" r:id="rId182" xr:uid="{00000000-0004-0000-0000-0000B5000000}"/>
    <hyperlink ref="H184" r:id="rId183" xr:uid="{00000000-0004-0000-0000-0000B6000000}"/>
    <hyperlink ref="H185" r:id="rId184" xr:uid="{00000000-0004-0000-0000-0000B7000000}"/>
    <hyperlink ref="H186" r:id="rId185" xr:uid="{00000000-0004-0000-0000-0000B8000000}"/>
    <hyperlink ref="H187" r:id="rId186" xr:uid="{00000000-0004-0000-0000-0000B9000000}"/>
    <hyperlink ref="H188" r:id="rId187" xr:uid="{00000000-0004-0000-0000-0000BA000000}"/>
    <hyperlink ref="H189" r:id="rId188" xr:uid="{00000000-0004-0000-0000-0000BB000000}"/>
    <hyperlink ref="H190" r:id="rId189" xr:uid="{00000000-0004-0000-0000-0000BC000000}"/>
    <hyperlink ref="H191" r:id="rId190" xr:uid="{00000000-0004-0000-0000-0000BD000000}"/>
    <hyperlink ref="H192" r:id="rId191" xr:uid="{00000000-0004-0000-0000-0000BE000000}"/>
    <hyperlink ref="H193" r:id="rId192" xr:uid="{00000000-0004-0000-0000-0000BF000000}"/>
    <hyperlink ref="H194" r:id="rId193" xr:uid="{00000000-0004-0000-0000-0000C0000000}"/>
    <hyperlink ref="H195" r:id="rId194" xr:uid="{00000000-0004-0000-0000-0000C1000000}"/>
    <hyperlink ref="H196" r:id="rId195" xr:uid="{00000000-0004-0000-0000-0000C2000000}"/>
    <hyperlink ref="H197" r:id="rId196" xr:uid="{00000000-0004-0000-0000-0000C3000000}"/>
    <hyperlink ref="H198" r:id="rId197" xr:uid="{00000000-0004-0000-0000-0000C4000000}"/>
    <hyperlink ref="H199" r:id="rId198" xr:uid="{00000000-0004-0000-0000-0000C5000000}"/>
    <hyperlink ref="H200" r:id="rId199" xr:uid="{00000000-0004-0000-0000-0000C6000000}"/>
    <hyperlink ref="H201" r:id="rId200" xr:uid="{00000000-0004-0000-0000-0000C7000000}"/>
    <hyperlink ref="H202" r:id="rId201" xr:uid="{00000000-0004-0000-0000-0000C8000000}"/>
    <hyperlink ref="H203" r:id="rId202" xr:uid="{00000000-0004-0000-0000-0000C9000000}"/>
    <hyperlink ref="H204" r:id="rId203" xr:uid="{00000000-0004-0000-0000-0000CA000000}"/>
    <hyperlink ref="H205" r:id="rId204" xr:uid="{00000000-0004-0000-0000-0000CB000000}"/>
    <hyperlink ref="H206" r:id="rId205" xr:uid="{00000000-0004-0000-0000-0000CC000000}"/>
    <hyperlink ref="H207" r:id="rId206" xr:uid="{00000000-0004-0000-0000-0000CD000000}"/>
    <hyperlink ref="H208" r:id="rId207" xr:uid="{00000000-0004-0000-0000-0000CE000000}"/>
    <hyperlink ref="H209" r:id="rId208" xr:uid="{00000000-0004-0000-0000-0000CF000000}"/>
    <hyperlink ref="H210" r:id="rId209" xr:uid="{00000000-0004-0000-0000-0000D0000000}"/>
    <hyperlink ref="H211" r:id="rId210" xr:uid="{00000000-0004-0000-0000-0000D1000000}"/>
    <hyperlink ref="H212" r:id="rId211" xr:uid="{00000000-0004-0000-0000-0000D2000000}"/>
    <hyperlink ref="H213" r:id="rId212" xr:uid="{00000000-0004-0000-0000-0000D3000000}"/>
    <hyperlink ref="H214" r:id="rId213" xr:uid="{00000000-0004-0000-0000-0000D4000000}"/>
    <hyperlink ref="H215" r:id="rId214" xr:uid="{00000000-0004-0000-0000-0000D5000000}"/>
    <hyperlink ref="H216" r:id="rId215" xr:uid="{00000000-0004-0000-0000-0000D6000000}"/>
    <hyperlink ref="H217" r:id="rId216" xr:uid="{00000000-0004-0000-0000-0000D7000000}"/>
    <hyperlink ref="H218" r:id="rId217" xr:uid="{00000000-0004-0000-0000-0000D8000000}"/>
    <hyperlink ref="H219" r:id="rId218" xr:uid="{00000000-0004-0000-0000-0000D9000000}"/>
    <hyperlink ref="H220" r:id="rId219" xr:uid="{00000000-0004-0000-0000-0000DA000000}"/>
    <hyperlink ref="H221" r:id="rId220" xr:uid="{00000000-0004-0000-0000-0000DB000000}"/>
    <hyperlink ref="H222" r:id="rId221" xr:uid="{00000000-0004-0000-0000-0000DC000000}"/>
    <hyperlink ref="H223" r:id="rId222" xr:uid="{00000000-0004-0000-0000-0000DD000000}"/>
    <hyperlink ref="H224" r:id="rId223" xr:uid="{00000000-0004-0000-0000-0000DE000000}"/>
    <hyperlink ref="H225" r:id="rId224" xr:uid="{00000000-0004-0000-0000-0000DF000000}"/>
    <hyperlink ref="H226" r:id="rId225" xr:uid="{00000000-0004-0000-0000-0000E0000000}"/>
    <hyperlink ref="H227" r:id="rId226" xr:uid="{00000000-0004-0000-0000-0000E1000000}"/>
    <hyperlink ref="H228" r:id="rId227" xr:uid="{00000000-0004-0000-0000-0000E2000000}"/>
    <hyperlink ref="H229" r:id="rId228" xr:uid="{00000000-0004-0000-0000-0000E3000000}"/>
    <hyperlink ref="H230" r:id="rId229" xr:uid="{00000000-0004-0000-0000-0000E4000000}"/>
    <hyperlink ref="H231" r:id="rId230" xr:uid="{00000000-0004-0000-0000-0000E5000000}"/>
    <hyperlink ref="H232" r:id="rId231" xr:uid="{00000000-0004-0000-0000-0000E6000000}"/>
    <hyperlink ref="H233" r:id="rId232" xr:uid="{00000000-0004-0000-0000-0000E7000000}"/>
    <hyperlink ref="H234" r:id="rId233" xr:uid="{00000000-0004-0000-0000-0000E8000000}"/>
    <hyperlink ref="H235" r:id="rId234" xr:uid="{00000000-0004-0000-0000-0000E9000000}"/>
    <hyperlink ref="H236" r:id="rId235" xr:uid="{00000000-0004-0000-0000-0000EA000000}"/>
    <hyperlink ref="H237" r:id="rId236" xr:uid="{00000000-0004-0000-0000-0000EB000000}"/>
    <hyperlink ref="H238" r:id="rId237" xr:uid="{00000000-0004-0000-0000-0000EC000000}"/>
    <hyperlink ref="H239" r:id="rId238" xr:uid="{00000000-0004-0000-0000-0000ED000000}"/>
    <hyperlink ref="H240" r:id="rId239" xr:uid="{00000000-0004-0000-0000-0000EE000000}"/>
    <hyperlink ref="H241" r:id="rId240" xr:uid="{00000000-0004-0000-0000-0000EF000000}"/>
    <hyperlink ref="H242" r:id="rId241" xr:uid="{00000000-0004-0000-0000-0000F0000000}"/>
    <hyperlink ref="H243" r:id="rId242" xr:uid="{00000000-0004-0000-0000-0000F1000000}"/>
    <hyperlink ref="H244" r:id="rId243" xr:uid="{00000000-0004-0000-0000-0000F2000000}"/>
    <hyperlink ref="H245" r:id="rId244" xr:uid="{00000000-0004-0000-0000-0000F3000000}"/>
    <hyperlink ref="H246" r:id="rId245" xr:uid="{00000000-0004-0000-0000-0000F4000000}"/>
    <hyperlink ref="H247" r:id="rId246" xr:uid="{00000000-0004-0000-0000-0000F5000000}"/>
    <hyperlink ref="H248" r:id="rId247" xr:uid="{00000000-0004-0000-0000-0000F6000000}"/>
    <hyperlink ref="H249" r:id="rId248" xr:uid="{00000000-0004-0000-0000-0000F7000000}"/>
    <hyperlink ref="H250" r:id="rId249" xr:uid="{00000000-0004-0000-0000-0000F8000000}"/>
    <hyperlink ref="H251" r:id="rId250" xr:uid="{00000000-0004-0000-0000-0000F9000000}"/>
    <hyperlink ref="H252" r:id="rId251" xr:uid="{00000000-0004-0000-0000-0000FA000000}"/>
    <hyperlink ref="H253" r:id="rId252" xr:uid="{00000000-0004-0000-0000-0000FB000000}"/>
    <hyperlink ref="H254" r:id="rId253" xr:uid="{00000000-0004-0000-0000-0000FC000000}"/>
    <hyperlink ref="H255" r:id="rId254" xr:uid="{00000000-0004-0000-0000-0000FD000000}"/>
    <hyperlink ref="H256" r:id="rId255" xr:uid="{00000000-0004-0000-0000-0000FE000000}"/>
    <hyperlink ref="H257" r:id="rId256" xr:uid="{00000000-0004-0000-0000-0000FF000000}"/>
    <hyperlink ref="H258" r:id="rId257" xr:uid="{00000000-0004-0000-0000-000000010000}"/>
    <hyperlink ref="H259" r:id="rId258" xr:uid="{00000000-0004-0000-0000-000001010000}"/>
    <hyperlink ref="H260" r:id="rId259" xr:uid="{00000000-0004-0000-0000-000002010000}"/>
    <hyperlink ref="H261" r:id="rId260" xr:uid="{00000000-0004-0000-0000-000003010000}"/>
    <hyperlink ref="H262" r:id="rId261" xr:uid="{00000000-0004-0000-0000-000004010000}"/>
    <hyperlink ref="H263" r:id="rId262" xr:uid="{00000000-0004-0000-0000-000005010000}"/>
    <hyperlink ref="H264" r:id="rId263" xr:uid="{00000000-0004-0000-0000-000006010000}"/>
    <hyperlink ref="H265" r:id="rId264" xr:uid="{00000000-0004-0000-0000-000007010000}"/>
    <hyperlink ref="H266" r:id="rId265" xr:uid="{00000000-0004-0000-0000-000008010000}"/>
    <hyperlink ref="H267" r:id="rId266" xr:uid="{00000000-0004-0000-0000-000009010000}"/>
    <hyperlink ref="H268" r:id="rId267" xr:uid="{00000000-0004-0000-0000-00000A010000}"/>
    <hyperlink ref="H269" r:id="rId268" xr:uid="{00000000-0004-0000-0000-00000B010000}"/>
    <hyperlink ref="H270" r:id="rId269" xr:uid="{00000000-0004-0000-0000-00000C010000}"/>
    <hyperlink ref="H271" r:id="rId270" xr:uid="{00000000-0004-0000-0000-00000D010000}"/>
    <hyperlink ref="H272" r:id="rId271" xr:uid="{00000000-0004-0000-0000-00000E010000}"/>
    <hyperlink ref="H273" r:id="rId272" xr:uid="{00000000-0004-0000-0000-00000F010000}"/>
    <hyperlink ref="H274" r:id="rId273" xr:uid="{00000000-0004-0000-0000-000010010000}"/>
    <hyperlink ref="H275" r:id="rId274" xr:uid="{00000000-0004-0000-0000-000011010000}"/>
    <hyperlink ref="H276" r:id="rId275" xr:uid="{00000000-0004-0000-0000-000012010000}"/>
    <hyperlink ref="H277" r:id="rId276" xr:uid="{00000000-0004-0000-0000-000013010000}"/>
    <hyperlink ref="H278" r:id="rId277" xr:uid="{00000000-0004-0000-0000-000014010000}"/>
    <hyperlink ref="H279" r:id="rId278" xr:uid="{00000000-0004-0000-0000-000015010000}"/>
    <hyperlink ref="H280" r:id="rId279" xr:uid="{00000000-0004-0000-0000-000016010000}"/>
    <hyperlink ref="H281" r:id="rId280" xr:uid="{00000000-0004-0000-0000-000017010000}"/>
    <hyperlink ref="H282" r:id="rId281" xr:uid="{00000000-0004-0000-0000-000018010000}"/>
    <hyperlink ref="H283" r:id="rId282" xr:uid="{00000000-0004-0000-0000-000019010000}"/>
    <hyperlink ref="H284" r:id="rId283" xr:uid="{00000000-0004-0000-0000-00001A010000}"/>
    <hyperlink ref="H285" r:id="rId284" xr:uid="{00000000-0004-0000-0000-00001B010000}"/>
    <hyperlink ref="H286" r:id="rId285" xr:uid="{00000000-0004-0000-0000-00001C010000}"/>
    <hyperlink ref="H287" r:id="rId286" xr:uid="{00000000-0004-0000-0000-00001D010000}"/>
    <hyperlink ref="H288" r:id="rId287" xr:uid="{00000000-0004-0000-0000-00001E010000}"/>
    <hyperlink ref="H289" r:id="rId288" xr:uid="{00000000-0004-0000-0000-00001F010000}"/>
    <hyperlink ref="H290" r:id="rId289" xr:uid="{00000000-0004-0000-0000-000020010000}"/>
    <hyperlink ref="H291" r:id="rId290" xr:uid="{00000000-0004-0000-0000-000021010000}"/>
    <hyperlink ref="H292" r:id="rId291" xr:uid="{00000000-0004-0000-0000-000022010000}"/>
    <hyperlink ref="H293" r:id="rId292" xr:uid="{00000000-0004-0000-0000-000023010000}"/>
    <hyperlink ref="H294" r:id="rId293" xr:uid="{00000000-0004-0000-0000-000024010000}"/>
    <hyperlink ref="H295" r:id="rId294" xr:uid="{00000000-0004-0000-0000-000025010000}"/>
    <hyperlink ref="H296" r:id="rId295" xr:uid="{00000000-0004-0000-0000-000026010000}"/>
    <hyperlink ref="H297" r:id="rId296" xr:uid="{00000000-0004-0000-0000-000027010000}"/>
    <hyperlink ref="H298" r:id="rId297" xr:uid="{00000000-0004-0000-0000-000028010000}"/>
    <hyperlink ref="H299" r:id="rId298" xr:uid="{00000000-0004-0000-0000-000029010000}"/>
    <hyperlink ref="H300" r:id="rId299" xr:uid="{00000000-0004-0000-0000-00002A010000}"/>
    <hyperlink ref="H301" r:id="rId300" xr:uid="{00000000-0004-0000-0000-00002B010000}"/>
    <hyperlink ref="H302" r:id="rId301" xr:uid="{00000000-0004-0000-0000-00002C010000}"/>
    <hyperlink ref="H303" r:id="rId302" xr:uid="{00000000-0004-0000-0000-00002D010000}"/>
    <hyperlink ref="H304" r:id="rId303" xr:uid="{00000000-0004-0000-0000-00002E010000}"/>
    <hyperlink ref="H305" r:id="rId304" xr:uid="{00000000-0004-0000-0000-00002F010000}"/>
    <hyperlink ref="H306" r:id="rId305" xr:uid="{00000000-0004-0000-0000-000030010000}"/>
    <hyperlink ref="H307" r:id="rId306" xr:uid="{00000000-0004-0000-0000-000031010000}"/>
    <hyperlink ref="H308" r:id="rId307" xr:uid="{00000000-0004-0000-0000-000032010000}"/>
    <hyperlink ref="H309" r:id="rId308" xr:uid="{00000000-0004-0000-0000-000033010000}"/>
    <hyperlink ref="H310" r:id="rId309" xr:uid="{00000000-0004-0000-0000-000034010000}"/>
    <hyperlink ref="H311" r:id="rId310" xr:uid="{00000000-0004-0000-0000-000035010000}"/>
    <hyperlink ref="H312" r:id="rId311" xr:uid="{00000000-0004-0000-0000-000036010000}"/>
    <hyperlink ref="H313" r:id="rId312" xr:uid="{00000000-0004-0000-0000-000037010000}"/>
    <hyperlink ref="H314" r:id="rId313" xr:uid="{00000000-0004-0000-0000-000038010000}"/>
    <hyperlink ref="H315" r:id="rId314" xr:uid="{00000000-0004-0000-0000-000039010000}"/>
    <hyperlink ref="H316" r:id="rId315" xr:uid="{00000000-0004-0000-0000-00003A010000}"/>
    <hyperlink ref="H317" r:id="rId316" xr:uid="{00000000-0004-0000-0000-00003B010000}"/>
    <hyperlink ref="H318" r:id="rId317" xr:uid="{00000000-0004-0000-0000-00003C010000}"/>
    <hyperlink ref="H319" r:id="rId318" xr:uid="{00000000-0004-0000-0000-00003D010000}"/>
    <hyperlink ref="H320" r:id="rId319" xr:uid="{00000000-0004-0000-0000-00003E010000}"/>
    <hyperlink ref="H321" r:id="rId320" xr:uid="{00000000-0004-0000-0000-00003F010000}"/>
    <hyperlink ref="H322" r:id="rId321" xr:uid="{00000000-0004-0000-0000-000040010000}"/>
    <hyperlink ref="H323" r:id="rId322" xr:uid="{00000000-0004-0000-0000-000041010000}"/>
    <hyperlink ref="H324" r:id="rId323" xr:uid="{00000000-0004-0000-0000-000042010000}"/>
    <hyperlink ref="H325" r:id="rId324" xr:uid="{00000000-0004-0000-0000-000043010000}"/>
    <hyperlink ref="H326" r:id="rId325" xr:uid="{00000000-0004-0000-0000-000044010000}"/>
    <hyperlink ref="H327" r:id="rId326" xr:uid="{00000000-0004-0000-0000-000045010000}"/>
    <hyperlink ref="H328" r:id="rId327" xr:uid="{00000000-0004-0000-0000-000046010000}"/>
    <hyperlink ref="H329" r:id="rId328" xr:uid="{00000000-0004-0000-0000-000047010000}"/>
    <hyperlink ref="H330" r:id="rId329" xr:uid="{00000000-0004-0000-0000-000048010000}"/>
    <hyperlink ref="H331" r:id="rId330" xr:uid="{00000000-0004-0000-0000-000049010000}"/>
    <hyperlink ref="H332" r:id="rId331" xr:uid="{00000000-0004-0000-0000-00004A010000}"/>
    <hyperlink ref="H333" r:id="rId332" xr:uid="{00000000-0004-0000-0000-00004B010000}"/>
    <hyperlink ref="H334" r:id="rId333" xr:uid="{00000000-0004-0000-0000-00004C010000}"/>
    <hyperlink ref="H335" r:id="rId334" xr:uid="{00000000-0004-0000-0000-00004D010000}"/>
    <hyperlink ref="H336" r:id="rId335" xr:uid="{00000000-0004-0000-0000-00004E010000}"/>
    <hyperlink ref="H337" r:id="rId336" xr:uid="{00000000-0004-0000-0000-00004F010000}"/>
    <hyperlink ref="H338" r:id="rId337" xr:uid="{00000000-0004-0000-0000-000050010000}"/>
    <hyperlink ref="H339" r:id="rId338" xr:uid="{00000000-0004-0000-0000-000051010000}"/>
    <hyperlink ref="H340" r:id="rId339" xr:uid="{00000000-0004-0000-0000-000052010000}"/>
    <hyperlink ref="H341" r:id="rId340" xr:uid="{00000000-0004-0000-0000-000053010000}"/>
    <hyperlink ref="H342" r:id="rId341" xr:uid="{00000000-0004-0000-0000-000054010000}"/>
    <hyperlink ref="H343" r:id="rId342" xr:uid="{00000000-0004-0000-0000-000055010000}"/>
    <hyperlink ref="H344" r:id="rId343" xr:uid="{00000000-0004-0000-0000-000056010000}"/>
    <hyperlink ref="H345" r:id="rId344" xr:uid="{00000000-0004-0000-0000-000057010000}"/>
    <hyperlink ref="H346" r:id="rId345" xr:uid="{00000000-0004-0000-0000-000058010000}"/>
    <hyperlink ref="H347" r:id="rId346" xr:uid="{00000000-0004-0000-0000-000059010000}"/>
    <hyperlink ref="H348" r:id="rId347" xr:uid="{00000000-0004-0000-0000-00005A010000}"/>
    <hyperlink ref="H349" r:id="rId348" xr:uid="{00000000-0004-0000-0000-00005B010000}"/>
    <hyperlink ref="H350" r:id="rId349" xr:uid="{00000000-0004-0000-0000-00005C010000}"/>
    <hyperlink ref="H351" r:id="rId350" xr:uid="{00000000-0004-0000-0000-00005D010000}"/>
    <hyperlink ref="H352" r:id="rId351" xr:uid="{00000000-0004-0000-0000-00005E010000}"/>
    <hyperlink ref="H353" r:id="rId352" xr:uid="{00000000-0004-0000-0000-00005F010000}"/>
    <hyperlink ref="H354" r:id="rId353" xr:uid="{00000000-0004-0000-0000-000060010000}"/>
    <hyperlink ref="H355" r:id="rId354" xr:uid="{00000000-0004-0000-0000-000061010000}"/>
    <hyperlink ref="H356" r:id="rId355" xr:uid="{00000000-0004-0000-0000-000062010000}"/>
    <hyperlink ref="H357" r:id="rId356" xr:uid="{00000000-0004-0000-0000-000063010000}"/>
    <hyperlink ref="H358" r:id="rId357" xr:uid="{00000000-0004-0000-0000-000064010000}"/>
    <hyperlink ref="H359" r:id="rId358" xr:uid="{00000000-0004-0000-0000-000065010000}"/>
    <hyperlink ref="H360" r:id="rId359" xr:uid="{00000000-0004-0000-0000-000066010000}"/>
    <hyperlink ref="H361" r:id="rId360" xr:uid="{00000000-0004-0000-0000-000067010000}"/>
    <hyperlink ref="H362" r:id="rId361" xr:uid="{00000000-0004-0000-0000-000068010000}"/>
    <hyperlink ref="H363" r:id="rId362" xr:uid="{00000000-0004-0000-0000-000069010000}"/>
    <hyperlink ref="H364" r:id="rId363" xr:uid="{00000000-0004-0000-0000-00006A010000}"/>
    <hyperlink ref="H365" r:id="rId364" xr:uid="{00000000-0004-0000-0000-00006B010000}"/>
    <hyperlink ref="H366" r:id="rId365" xr:uid="{00000000-0004-0000-0000-00006C010000}"/>
    <hyperlink ref="H367" r:id="rId366" xr:uid="{00000000-0004-0000-0000-00006D010000}"/>
    <hyperlink ref="H368" r:id="rId367" xr:uid="{00000000-0004-0000-0000-00006E010000}"/>
    <hyperlink ref="H369" r:id="rId368" xr:uid="{00000000-0004-0000-0000-00006F010000}"/>
    <hyperlink ref="H370" r:id="rId369" xr:uid="{00000000-0004-0000-0000-000070010000}"/>
    <hyperlink ref="H371" r:id="rId370" xr:uid="{00000000-0004-0000-0000-000071010000}"/>
    <hyperlink ref="H372" r:id="rId371" xr:uid="{00000000-0004-0000-0000-000072010000}"/>
    <hyperlink ref="H373" r:id="rId372" xr:uid="{00000000-0004-0000-0000-000073010000}"/>
    <hyperlink ref="H374" r:id="rId373" xr:uid="{00000000-0004-0000-0000-000074010000}"/>
    <hyperlink ref="H375" r:id="rId374" xr:uid="{00000000-0004-0000-0000-000075010000}"/>
    <hyperlink ref="H376" r:id="rId375" xr:uid="{00000000-0004-0000-0000-000076010000}"/>
    <hyperlink ref="H377" r:id="rId376" xr:uid="{00000000-0004-0000-0000-000077010000}"/>
    <hyperlink ref="H378" r:id="rId377" xr:uid="{00000000-0004-0000-0000-000078010000}"/>
    <hyperlink ref="H379" r:id="rId378" xr:uid="{00000000-0004-0000-0000-000079010000}"/>
    <hyperlink ref="H380" r:id="rId379" xr:uid="{00000000-0004-0000-0000-00007A010000}"/>
    <hyperlink ref="H381" r:id="rId380" xr:uid="{00000000-0004-0000-0000-00007B010000}"/>
    <hyperlink ref="H382" r:id="rId381" xr:uid="{00000000-0004-0000-0000-00007C010000}"/>
    <hyperlink ref="H383" r:id="rId382" xr:uid="{00000000-0004-0000-0000-00007D010000}"/>
    <hyperlink ref="H384" r:id="rId383" xr:uid="{00000000-0004-0000-0000-00007E010000}"/>
    <hyperlink ref="H385" r:id="rId384" xr:uid="{00000000-0004-0000-0000-00007F010000}"/>
    <hyperlink ref="H386" r:id="rId385" xr:uid="{00000000-0004-0000-0000-000080010000}"/>
    <hyperlink ref="H387" r:id="rId386" xr:uid="{00000000-0004-0000-0000-000081010000}"/>
    <hyperlink ref="H388" r:id="rId387" xr:uid="{00000000-0004-0000-0000-000082010000}"/>
    <hyperlink ref="H389" r:id="rId388" xr:uid="{00000000-0004-0000-0000-000083010000}"/>
    <hyperlink ref="H390" r:id="rId389" xr:uid="{00000000-0004-0000-0000-000084010000}"/>
    <hyperlink ref="H391" r:id="rId390" xr:uid="{00000000-0004-0000-0000-000085010000}"/>
    <hyperlink ref="H392" r:id="rId391" xr:uid="{00000000-0004-0000-0000-000086010000}"/>
    <hyperlink ref="H393" r:id="rId392" xr:uid="{00000000-0004-0000-0000-000087010000}"/>
    <hyperlink ref="H394" r:id="rId393" xr:uid="{00000000-0004-0000-0000-000088010000}"/>
    <hyperlink ref="H395" r:id="rId394" xr:uid="{00000000-0004-0000-0000-000089010000}"/>
    <hyperlink ref="H396" r:id="rId395" xr:uid="{00000000-0004-0000-0000-00008A010000}"/>
    <hyperlink ref="H397" r:id="rId396" xr:uid="{00000000-0004-0000-0000-00008B010000}"/>
    <hyperlink ref="H398" r:id="rId397" xr:uid="{00000000-0004-0000-0000-00008C010000}"/>
    <hyperlink ref="H399" r:id="rId398" xr:uid="{00000000-0004-0000-0000-00008D010000}"/>
    <hyperlink ref="H400" r:id="rId399" xr:uid="{00000000-0004-0000-0000-00008E010000}"/>
    <hyperlink ref="H401" r:id="rId400" xr:uid="{00000000-0004-0000-0000-00008F010000}"/>
    <hyperlink ref="H402" r:id="rId401" xr:uid="{00000000-0004-0000-0000-000090010000}"/>
    <hyperlink ref="H403" r:id="rId402" xr:uid="{00000000-0004-0000-0000-000091010000}"/>
    <hyperlink ref="H404" r:id="rId403" xr:uid="{00000000-0004-0000-0000-000092010000}"/>
    <hyperlink ref="H405" r:id="rId404" xr:uid="{00000000-0004-0000-0000-000093010000}"/>
    <hyperlink ref="H406" r:id="rId405" xr:uid="{00000000-0004-0000-0000-000094010000}"/>
    <hyperlink ref="H407" r:id="rId406" xr:uid="{00000000-0004-0000-0000-000095010000}"/>
    <hyperlink ref="H408" r:id="rId407" xr:uid="{00000000-0004-0000-0000-000096010000}"/>
    <hyperlink ref="H409" r:id="rId408" xr:uid="{00000000-0004-0000-0000-000097010000}"/>
    <hyperlink ref="H410" r:id="rId409" xr:uid="{00000000-0004-0000-0000-000098010000}"/>
    <hyperlink ref="H411" r:id="rId410" xr:uid="{00000000-0004-0000-0000-000099010000}"/>
    <hyperlink ref="H412" r:id="rId411" xr:uid="{00000000-0004-0000-0000-00009A010000}"/>
    <hyperlink ref="H413" r:id="rId412" xr:uid="{00000000-0004-0000-0000-00009B010000}"/>
    <hyperlink ref="H414" r:id="rId413" xr:uid="{00000000-0004-0000-0000-00009C010000}"/>
    <hyperlink ref="H415" r:id="rId414" xr:uid="{00000000-0004-0000-0000-00009D010000}"/>
    <hyperlink ref="H416" r:id="rId415" xr:uid="{00000000-0004-0000-0000-00009E010000}"/>
    <hyperlink ref="H417" r:id="rId416" xr:uid="{00000000-0004-0000-0000-00009F010000}"/>
    <hyperlink ref="H418" r:id="rId417" xr:uid="{00000000-0004-0000-0000-0000A0010000}"/>
    <hyperlink ref="H419" r:id="rId418" xr:uid="{00000000-0004-0000-0000-0000A1010000}"/>
    <hyperlink ref="H420" r:id="rId419" xr:uid="{00000000-0004-0000-0000-0000A2010000}"/>
    <hyperlink ref="H421" r:id="rId420" xr:uid="{00000000-0004-0000-0000-0000A3010000}"/>
    <hyperlink ref="H422" r:id="rId421" xr:uid="{00000000-0004-0000-0000-0000A4010000}"/>
    <hyperlink ref="H423" r:id="rId422" xr:uid="{00000000-0004-0000-0000-0000A5010000}"/>
    <hyperlink ref="H424" r:id="rId423" xr:uid="{00000000-0004-0000-0000-0000A6010000}"/>
    <hyperlink ref="H425" r:id="rId424" xr:uid="{00000000-0004-0000-0000-0000A7010000}"/>
    <hyperlink ref="H426" r:id="rId425" xr:uid="{00000000-0004-0000-0000-0000A8010000}"/>
    <hyperlink ref="H427" r:id="rId426" xr:uid="{00000000-0004-0000-0000-0000A9010000}"/>
    <hyperlink ref="H428" r:id="rId427" xr:uid="{00000000-0004-0000-0000-0000AA010000}"/>
    <hyperlink ref="H429" r:id="rId428" xr:uid="{00000000-0004-0000-0000-0000AB010000}"/>
    <hyperlink ref="H430" r:id="rId429" xr:uid="{00000000-0004-0000-0000-0000AC010000}"/>
    <hyperlink ref="H431" r:id="rId430" xr:uid="{00000000-0004-0000-0000-0000AD010000}"/>
    <hyperlink ref="H432" r:id="rId431" xr:uid="{00000000-0004-0000-0000-0000AE010000}"/>
    <hyperlink ref="H433" r:id="rId432" xr:uid="{00000000-0004-0000-0000-0000AF010000}"/>
    <hyperlink ref="H434" r:id="rId433" xr:uid="{00000000-0004-0000-0000-0000B0010000}"/>
    <hyperlink ref="H435" r:id="rId434" xr:uid="{00000000-0004-0000-0000-0000B1010000}"/>
    <hyperlink ref="H436" r:id="rId435" xr:uid="{00000000-0004-0000-0000-0000B2010000}"/>
    <hyperlink ref="H437" r:id="rId436" xr:uid="{00000000-0004-0000-0000-0000B3010000}"/>
    <hyperlink ref="H438" r:id="rId437" xr:uid="{00000000-0004-0000-0000-0000B4010000}"/>
    <hyperlink ref="H439" r:id="rId438" xr:uid="{00000000-0004-0000-0000-0000B5010000}"/>
    <hyperlink ref="H440" r:id="rId439" xr:uid="{00000000-0004-0000-0000-0000B6010000}"/>
    <hyperlink ref="H441" r:id="rId440" xr:uid="{00000000-0004-0000-0000-0000B7010000}"/>
    <hyperlink ref="H442" r:id="rId441" xr:uid="{00000000-0004-0000-0000-0000B8010000}"/>
    <hyperlink ref="H443" r:id="rId442" xr:uid="{00000000-0004-0000-0000-0000B9010000}"/>
    <hyperlink ref="H444" r:id="rId443" xr:uid="{00000000-0004-0000-0000-0000BA010000}"/>
    <hyperlink ref="H445" r:id="rId444" xr:uid="{00000000-0004-0000-0000-0000BB010000}"/>
    <hyperlink ref="H446" r:id="rId445" xr:uid="{00000000-0004-0000-0000-0000BC010000}"/>
    <hyperlink ref="H447" r:id="rId446" xr:uid="{00000000-0004-0000-0000-0000BD010000}"/>
    <hyperlink ref="H448" r:id="rId447" xr:uid="{00000000-0004-0000-0000-0000BE010000}"/>
    <hyperlink ref="H449" r:id="rId448" xr:uid="{00000000-0004-0000-0000-0000BF010000}"/>
    <hyperlink ref="H450" r:id="rId449" xr:uid="{00000000-0004-0000-0000-0000C0010000}"/>
    <hyperlink ref="H451" r:id="rId450" xr:uid="{00000000-0004-0000-0000-0000C1010000}"/>
    <hyperlink ref="H452" r:id="rId451" xr:uid="{00000000-0004-0000-0000-0000C2010000}"/>
    <hyperlink ref="H453" r:id="rId452" xr:uid="{00000000-0004-0000-0000-0000C3010000}"/>
    <hyperlink ref="H454" r:id="rId453" xr:uid="{00000000-0004-0000-0000-0000C4010000}"/>
    <hyperlink ref="H455" r:id="rId454" xr:uid="{00000000-0004-0000-0000-0000C5010000}"/>
    <hyperlink ref="H456" r:id="rId455" xr:uid="{00000000-0004-0000-0000-0000C6010000}"/>
    <hyperlink ref="H457" r:id="rId456" xr:uid="{00000000-0004-0000-0000-0000C7010000}"/>
    <hyperlink ref="H458" r:id="rId457" xr:uid="{00000000-0004-0000-0000-0000C8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34A29-A7D0-4904-85BD-D1B11CB264A1}">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1476-E97E-499F-88F3-A52976603E96}">
  <sheetPr filterMode="1"/>
  <dimension ref="A1:K458"/>
  <sheetViews>
    <sheetView workbookViewId="0"/>
  </sheetViews>
  <sheetFormatPr defaultRowHeight="15" x14ac:dyDescent="0.25"/>
  <cols>
    <col min="1" max="1" width="19.5703125" bestFit="1" customWidth="1"/>
    <col min="2" max="2" width="15.42578125" bestFit="1" customWidth="1"/>
    <col min="3" max="3" width="37" bestFit="1" customWidth="1"/>
    <col min="4" max="4" width="43.42578125" bestFit="1" customWidth="1"/>
    <col min="5" max="5" width="71.7109375" bestFit="1" customWidth="1"/>
    <col min="7" max="7" width="255.7109375" bestFit="1" customWidth="1"/>
    <col min="8" max="8" width="11.42578125" bestFit="1" customWidth="1"/>
    <col min="9" max="9" width="183" bestFit="1" customWidth="1"/>
    <col min="10" max="11" width="12.42578125" bestFit="1" customWidth="1"/>
  </cols>
  <sheetData>
    <row r="1" spans="1:11" x14ac:dyDescent="0.25">
      <c r="A1" t="s">
        <v>53</v>
      </c>
      <c r="B1" t="s">
        <v>5</v>
      </c>
      <c r="C1" t="s">
        <v>7</v>
      </c>
      <c r="D1" t="s">
        <v>8</v>
      </c>
      <c r="E1" t="s">
        <v>55</v>
      </c>
      <c r="F1" t="s">
        <v>5630</v>
      </c>
      <c r="G1" t="s">
        <v>5631</v>
      </c>
      <c r="H1" t="s">
        <v>5632</v>
      </c>
      <c r="I1" t="s">
        <v>5633</v>
      </c>
      <c r="J1" t="s">
        <v>5724</v>
      </c>
      <c r="K1" t="s">
        <v>5725</v>
      </c>
    </row>
    <row r="2" spans="1:11" hidden="1" x14ac:dyDescent="0.25">
      <c r="A2" t="s">
        <v>67</v>
      </c>
      <c r="B2">
        <v>46624198087</v>
      </c>
      <c r="C2" t="s">
        <v>71</v>
      </c>
      <c r="D2" t="s">
        <v>70</v>
      </c>
      <c r="E2" t="s">
        <v>78</v>
      </c>
      <c r="F2" t="s">
        <v>5634</v>
      </c>
      <c r="G2" t="s">
        <v>5635</v>
      </c>
      <c r="H2" t="s">
        <v>5634</v>
      </c>
      <c r="I2" t="s">
        <v>5636</v>
      </c>
      <c r="J2" t="b">
        <f>VLOOKUP(A2,'Demanda Bruta'!A:BF,58,0)</f>
        <v>1</v>
      </c>
      <c r="K2" t="b">
        <f>IF(IF(H2="Sim",TRUE,FALSE)=J2,TRUE,FALSE)</f>
        <v>1</v>
      </c>
    </row>
    <row r="3" spans="1:11" hidden="1" x14ac:dyDescent="0.25">
      <c r="A3" t="s">
        <v>99</v>
      </c>
      <c r="B3">
        <v>80777376504</v>
      </c>
      <c r="C3" t="s">
        <v>102</v>
      </c>
      <c r="D3" t="s">
        <v>101</v>
      </c>
      <c r="E3" t="s">
        <v>109</v>
      </c>
      <c r="F3" t="s">
        <v>5637</v>
      </c>
      <c r="G3" t="s">
        <v>5638</v>
      </c>
      <c r="H3" t="s">
        <v>5637</v>
      </c>
      <c r="I3" t="s">
        <v>5639</v>
      </c>
      <c r="J3" t="b">
        <f>VLOOKUP(A3,'Demanda Bruta'!A:BF,58,0)</f>
        <v>0</v>
      </c>
      <c r="K3" t="b">
        <f t="shared" ref="K3:K66" si="0">IF(IF(H3="Sim",TRUE,FALSE)=J3,TRUE,FALSE)</f>
        <v>1</v>
      </c>
    </row>
    <row r="4" spans="1:11" hidden="1" x14ac:dyDescent="0.25">
      <c r="A4" t="s">
        <v>121</v>
      </c>
      <c r="B4">
        <v>2837590703</v>
      </c>
      <c r="C4" t="s">
        <v>124</v>
      </c>
      <c r="D4" t="s">
        <v>123</v>
      </c>
      <c r="E4" t="s">
        <v>131</v>
      </c>
      <c r="F4" t="s">
        <v>5637</v>
      </c>
      <c r="G4" t="s">
        <v>5640</v>
      </c>
      <c r="H4" t="s">
        <v>5637</v>
      </c>
      <c r="I4" t="s">
        <v>5639</v>
      </c>
      <c r="J4" t="b">
        <f>VLOOKUP(A4,'Demanda Bruta'!A:BF,58,0)</f>
        <v>0</v>
      </c>
      <c r="K4" t="b">
        <f t="shared" si="0"/>
        <v>1</v>
      </c>
    </row>
    <row r="5" spans="1:11" hidden="1" x14ac:dyDescent="0.25">
      <c r="A5" t="s">
        <v>143</v>
      </c>
      <c r="B5">
        <v>72842792653</v>
      </c>
      <c r="C5" t="s">
        <v>146</v>
      </c>
      <c r="D5" t="s">
        <v>145</v>
      </c>
      <c r="E5" t="s">
        <v>78</v>
      </c>
      <c r="F5" t="s">
        <v>5634</v>
      </c>
      <c r="G5" t="s">
        <v>5635</v>
      </c>
      <c r="H5" t="s">
        <v>5634</v>
      </c>
      <c r="I5" t="s">
        <v>5636</v>
      </c>
      <c r="J5" t="b">
        <f>VLOOKUP(A5,'Demanda Bruta'!A:BF,58,0)</f>
        <v>1</v>
      </c>
      <c r="K5" t="b">
        <f t="shared" si="0"/>
        <v>1</v>
      </c>
    </row>
    <row r="6" spans="1:11" hidden="1" x14ac:dyDescent="0.25">
      <c r="A6" t="s">
        <v>155</v>
      </c>
      <c r="B6">
        <v>56038496220</v>
      </c>
      <c r="C6" t="s">
        <v>158</v>
      </c>
      <c r="D6" t="s">
        <v>157</v>
      </c>
      <c r="E6" t="s">
        <v>164</v>
      </c>
      <c r="F6" t="s">
        <v>5637</v>
      </c>
      <c r="G6" t="s">
        <v>5641</v>
      </c>
      <c r="H6" t="s">
        <v>5637</v>
      </c>
      <c r="I6" t="s">
        <v>5639</v>
      </c>
      <c r="J6" t="b">
        <f>VLOOKUP(A6,'Demanda Bruta'!A:BF,58,0)</f>
        <v>0</v>
      </c>
      <c r="K6" t="b">
        <f t="shared" si="0"/>
        <v>1</v>
      </c>
    </row>
    <row r="7" spans="1:11" hidden="1" x14ac:dyDescent="0.25">
      <c r="A7" t="s">
        <v>173</v>
      </c>
      <c r="B7">
        <v>11464843805</v>
      </c>
      <c r="C7" t="s">
        <v>176</v>
      </c>
      <c r="D7" t="s">
        <v>175</v>
      </c>
      <c r="E7" t="s">
        <v>182</v>
      </c>
      <c r="F7" t="s">
        <v>5634</v>
      </c>
      <c r="G7" t="s">
        <v>5635</v>
      </c>
      <c r="H7" t="s">
        <v>5634</v>
      </c>
      <c r="I7" t="s">
        <v>5636</v>
      </c>
      <c r="J7" t="b">
        <f>VLOOKUP(A7,'Demanda Bruta'!A:BF,58,0)</f>
        <v>1</v>
      </c>
      <c r="K7" t="b">
        <f t="shared" si="0"/>
        <v>1</v>
      </c>
    </row>
    <row r="8" spans="1:11" hidden="1" x14ac:dyDescent="0.25">
      <c r="A8" t="s">
        <v>193</v>
      </c>
      <c r="B8">
        <v>5462482680</v>
      </c>
      <c r="C8" t="s">
        <v>196</v>
      </c>
      <c r="D8" t="s">
        <v>195</v>
      </c>
      <c r="E8" t="s">
        <v>182</v>
      </c>
      <c r="F8" t="s">
        <v>5634</v>
      </c>
      <c r="G8" t="s">
        <v>5635</v>
      </c>
      <c r="H8" t="s">
        <v>5634</v>
      </c>
      <c r="I8" t="s">
        <v>5636</v>
      </c>
      <c r="J8" t="b">
        <f>VLOOKUP(A8,'Demanda Bruta'!A:BF,58,0)</f>
        <v>1</v>
      </c>
      <c r="K8" t="b">
        <f t="shared" si="0"/>
        <v>1</v>
      </c>
    </row>
    <row r="9" spans="1:11" hidden="1" x14ac:dyDescent="0.25">
      <c r="A9" t="s">
        <v>208</v>
      </c>
      <c r="B9">
        <v>7730923742</v>
      </c>
      <c r="C9" t="s">
        <v>211</v>
      </c>
      <c r="D9" t="s">
        <v>210</v>
      </c>
      <c r="E9" t="s">
        <v>78</v>
      </c>
      <c r="F9" t="s">
        <v>5634</v>
      </c>
      <c r="G9" t="s">
        <v>5635</v>
      </c>
      <c r="H9" t="s">
        <v>5634</v>
      </c>
      <c r="I9" t="s">
        <v>5636</v>
      </c>
      <c r="J9" t="b">
        <f>VLOOKUP(A9,'Demanda Bruta'!A:BF,58,0)</f>
        <v>1</v>
      </c>
      <c r="K9" t="b">
        <f t="shared" si="0"/>
        <v>1</v>
      </c>
    </row>
    <row r="10" spans="1:11" hidden="1" x14ac:dyDescent="0.25">
      <c r="A10" t="s">
        <v>222</v>
      </c>
      <c r="B10">
        <v>2786029678</v>
      </c>
      <c r="C10" t="s">
        <v>225</v>
      </c>
      <c r="D10" t="s">
        <v>224</v>
      </c>
      <c r="E10" t="s">
        <v>232</v>
      </c>
      <c r="F10" t="s">
        <v>5637</v>
      </c>
      <c r="G10" t="s">
        <v>5642</v>
      </c>
      <c r="H10" t="s">
        <v>5637</v>
      </c>
      <c r="I10" t="s">
        <v>5639</v>
      </c>
      <c r="J10" t="b">
        <f>VLOOKUP(A10,'Demanda Bruta'!A:BF,58,0)</f>
        <v>0</v>
      </c>
      <c r="K10" t="b">
        <f t="shared" si="0"/>
        <v>1</v>
      </c>
    </row>
    <row r="11" spans="1:11" hidden="1" x14ac:dyDescent="0.25">
      <c r="A11" t="s">
        <v>243</v>
      </c>
      <c r="B11">
        <v>42437784268</v>
      </c>
      <c r="C11" t="s">
        <v>246</v>
      </c>
      <c r="D11" t="s">
        <v>245</v>
      </c>
      <c r="E11" t="s">
        <v>78</v>
      </c>
      <c r="F11" t="s">
        <v>5634</v>
      </c>
      <c r="G11" t="s">
        <v>5635</v>
      </c>
      <c r="H11" t="s">
        <v>5634</v>
      </c>
      <c r="I11" t="s">
        <v>5636</v>
      </c>
      <c r="J11" t="b">
        <f>VLOOKUP(A11,'Demanda Bruta'!A:BF,58,0)</f>
        <v>1</v>
      </c>
      <c r="K11" t="b">
        <f t="shared" si="0"/>
        <v>1</v>
      </c>
    </row>
    <row r="12" spans="1:11" hidden="1" x14ac:dyDescent="0.25">
      <c r="A12" t="s">
        <v>258</v>
      </c>
      <c r="B12">
        <v>87302128715</v>
      </c>
      <c r="C12" t="s">
        <v>261</v>
      </c>
      <c r="D12" t="s">
        <v>260</v>
      </c>
      <c r="E12" t="s">
        <v>265</v>
      </c>
      <c r="F12" t="s">
        <v>5634</v>
      </c>
      <c r="G12" t="s">
        <v>5635</v>
      </c>
      <c r="H12" t="s">
        <v>5634</v>
      </c>
      <c r="I12" t="s">
        <v>5636</v>
      </c>
      <c r="J12" t="b">
        <f>VLOOKUP(A12,'Demanda Bruta'!A:BF,58,0)</f>
        <v>1</v>
      </c>
      <c r="K12" t="b">
        <f t="shared" si="0"/>
        <v>1</v>
      </c>
    </row>
    <row r="13" spans="1:11" hidden="1" x14ac:dyDescent="0.25">
      <c r="A13" t="s">
        <v>274</v>
      </c>
      <c r="B13">
        <v>80900402849</v>
      </c>
      <c r="C13" t="s">
        <v>277</v>
      </c>
      <c r="D13" t="s">
        <v>276</v>
      </c>
      <c r="E13" t="s">
        <v>281</v>
      </c>
      <c r="F13" t="s">
        <v>5637</v>
      </c>
      <c r="G13" t="s">
        <v>5643</v>
      </c>
      <c r="H13" t="s">
        <v>5637</v>
      </c>
      <c r="I13" t="s">
        <v>5639</v>
      </c>
      <c r="J13" t="b">
        <f>VLOOKUP(A13,'Demanda Bruta'!A:BF,58,0)</f>
        <v>0</v>
      </c>
      <c r="K13" t="b">
        <f t="shared" si="0"/>
        <v>1</v>
      </c>
    </row>
    <row r="14" spans="1:11" hidden="1" x14ac:dyDescent="0.25">
      <c r="A14" t="s">
        <v>289</v>
      </c>
      <c r="B14">
        <v>38692799823</v>
      </c>
      <c r="C14" t="s">
        <v>292</v>
      </c>
      <c r="D14" t="s">
        <v>291</v>
      </c>
      <c r="E14" t="s">
        <v>298</v>
      </c>
      <c r="F14" t="s">
        <v>5637</v>
      </c>
      <c r="G14" t="s">
        <v>5644</v>
      </c>
      <c r="H14" t="s">
        <v>5637</v>
      </c>
      <c r="I14" t="s">
        <v>5639</v>
      </c>
      <c r="J14" t="b">
        <f>VLOOKUP(A14,'Demanda Bruta'!A:BF,58,0)</f>
        <v>0</v>
      </c>
      <c r="K14" t="b">
        <f t="shared" si="0"/>
        <v>1</v>
      </c>
    </row>
    <row r="15" spans="1:11" hidden="1" x14ac:dyDescent="0.25">
      <c r="A15" t="s">
        <v>307</v>
      </c>
      <c r="B15">
        <v>2755828684</v>
      </c>
      <c r="C15" t="s">
        <v>310</v>
      </c>
      <c r="D15" t="s">
        <v>309</v>
      </c>
      <c r="E15" t="s">
        <v>314</v>
      </c>
      <c r="F15" t="s">
        <v>5637</v>
      </c>
      <c r="G15" t="s">
        <v>5645</v>
      </c>
      <c r="H15" t="s">
        <v>5637</v>
      </c>
      <c r="I15" t="s">
        <v>5639</v>
      </c>
      <c r="J15" t="b">
        <f>VLOOKUP(A15,'Demanda Bruta'!A:BF,58,0)</f>
        <v>0</v>
      </c>
      <c r="K15" t="b">
        <f t="shared" si="0"/>
        <v>1</v>
      </c>
    </row>
    <row r="16" spans="1:11" hidden="1" x14ac:dyDescent="0.25">
      <c r="A16" t="s">
        <v>322</v>
      </c>
      <c r="B16">
        <v>16515740816</v>
      </c>
      <c r="C16" t="s">
        <v>325</v>
      </c>
      <c r="D16" t="s">
        <v>324</v>
      </c>
      <c r="E16" t="s">
        <v>331</v>
      </c>
      <c r="F16" t="s">
        <v>5634</v>
      </c>
      <c r="G16" t="s">
        <v>5635</v>
      </c>
      <c r="H16" t="s">
        <v>5634</v>
      </c>
      <c r="I16" t="s">
        <v>5636</v>
      </c>
      <c r="J16" t="b">
        <f>VLOOKUP(A16,'Demanda Bruta'!A:BF,58,0)</f>
        <v>1</v>
      </c>
      <c r="K16" t="b">
        <f t="shared" si="0"/>
        <v>1</v>
      </c>
    </row>
    <row r="17" spans="1:11" hidden="1" x14ac:dyDescent="0.25">
      <c r="A17" t="s">
        <v>340</v>
      </c>
      <c r="B17">
        <v>5019430641</v>
      </c>
      <c r="C17" t="s">
        <v>343</v>
      </c>
      <c r="D17" t="s">
        <v>342</v>
      </c>
      <c r="E17" t="s">
        <v>346</v>
      </c>
      <c r="F17" t="s">
        <v>5637</v>
      </c>
      <c r="G17" t="s">
        <v>5646</v>
      </c>
      <c r="H17" t="s">
        <v>5637</v>
      </c>
      <c r="I17" t="s">
        <v>5639</v>
      </c>
      <c r="J17" t="b">
        <f>VLOOKUP(A17,'Demanda Bruta'!A:BF,58,0)</f>
        <v>0</v>
      </c>
      <c r="K17" t="b">
        <f t="shared" si="0"/>
        <v>1</v>
      </c>
    </row>
    <row r="18" spans="1:11" hidden="1" x14ac:dyDescent="0.25">
      <c r="A18" t="s">
        <v>353</v>
      </c>
      <c r="B18">
        <v>3585876706</v>
      </c>
      <c r="C18" t="s">
        <v>356</v>
      </c>
      <c r="D18" t="s">
        <v>355</v>
      </c>
      <c r="E18" t="s">
        <v>362</v>
      </c>
      <c r="F18" t="s">
        <v>5634</v>
      </c>
      <c r="G18" t="s">
        <v>5635</v>
      </c>
      <c r="H18" t="s">
        <v>5634</v>
      </c>
      <c r="I18" t="s">
        <v>5636</v>
      </c>
      <c r="J18" t="b">
        <f>VLOOKUP(A18,'Demanda Bruta'!A:BF,58,0)</f>
        <v>1</v>
      </c>
      <c r="K18" t="b">
        <f t="shared" si="0"/>
        <v>1</v>
      </c>
    </row>
    <row r="19" spans="1:11" hidden="1" x14ac:dyDescent="0.25">
      <c r="A19" t="s">
        <v>371</v>
      </c>
      <c r="B19">
        <v>5137625825</v>
      </c>
      <c r="C19" t="s">
        <v>374</v>
      </c>
      <c r="D19" t="s">
        <v>373</v>
      </c>
      <c r="E19" t="s">
        <v>182</v>
      </c>
      <c r="F19" t="s">
        <v>5634</v>
      </c>
      <c r="G19" t="s">
        <v>5635</v>
      </c>
      <c r="H19" t="s">
        <v>5634</v>
      </c>
      <c r="I19" t="s">
        <v>5636</v>
      </c>
      <c r="J19" t="b">
        <f>VLOOKUP(A19,'Demanda Bruta'!A:BF,58,0)</f>
        <v>1</v>
      </c>
      <c r="K19" t="b">
        <f t="shared" si="0"/>
        <v>1</v>
      </c>
    </row>
    <row r="20" spans="1:11" hidden="1" x14ac:dyDescent="0.25">
      <c r="A20" t="s">
        <v>383</v>
      </c>
      <c r="B20">
        <v>16756902865</v>
      </c>
      <c r="C20" t="s">
        <v>386</v>
      </c>
      <c r="D20" t="s">
        <v>385</v>
      </c>
      <c r="E20" t="s">
        <v>281</v>
      </c>
      <c r="F20" t="s">
        <v>5634</v>
      </c>
      <c r="G20" t="s">
        <v>5635</v>
      </c>
      <c r="H20" t="s">
        <v>5634</v>
      </c>
      <c r="I20" t="s">
        <v>5636</v>
      </c>
      <c r="J20" t="b">
        <f>VLOOKUP(A20,'Demanda Bruta'!A:BF,58,0)</f>
        <v>1</v>
      </c>
      <c r="K20" t="b">
        <f t="shared" si="0"/>
        <v>1</v>
      </c>
    </row>
    <row r="21" spans="1:11" hidden="1" x14ac:dyDescent="0.25">
      <c r="A21" t="s">
        <v>397</v>
      </c>
      <c r="B21">
        <v>53431685234</v>
      </c>
      <c r="C21" t="s">
        <v>400</v>
      </c>
      <c r="D21" t="s">
        <v>399</v>
      </c>
      <c r="E21" t="s">
        <v>362</v>
      </c>
      <c r="F21" t="s">
        <v>5634</v>
      </c>
      <c r="G21" t="s">
        <v>5635</v>
      </c>
      <c r="H21" t="s">
        <v>5634</v>
      </c>
      <c r="I21" t="s">
        <v>5636</v>
      </c>
      <c r="J21" t="b">
        <f>VLOOKUP(A21,'Demanda Bruta'!A:BF,58,0)</f>
        <v>1</v>
      </c>
      <c r="K21" t="b">
        <f t="shared" si="0"/>
        <v>1</v>
      </c>
    </row>
    <row r="22" spans="1:11" hidden="1" x14ac:dyDescent="0.25">
      <c r="A22" t="s">
        <v>408</v>
      </c>
      <c r="B22">
        <v>9471587824</v>
      </c>
      <c r="C22" t="s">
        <v>411</v>
      </c>
      <c r="D22" t="s">
        <v>410</v>
      </c>
      <c r="E22" t="s">
        <v>331</v>
      </c>
      <c r="F22" t="s">
        <v>5634</v>
      </c>
      <c r="G22" t="s">
        <v>5635</v>
      </c>
      <c r="H22" t="s">
        <v>5634</v>
      </c>
      <c r="I22" t="s">
        <v>5636</v>
      </c>
      <c r="J22" t="b">
        <f>VLOOKUP(A22,'Demanda Bruta'!A:BF,58,0)</f>
        <v>1</v>
      </c>
      <c r="K22" t="b">
        <f t="shared" si="0"/>
        <v>1</v>
      </c>
    </row>
    <row r="23" spans="1:11" hidden="1" x14ac:dyDescent="0.25">
      <c r="A23" t="s">
        <v>421</v>
      </c>
      <c r="B23">
        <v>27021726600</v>
      </c>
      <c r="C23" t="s">
        <v>424</v>
      </c>
      <c r="D23" t="s">
        <v>423</v>
      </c>
      <c r="E23" t="s">
        <v>182</v>
      </c>
      <c r="F23" t="s">
        <v>5634</v>
      </c>
      <c r="G23" t="s">
        <v>5635</v>
      </c>
      <c r="H23" t="s">
        <v>5634</v>
      </c>
      <c r="I23" t="s">
        <v>5636</v>
      </c>
      <c r="J23" t="b">
        <f>VLOOKUP(A23,'Demanda Bruta'!A:BF,58,0)</f>
        <v>1</v>
      </c>
      <c r="K23" t="b">
        <f t="shared" si="0"/>
        <v>1</v>
      </c>
    </row>
    <row r="24" spans="1:11" hidden="1" x14ac:dyDescent="0.25">
      <c r="A24" t="s">
        <v>433</v>
      </c>
      <c r="B24">
        <v>72952229287</v>
      </c>
      <c r="C24" t="s">
        <v>436</v>
      </c>
      <c r="D24" t="s">
        <v>435</v>
      </c>
      <c r="E24" t="s">
        <v>362</v>
      </c>
      <c r="F24" t="s">
        <v>5634</v>
      </c>
      <c r="G24" t="s">
        <v>5635</v>
      </c>
      <c r="H24" t="s">
        <v>5634</v>
      </c>
      <c r="I24" t="s">
        <v>5636</v>
      </c>
      <c r="J24" t="b">
        <f>VLOOKUP(A24,'Demanda Bruta'!A:BF,58,0)</f>
        <v>1</v>
      </c>
      <c r="K24" t="b">
        <f t="shared" si="0"/>
        <v>1</v>
      </c>
    </row>
    <row r="25" spans="1:11" hidden="1" x14ac:dyDescent="0.25">
      <c r="A25" t="s">
        <v>446</v>
      </c>
      <c r="B25">
        <v>13881249800</v>
      </c>
      <c r="C25" t="s">
        <v>449</v>
      </c>
      <c r="D25" t="s">
        <v>448</v>
      </c>
      <c r="E25" t="s">
        <v>456</v>
      </c>
      <c r="F25" t="s">
        <v>5637</v>
      </c>
      <c r="G25" t="s">
        <v>5647</v>
      </c>
      <c r="H25" t="s">
        <v>5637</v>
      </c>
      <c r="I25" t="s">
        <v>5639</v>
      </c>
      <c r="J25" t="b">
        <f>VLOOKUP(A25,'Demanda Bruta'!A:BF,58,0)</f>
        <v>0</v>
      </c>
      <c r="K25" t="b">
        <f t="shared" si="0"/>
        <v>1</v>
      </c>
    </row>
    <row r="26" spans="1:11" hidden="1" x14ac:dyDescent="0.25">
      <c r="A26" t="s">
        <v>465</v>
      </c>
      <c r="B26">
        <v>59264594000</v>
      </c>
      <c r="C26" t="s">
        <v>468</v>
      </c>
      <c r="D26" t="s">
        <v>467</v>
      </c>
      <c r="E26" t="s">
        <v>331</v>
      </c>
      <c r="F26" t="s">
        <v>5634</v>
      </c>
      <c r="G26" t="s">
        <v>5635</v>
      </c>
      <c r="H26" t="s">
        <v>5634</v>
      </c>
      <c r="I26" t="s">
        <v>5636</v>
      </c>
      <c r="J26" t="b">
        <f>VLOOKUP(A26,'Demanda Bruta'!A:BF,58,0)</f>
        <v>1</v>
      </c>
      <c r="K26" t="b">
        <f t="shared" si="0"/>
        <v>1</v>
      </c>
    </row>
    <row r="27" spans="1:11" hidden="1" x14ac:dyDescent="0.25">
      <c r="A27" t="s">
        <v>477</v>
      </c>
      <c r="B27">
        <v>48882291200</v>
      </c>
      <c r="C27" t="s">
        <v>480</v>
      </c>
      <c r="D27" t="s">
        <v>479</v>
      </c>
      <c r="E27" t="s">
        <v>78</v>
      </c>
      <c r="F27" t="s">
        <v>5637</v>
      </c>
      <c r="G27" t="s">
        <v>5648</v>
      </c>
      <c r="H27" t="s">
        <v>5634</v>
      </c>
      <c r="I27" t="s">
        <v>5636</v>
      </c>
      <c r="J27" t="b">
        <f>VLOOKUP(A27,'Demanda Bruta'!A:BF,58,0)</f>
        <v>1</v>
      </c>
      <c r="K27" t="b">
        <f t="shared" si="0"/>
        <v>1</v>
      </c>
    </row>
    <row r="28" spans="1:11" hidden="1" x14ac:dyDescent="0.25">
      <c r="A28" t="s">
        <v>489</v>
      </c>
      <c r="B28">
        <v>26807621850</v>
      </c>
      <c r="C28" t="s">
        <v>492</v>
      </c>
      <c r="D28" t="s">
        <v>491</v>
      </c>
      <c r="E28" t="s">
        <v>281</v>
      </c>
      <c r="F28" t="s">
        <v>5634</v>
      </c>
      <c r="G28" t="s">
        <v>5635</v>
      </c>
      <c r="H28" t="s">
        <v>5634</v>
      </c>
      <c r="I28" t="s">
        <v>5636</v>
      </c>
      <c r="J28" t="b">
        <f>VLOOKUP(A28,'Demanda Bruta'!A:BF,58,0)</f>
        <v>1</v>
      </c>
      <c r="K28" t="b">
        <f t="shared" si="0"/>
        <v>1</v>
      </c>
    </row>
    <row r="29" spans="1:11" hidden="1" x14ac:dyDescent="0.25">
      <c r="A29" t="s">
        <v>501</v>
      </c>
      <c r="B29">
        <v>5426093717</v>
      </c>
      <c r="C29" t="s">
        <v>504</v>
      </c>
      <c r="D29" t="s">
        <v>503</v>
      </c>
      <c r="E29" t="s">
        <v>509</v>
      </c>
      <c r="F29" t="s">
        <v>5637</v>
      </c>
      <c r="G29" t="s">
        <v>5649</v>
      </c>
      <c r="H29" t="s">
        <v>5637</v>
      </c>
      <c r="I29" t="s">
        <v>5639</v>
      </c>
      <c r="J29" t="b">
        <f>VLOOKUP(A29,'Demanda Bruta'!A:BF,58,0)</f>
        <v>0</v>
      </c>
      <c r="K29" t="b">
        <f t="shared" si="0"/>
        <v>1</v>
      </c>
    </row>
    <row r="30" spans="1:11" hidden="1" x14ac:dyDescent="0.25">
      <c r="A30" t="s">
        <v>517</v>
      </c>
      <c r="B30">
        <v>5426093717</v>
      </c>
      <c r="C30" t="s">
        <v>504</v>
      </c>
      <c r="D30" t="s">
        <v>503</v>
      </c>
      <c r="E30" t="s">
        <v>509</v>
      </c>
      <c r="F30" t="s">
        <v>5637</v>
      </c>
      <c r="G30" t="s">
        <v>5649</v>
      </c>
      <c r="H30" t="s">
        <v>5637</v>
      </c>
      <c r="I30" t="s">
        <v>5639</v>
      </c>
      <c r="J30" t="b">
        <f>VLOOKUP(A30,'Demanda Bruta'!A:BF,58,0)</f>
        <v>0</v>
      </c>
      <c r="K30" t="b">
        <f t="shared" si="0"/>
        <v>1</v>
      </c>
    </row>
    <row r="31" spans="1:11" hidden="1" x14ac:dyDescent="0.25">
      <c r="A31" t="s">
        <v>521</v>
      </c>
      <c r="B31">
        <v>36893266804</v>
      </c>
      <c r="C31" t="s">
        <v>524</v>
      </c>
      <c r="D31" t="s">
        <v>523</v>
      </c>
      <c r="E31" t="s">
        <v>78</v>
      </c>
      <c r="F31" t="s">
        <v>5634</v>
      </c>
      <c r="G31" t="s">
        <v>5635</v>
      </c>
      <c r="H31" t="s">
        <v>5634</v>
      </c>
      <c r="I31" t="s">
        <v>5636</v>
      </c>
      <c r="J31" t="b">
        <f>VLOOKUP(A31,'Demanda Bruta'!A:BF,58,0)</f>
        <v>1</v>
      </c>
      <c r="K31" t="b">
        <f t="shared" si="0"/>
        <v>1</v>
      </c>
    </row>
    <row r="32" spans="1:11" hidden="1" x14ac:dyDescent="0.25">
      <c r="A32" t="s">
        <v>536</v>
      </c>
      <c r="B32">
        <v>3223856609</v>
      </c>
      <c r="C32" t="s">
        <v>539</v>
      </c>
      <c r="D32" t="s">
        <v>538</v>
      </c>
      <c r="E32" t="s">
        <v>545</v>
      </c>
      <c r="F32" t="s">
        <v>5637</v>
      </c>
      <c r="G32" t="s">
        <v>5650</v>
      </c>
      <c r="H32" t="s">
        <v>5637</v>
      </c>
      <c r="I32" t="s">
        <v>5639</v>
      </c>
      <c r="J32" t="b">
        <f>VLOOKUP(A32,'Demanda Bruta'!A:BF,58,0)</f>
        <v>0</v>
      </c>
      <c r="K32" t="b">
        <f t="shared" si="0"/>
        <v>1</v>
      </c>
    </row>
    <row r="33" spans="1:11" hidden="1" x14ac:dyDescent="0.25">
      <c r="A33" t="s">
        <v>553</v>
      </c>
      <c r="B33">
        <v>7510402824</v>
      </c>
      <c r="C33" t="s">
        <v>556</v>
      </c>
      <c r="D33" t="s">
        <v>555</v>
      </c>
      <c r="E33" t="s">
        <v>182</v>
      </c>
      <c r="F33" t="s">
        <v>5634</v>
      </c>
      <c r="G33" t="s">
        <v>5635</v>
      </c>
      <c r="H33" t="s">
        <v>5634</v>
      </c>
      <c r="I33" t="s">
        <v>5636</v>
      </c>
      <c r="J33" t="b">
        <f>VLOOKUP(A33,'Demanda Bruta'!A:BF,58,0)</f>
        <v>1</v>
      </c>
      <c r="K33" t="b">
        <f t="shared" si="0"/>
        <v>1</v>
      </c>
    </row>
    <row r="34" spans="1:11" hidden="1" x14ac:dyDescent="0.25">
      <c r="A34" t="s">
        <v>565</v>
      </c>
      <c r="B34">
        <v>61990817220</v>
      </c>
      <c r="C34" t="s">
        <v>568</v>
      </c>
      <c r="D34" t="s">
        <v>567</v>
      </c>
      <c r="E34" t="s">
        <v>78</v>
      </c>
      <c r="F34" t="s">
        <v>5634</v>
      </c>
      <c r="G34" t="s">
        <v>5635</v>
      </c>
      <c r="H34" t="s">
        <v>5634</v>
      </c>
      <c r="I34" t="s">
        <v>5636</v>
      </c>
      <c r="J34" t="b">
        <f>VLOOKUP(A34,'Demanda Bruta'!A:BF,58,0)</f>
        <v>1</v>
      </c>
      <c r="K34" t="b">
        <f t="shared" si="0"/>
        <v>1</v>
      </c>
    </row>
    <row r="35" spans="1:11" hidden="1" x14ac:dyDescent="0.25">
      <c r="A35" t="s">
        <v>576</v>
      </c>
      <c r="B35">
        <v>2277747874</v>
      </c>
      <c r="C35" t="s">
        <v>579</v>
      </c>
      <c r="D35" t="s">
        <v>578</v>
      </c>
      <c r="E35" t="s">
        <v>182</v>
      </c>
      <c r="F35" t="s">
        <v>5634</v>
      </c>
      <c r="G35" t="s">
        <v>5635</v>
      </c>
      <c r="H35" t="s">
        <v>5634</v>
      </c>
      <c r="I35" t="s">
        <v>5636</v>
      </c>
      <c r="J35" t="b">
        <f>VLOOKUP(A35,'Demanda Bruta'!A:BF,58,0)</f>
        <v>1</v>
      </c>
      <c r="K35" t="b">
        <f t="shared" si="0"/>
        <v>1</v>
      </c>
    </row>
    <row r="36" spans="1:11" hidden="1" x14ac:dyDescent="0.25">
      <c r="A36" t="s">
        <v>587</v>
      </c>
      <c r="B36">
        <v>5666762818</v>
      </c>
      <c r="C36" t="s">
        <v>590</v>
      </c>
      <c r="D36" t="s">
        <v>589</v>
      </c>
      <c r="E36" t="s">
        <v>182</v>
      </c>
      <c r="F36" t="s">
        <v>5634</v>
      </c>
      <c r="G36" t="s">
        <v>5635</v>
      </c>
      <c r="H36" t="s">
        <v>5634</v>
      </c>
      <c r="I36" t="s">
        <v>5636</v>
      </c>
      <c r="J36" t="b">
        <f>VLOOKUP(A36,'Demanda Bruta'!A:BF,58,0)</f>
        <v>1</v>
      </c>
      <c r="K36" t="b">
        <f t="shared" si="0"/>
        <v>1</v>
      </c>
    </row>
    <row r="37" spans="1:11" hidden="1" x14ac:dyDescent="0.25">
      <c r="A37" t="s">
        <v>599</v>
      </c>
      <c r="B37">
        <v>97108030772</v>
      </c>
      <c r="C37" t="s">
        <v>602</v>
      </c>
      <c r="D37" t="s">
        <v>601</v>
      </c>
      <c r="E37" t="s">
        <v>606</v>
      </c>
      <c r="F37" t="s">
        <v>5637</v>
      </c>
      <c r="G37" t="s">
        <v>5651</v>
      </c>
      <c r="H37" t="s">
        <v>5637</v>
      </c>
      <c r="I37" t="s">
        <v>5639</v>
      </c>
      <c r="J37" t="b">
        <f>VLOOKUP(A37,'Demanda Bruta'!A:BF,58,0)</f>
        <v>0</v>
      </c>
      <c r="K37" t="b">
        <f t="shared" si="0"/>
        <v>1</v>
      </c>
    </row>
    <row r="38" spans="1:11" hidden="1" x14ac:dyDescent="0.25">
      <c r="A38" t="s">
        <v>613</v>
      </c>
      <c r="B38">
        <v>14671860821</v>
      </c>
      <c r="C38" t="s">
        <v>616</v>
      </c>
      <c r="D38" t="s">
        <v>615</v>
      </c>
      <c r="E38" t="s">
        <v>182</v>
      </c>
      <c r="F38" t="s">
        <v>5634</v>
      </c>
      <c r="G38" t="s">
        <v>5635</v>
      </c>
      <c r="H38" t="s">
        <v>5634</v>
      </c>
      <c r="I38" t="s">
        <v>5636</v>
      </c>
      <c r="J38" t="b">
        <f>VLOOKUP(A38,'Demanda Bruta'!A:BF,58,0)</f>
        <v>1</v>
      </c>
      <c r="K38" t="b">
        <f t="shared" si="0"/>
        <v>1</v>
      </c>
    </row>
    <row r="39" spans="1:11" hidden="1" x14ac:dyDescent="0.25">
      <c r="A39" t="s">
        <v>626</v>
      </c>
      <c r="B39">
        <v>12314676300</v>
      </c>
      <c r="C39" t="s">
        <v>629</v>
      </c>
      <c r="D39" t="s">
        <v>628</v>
      </c>
      <c r="E39" t="s">
        <v>182</v>
      </c>
      <c r="F39" t="s">
        <v>5637</v>
      </c>
      <c r="G39" t="s">
        <v>5648</v>
      </c>
      <c r="H39" t="s">
        <v>5634</v>
      </c>
      <c r="I39" t="s">
        <v>5636</v>
      </c>
      <c r="J39" t="b">
        <f>VLOOKUP(A39,'Demanda Bruta'!A:BF,58,0)</f>
        <v>1</v>
      </c>
      <c r="K39" t="b">
        <f t="shared" si="0"/>
        <v>1</v>
      </c>
    </row>
    <row r="40" spans="1:11" hidden="1" x14ac:dyDescent="0.25">
      <c r="A40" t="s">
        <v>639</v>
      </c>
      <c r="B40">
        <v>17976073249</v>
      </c>
      <c r="C40" t="s">
        <v>642</v>
      </c>
      <c r="D40" t="s">
        <v>641</v>
      </c>
      <c r="E40" t="s">
        <v>362</v>
      </c>
      <c r="F40" t="s">
        <v>5634</v>
      </c>
      <c r="G40" t="s">
        <v>5635</v>
      </c>
      <c r="H40" t="s">
        <v>5634</v>
      </c>
      <c r="I40" t="s">
        <v>5636</v>
      </c>
      <c r="J40" t="b">
        <f>VLOOKUP(A40,'Demanda Bruta'!A:BF,58,0)</f>
        <v>1</v>
      </c>
      <c r="K40" t="b">
        <f t="shared" si="0"/>
        <v>1</v>
      </c>
    </row>
    <row r="41" spans="1:11" hidden="1" x14ac:dyDescent="0.25">
      <c r="A41" t="s">
        <v>655</v>
      </c>
      <c r="B41">
        <v>9338080200</v>
      </c>
      <c r="C41" t="s">
        <v>658</v>
      </c>
      <c r="D41" t="s">
        <v>657</v>
      </c>
      <c r="E41" t="s">
        <v>78</v>
      </c>
      <c r="F41" t="s">
        <v>5637</v>
      </c>
      <c r="G41" t="s">
        <v>5648</v>
      </c>
      <c r="H41" t="s">
        <v>5634</v>
      </c>
      <c r="I41" t="s">
        <v>5636</v>
      </c>
      <c r="J41" t="b">
        <f>VLOOKUP(A41,'Demanda Bruta'!A:BF,58,0)</f>
        <v>1</v>
      </c>
      <c r="K41" t="b">
        <f t="shared" si="0"/>
        <v>1</v>
      </c>
    </row>
    <row r="42" spans="1:11" hidden="1" x14ac:dyDescent="0.25">
      <c r="A42" t="s">
        <v>669</v>
      </c>
      <c r="B42">
        <v>27288306810</v>
      </c>
      <c r="C42" t="s">
        <v>672</v>
      </c>
      <c r="D42" t="s">
        <v>671</v>
      </c>
      <c r="E42" t="s">
        <v>182</v>
      </c>
      <c r="F42" t="s">
        <v>5634</v>
      </c>
      <c r="G42" t="s">
        <v>5635</v>
      </c>
      <c r="H42" t="s">
        <v>5634</v>
      </c>
      <c r="I42" t="s">
        <v>5636</v>
      </c>
      <c r="J42" t="b">
        <f>VLOOKUP(A42,'Demanda Bruta'!A:BF,58,0)</f>
        <v>1</v>
      </c>
      <c r="K42" t="b">
        <f t="shared" si="0"/>
        <v>1</v>
      </c>
    </row>
    <row r="43" spans="1:11" hidden="1" x14ac:dyDescent="0.25">
      <c r="A43" t="s">
        <v>681</v>
      </c>
      <c r="B43">
        <v>36268839811</v>
      </c>
      <c r="C43" t="s">
        <v>684</v>
      </c>
      <c r="D43" t="s">
        <v>683</v>
      </c>
      <c r="E43" t="s">
        <v>78</v>
      </c>
      <c r="F43" t="s">
        <v>5634</v>
      </c>
      <c r="G43" t="s">
        <v>5635</v>
      </c>
      <c r="H43" t="s">
        <v>5634</v>
      </c>
      <c r="I43" t="s">
        <v>5636</v>
      </c>
      <c r="J43" t="b">
        <f>VLOOKUP(A43,'Demanda Bruta'!A:BF,58,0)</f>
        <v>1</v>
      </c>
      <c r="K43" t="b">
        <f t="shared" si="0"/>
        <v>1</v>
      </c>
    </row>
    <row r="44" spans="1:11" hidden="1" x14ac:dyDescent="0.25">
      <c r="A44" t="s">
        <v>693</v>
      </c>
      <c r="B44">
        <v>18438367852</v>
      </c>
      <c r="C44" t="s">
        <v>696</v>
      </c>
      <c r="D44" t="s">
        <v>695</v>
      </c>
      <c r="E44" t="s">
        <v>700</v>
      </c>
      <c r="F44" t="s">
        <v>5637</v>
      </c>
      <c r="G44" t="s">
        <v>5652</v>
      </c>
      <c r="H44" t="s">
        <v>5637</v>
      </c>
      <c r="I44" t="s">
        <v>5639</v>
      </c>
      <c r="J44" t="b">
        <f>VLOOKUP(A44,'Demanda Bruta'!A:BF,58,0)</f>
        <v>0</v>
      </c>
      <c r="K44" t="b">
        <f t="shared" si="0"/>
        <v>1</v>
      </c>
    </row>
    <row r="45" spans="1:11" hidden="1" x14ac:dyDescent="0.25">
      <c r="A45" t="s">
        <v>708</v>
      </c>
      <c r="B45">
        <v>97650927849</v>
      </c>
      <c r="C45" t="s">
        <v>711</v>
      </c>
      <c r="D45" t="s">
        <v>710</v>
      </c>
      <c r="E45" t="s">
        <v>331</v>
      </c>
      <c r="F45" t="s">
        <v>5637</v>
      </c>
      <c r="G45" t="s">
        <v>5648</v>
      </c>
      <c r="H45" t="s">
        <v>5637</v>
      </c>
      <c r="I45" t="s">
        <v>5639</v>
      </c>
      <c r="J45" t="b">
        <f>VLOOKUP(A45,'Demanda Bruta'!A:BF,58,0)</f>
        <v>0</v>
      </c>
      <c r="K45" t="b">
        <f t="shared" si="0"/>
        <v>1</v>
      </c>
    </row>
    <row r="46" spans="1:11" hidden="1" x14ac:dyDescent="0.25">
      <c r="A46" t="s">
        <v>722</v>
      </c>
      <c r="B46">
        <v>17639834805</v>
      </c>
      <c r="C46" t="s">
        <v>725</v>
      </c>
      <c r="D46" t="s">
        <v>724</v>
      </c>
      <c r="E46" t="s">
        <v>331</v>
      </c>
      <c r="F46" t="s">
        <v>5634</v>
      </c>
      <c r="G46" t="s">
        <v>5635</v>
      </c>
      <c r="H46" t="s">
        <v>5634</v>
      </c>
      <c r="I46" t="s">
        <v>5636</v>
      </c>
      <c r="J46" t="b">
        <f>VLOOKUP(A46,'Demanda Bruta'!A:BF,58,0)</f>
        <v>1</v>
      </c>
      <c r="K46" t="b">
        <f t="shared" si="0"/>
        <v>1</v>
      </c>
    </row>
    <row r="47" spans="1:11" hidden="1" x14ac:dyDescent="0.25">
      <c r="A47" t="s">
        <v>733</v>
      </c>
      <c r="B47">
        <v>58908013091</v>
      </c>
      <c r="C47" t="s">
        <v>736</v>
      </c>
      <c r="D47" t="s">
        <v>735</v>
      </c>
      <c r="E47" t="s">
        <v>331</v>
      </c>
      <c r="F47" t="s">
        <v>5634</v>
      </c>
      <c r="G47" t="s">
        <v>5635</v>
      </c>
      <c r="H47" t="s">
        <v>5634</v>
      </c>
      <c r="I47" t="s">
        <v>5636</v>
      </c>
      <c r="J47" t="b">
        <f>VLOOKUP(A47,'Demanda Bruta'!A:BF,58,0)</f>
        <v>1</v>
      </c>
      <c r="K47" t="b">
        <f t="shared" si="0"/>
        <v>1</v>
      </c>
    </row>
    <row r="48" spans="1:11" hidden="1" x14ac:dyDescent="0.25">
      <c r="A48" t="s">
        <v>743</v>
      </c>
      <c r="B48">
        <v>61186066253</v>
      </c>
      <c r="C48" t="s">
        <v>746</v>
      </c>
      <c r="D48" t="s">
        <v>745</v>
      </c>
      <c r="E48" t="s">
        <v>752</v>
      </c>
      <c r="F48" t="s">
        <v>5637</v>
      </c>
      <c r="G48" t="s">
        <v>5653</v>
      </c>
      <c r="H48" t="s">
        <v>5637</v>
      </c>
      <c r="I48" t="s">
        <v>5639</v>
      </c>
      <c r="J48" t="b">
        <f>VLOOKUP(A48,'Demanda Bruta'!A:BF,58,0)</f>
        <v>0</v>
      </c>
      <c r="K48" t="b">
        <f t="shared" si="0"/>
        <v>1</v>
      </c>
    </row>
    <row r="49" spans="1:11" hidden="1" x14ac:dyDescent="0.25">
      <c r="A49" t="s">
        <v>760</v>
      </c>
      <c r="B49">
        <v>78209781472</v>
      </c>
      <c r="C49" t="s">
        <v>763</v>
      </c>
      <c r="D49" t="s">
        <v>762</v>
      </c>
      <c r="E49" t="s">
        <v>766</v>
      </c>
      <c r="F49" t="s">
        <v>5634</v>
      </c>
      <c r="G49" t="s">
        <v>5635</v>
      </c>
      <c r="H49" t="s">
        <v>5634</v>
      </c>
      <c r="I49" t="s">
        <v>5636</v>
      </c>
      <c r="J49" t="b">
        <f>VLOOKUP(A49,'Demanda Bruta'!A:BF,58,0)</f>
        <v>1</v>
      </c>
      <c r="K49" t="b">
        <f t="shared" si="0"/>
        <v>1</v>
      </c>
    </row>
    <row r="50" spans="1:11" hidden="1" x14ac:dyDescent="0.25">
      <c r="A50" t="s">
        <v>775</v>
      </c>
      <c r="B50">
        <v>793102065</v>
      </c>
      <c r="C50" t="s">
        <v>778</v>
      </c>
      <c r="D50" t="s">
        <v>777</v>
      </c>
      <c r="E50" t="s">
        <v>131</v>
      </c>
      <c r="F50" t="s">
        <v>5637</v>
      </c>
      <c r="G50" t="s">
        <v>5640</v>
      </c>
      <c r="H50" t="s">
        <v>5637</v>
      </c>
      <c r="I50" t="s">
        <v>5639</v>
      </c>
      <c r="J50" t="b">
        <f>VLOOKUP(A50,'Demanda Bruta'!A:BF,58,0)</f>
        <v>0</v>
      </c>
      <c r="K50" t="b">
        <f t="shared" si="0"/>
        <v>1</v>
      </c>
    </row>
    <row r="51" spans="1:11" hidden="1" x14ac:dyDescent="0.25">
      <c r="A51" t="s">
        <v>787</v>
      </c>
      <c r="B51">
        <v>73963470682</v>
      </c>
      <c r="C51" t="s">
        <v>790</v>
      </c>
      <c r="D51" t="s">
        <v>789</v>
      </c>
      <c r="E51" t="s">
        <v>796</v>
      </c>
      <c r="F51" t="s">
        <v>5637</v>
      </c>
      <c r="G51" t="s">
        <v>5654</v>
      </c>
      <c r="H51" t="s">
        <v>5637</v>
      </c>
      <c r="I51" t="s">
        <v>5639</v>
      </c>
      <c r="J51" t="b">
        <f>VLOOKUP(A51,'Demanda Bruta'!A:BF,58,0)</f>
        <v>0</v>
      </c>
      <c r="K51" t="b">
        <f t="shared" si="0"/>
        <v>1</v>
      </c>
    </row>
    <row r="52" spans="1:11" hidden="1" x14ac:dyDescent="0.25">
      <c r="A52" t="s">
        <v>803</v>
      </c>
      <c r="B52">
        <v>1746963964</v>
      </c>
      <c r="C52" t="s">
        <v>806</v>
      </c>
      <c r="D52" t="s">
        <v>805</v>
      </c>
      <c r="E52" t="s">
        <v>362</v>
      </c>
      <c r="F52" t="s">
        <v>5634</v>
      </c>
      <c r="G52" t="s">
        <v>5635</v>
      </c>
      <c r="H52" t="s">
        <v>5634</v>
      </c>
      <c r="I52" t="s">
        <v>5636</v>
      </c>
      <c r="J52" t="b">
        <f>VLOOKUP(A52,'Demanda Bruta'!A:BF,58,0)</f>
        <v>1</v>
      </c>
      <c r="K52" t="b">
        <f t="shared" si="0"/>
        <v>1</v>
      </c>
    </row>
    <row r="53" spans="1:11" hidden="1" x14ac:dyDescent="0.25">
      <c r="A53" t="s">
        <v>817</v>
      </c>
      <c r="B53">
        <v>87440660153</v>
      </c>
      <c r="C53" t="s">
        <v>820</v>
      </c>
      <c r="D53" t="s">
        <v>819</v>
      </c>
      <c r="E53" t="s">
        <v>362</v>
      </c>
      <c r="F53" t="s">
        <v>5634</v>
      </c>
      <c r="G53" t="s">
        <v>5635</v>
      </c>
      <c r="H53" t="s">
        <v>5634</v>
      </c>
      <c r="I53" t="s">
        <v>5636</v>
      </c>
      <c r="J53" t="b">
        <f>VLOOKUP(A53,'Demanda Bruta'!A:BF,58,0)</f>
        <v>1</v>
      </c>
      <c r="K53" t="b">
        <f t="shared" si="0"/>
        <v>1</v>
      </c>
    </row>
    <row r="54" spans="1:11" hidden="1" x14ac:dyDescent="0.25">
      <c r="A54" t="s">
        <v>829</v>
      </c>
      <c r="B54">
        <v>83955917215</v>
      </c>
      <c r="C54" t="s">
        <v>832</v>
      </c>
      <c r="D54" t="s">
        <v>831</v>
      </c>
      <c r="E54" t="s">
        <v>78</v>
      </c>
      <c r="F54" t="s">
        <v>5634</v>
      </c>
      <c r="G54" t="s">
        <v>5635</v>
      </c>
      <c r="H54" t="s">
        <v>5634</v>
      </c>
      <c r="I54" t="s">
        <v>5636</v>
      </c>
      <c r="J54" t="b">
        <f>VLOOKUP(A54,'Demanda Bruta'!A:BF,58,0)</f>
        <v>1</v>
      </c>
      <c r="K54" t="b">
        <f t="shared" si="0"/>
        <v>1</v>
      </c>
    </row>
    <row r="55" spans="1:11" hidden="1" x14ac:dyDescent="0.25">
      <c r="A55" t="s">
        <v>839</v>
      </c>
      <c r="B55">
        <v>3968311175</v>
      </c>
      <c r="C55" t="s">
        <v>842</v>
      </c>
      <c r="D55" t="s">
        <v>841</v>
      </c>
      <c r="E55" t="s">
        <v>78</v>
      </c>
      <c r="F55" t="s">
        <v>5634</v>
      </c>
      <c r="G55" t="s">
        <v>5635</v>
      </c>
      <c r="H55" t="s">
        <v>5634</v>
      </c>
      <c r="I55" t="s">
        <v>5636</v>
      </c>
      <c r="J55" t="b">
        <f>VLOOKUP(A55,'Demanda Bruta'!A:BF,58,0)</f>
        <v>1</v>
      </c>
      <c r="K55" t="b">
        <f t="shared" si="0"/>
        <v>1</v>
      </c>
    </row>
    <row r="56" spans="1:11" hidden="1" x14ac:dyDescent="0.25">
      <c r="A56" t="s">
        <v>850</v>
      </c>
      <c r="B56">
        <v>27802245842</v>
      </c>
      <c r="C56" t="s">
        <v>853</v>
      </c>
      <c r="D56" t="s">
        <v>852</v>
      </c>
      <c r="E56" t="s">
        <v>859</v>
      </c>
      <c r="F56" t="s">
        <v>5637</v>
      </c>
      <c r="G56" t="s">
        <v>5655</v>
      </c>
      <c r="H56" t="s">
        <v>5637</v>
      </c>
      <c r="I56" t="s">
        <v>5639</v>
      </c>
      <c r="J56" t="b">
        <f>VLOOKUP(A56,'Demanda Bruta'!A:BF,58,0)</f>
        <v>0</v>
      </c>
      <c r="K56" t="b">
        <f t="shared" si="0"/>
        <v>1</v>
      </c>
    </row>
    <row r="57" spans="1:11" hidden="1" x14ac:dyDescent="0.25">
      <c r="A57" t="s">
        <v>866</v>
      </c>
      <c r="B57">
        <v>43694705287</v>
      </c>
      <c r="C57" t="s">
        <v>869</v>
      </c>
      <c r="D57" t="s">
        <v>868</v>
      </c>
      <c r="E57" t="s">
        <v>362</v>
      </c>
      <c r="F57" t="s">
        <v>5634</v>
      </c>
      <c r="G57" t="s">
        <v>5635</v>
      </c>
      <c r="H57" t="s">
        <v>5634</v>
      </c>
      <c r="I57" t="s">
        <v>5636</v>
      </c>
      <c r="J57" t="b">
        <f>VLOOKUP(A57,'Demanda Bruta'!A:BF,58,0)</f>
        <v>1</v>
      </c>
      <c r="K57" t="b">
        <f t="shared" si="0"/>
        <v>1</v>
      </c>
    </row>
    <row r="58" spans="1:11" hidden="1" x14ac:dyDescent="0.25">
      <c r="A58" t="s">
        <v>880</v>
      </c>
      <c r="B58">
        <v>568682351</v>
      </c>
      <c r="C58" t="s">
        <v>883</v>
      </c>
      <c r="D58" t="s">
        <v>882</v>
      </c>
      <c r="E58" t="s">
        <v>606</v>
      </c>
      <c r="F58" t="s">
        <v>5637</v>
      </c>
      <c r="G58" t="s">
        <v>5656</v>
      </c>
      <c r="H58" t="s">
        <v>5637</v>
      </c>
      <c r="I58" t="s">
        <v>5639</v>
      </c>
      <c r="J58" t="b">
        <f>VLOOKUP(A58,'Demanda Bruta'!A:BF,58,0)</f>
        <v>0</v>
      </c>
      <c r="K58" t="b">
        <f t="shared" si="0"/>
        <v>1</v>
      </c>
    </row>
    <row r="59" spans="1:11" hidden="1" x14ac:dyDescent="0.25">
      <c r="A59" t="s">
        <v>894</v>
      </c>
      <c r="B59">
        <v>37185012287</v>
      </c>
      <c r="C59" t="s">
        <v>897</v>
      </c>
      <c r="D59" t="s">
        <v>896</v>
      </c>
      <c r="E59" t="s">
        <v>182</v>
      </c>
      <c r="F59" t="s">
        <v>5634</v>
      </c>
      <c r="G59" t="s">
        <v>5635</v>
      </c>
      <c r="H59" t="s">
        <v>5634</v>
      </c>
      <c r="I59" t="s">
        <v>5636</v>
      </c>
      <c r="J59" t="b">
        <f>VLOOKUP(A59,'Demanda Bruta'!A:BF,58,0)</f>
        <v>1</v>
      </c>
      <c r="K59" t="b">
        <f t="shared" si="0"/>
        <v>1</v>
      </c>
    </row>
    <row r="60" spans="1:11" hidden="1" x14ac:dyDescent="0.25">
      <c r="A60" t="s">
        <v>906</v>
      </c>
      <c r="B60">
        <v>9123666803</v>
      </c>
      <c r="C60" t="s">
        <v>909</v>
      </c>
      <c r="D60" t="s">
        <v>908</v>
      </c>
      <c r="E60" t="s">
        <v>182</v>
      </c>
      <c r="F60" t="s">
        <v>5634</v>
      </c>
      <c r="G60" t="s">
        <v>5635</v>
      </c>
      <c r="H60" t="s">
        <v>5634</v>
      </c>
      <c r="I60" t="s">
        <v>5636</v>
      </c>
      <c r="J60" t="b">
        <f>VLOOKUP(A60,'Demanda Bruta'!A:BF,58,0)</f>
        <v>1</v>
      </c>
      <c r="K60" t="b">
        <f t="shared" si="0"/>
        <v>1</v>
      </c>
    </row>
    <row r="61" spans="1:11" hidden="1" x14ac:dyDescent="0.25">
      <c r="A61" t="s">
        <v>918</v>
      </c>
      <c r="B61">
        <v>39601074805</v>
      </c>
      <c r="C61" t="s">
        <v>921</v>
      </c>
      <c r="D61" t="s">
        <v>920</v>
      </c>
      <c r="E61" t="s">
        <v>362</v>
      </c>
      <c r="F61" t="s">
        <v>5634</v>
      </c>
      <c r="G61" t="s">
        <v>5635</v>
      </c>
      <c r="H61" t="s">
        <v>5634</v>
      </c>
      <c r="I61" t="s">
        <v>5636</v>
      </c>
      <c r="J61" t="b">
        <f>VLOOKUP(A61,'Demanda Bruta'!A:BF,58,0)</f>
        <v>1</v>
      </c>
      <c r="K61" t="b">
        <f t="shared" si="0"/>
        <v>1</v>
      </c>
    </row>
    <row r="62" spans="1:11" hidden="1" x14ac:dyDescent="0.25">
      <c r="A62" t="s">
        <v>930</v>
      </c>
      <c r="B62">
        <v>6336511847</v>
      </c>
      <c r="C62" t="s">
        <v>933</v>
      </c>
      <c r="D62" t="s">
        <v>932</v>
      </c>
      <c r="E62" t="s">
        <v>331</v>
      </c>
      <c r="F62" t="s">
        <v>5634</v>
      </c>
      <c r="G62" t="s">
        <v>5635</v>
      </c>
      <c r="H62" t="s">
        <v>5634</v>
      </c>
      <c r="I62" t="s">
        <v>5636</v>
      </c>
      <c r="J62" t="b">
        <f>VLOOKUP(A62,'Demanda Bruta'!A:BF,58,0)</f>
        <v>1</v>
      </c>
      <c r="K62" t="b">
        <f t="shared" si="0"/>
        <v>1</v>
      </c>
    </row>
    <row r="63" spans="1:11" hidden="1" x14ac:dyDescent="0.25">
      <c r="A63" t="s">
        <v>941</v>
      </c>
      <c r="B63">
        <v>67812813215</v>
      </c>
      <c r="C63" t="s">
        <v>944</v>
      </c>
      <c r="D63" t="s">
        <v>943</v>
      </c>
      <c r="E63" t="s">
        <v>362</v>
      </c>
      <c r="F63" t="s">
        <v>5634</v>
      </c>
      <c r="G63" t="s">
        <v>5635</v>
      </c>
      <c r="H63" t="s">
        <v>5634</v>
      </c>
      <c r="I63" t="s">
        <v>5636</v>
      </c>
      <c r="J63" t="b">
        <f>VLOOKUP(A63,'Demanda Bruta'!A:BF,58,0)</f>
        <v>1</v>
      </c>
      <c r="K63" t="b">
        <f t="shared" si="0"/>
        <v>1</v>
      </c>
    </row>
    <row r="64" spans="1:11" hidden="1" x14ac:dyDescent="0.25">
      <c r="A64" t="s">
        <v>953</v>
      </c>
      <c r="B64">
        <v>11252974841</v>
      </c>
      <c r="C64" t="s">
        <v>956</v>
      </c>
      <c r="D64" t="s">
        <v>955</v>
      </c>
      <c r="E64" t="s">
        <v>331</v>
      </c>
      <c r="F64" t="s">
        <v>5637</v>
      </c>
      <c r="G64" t="s">
        <v>5648</v>
      </c>
      <c r="H64" t="s">
        <v>5634</v>
      </c>
      <c r="I64" t="s">
        <v>5636</v>
      </c>
      <c r="J64" t="b">
        <f>VLOOKUP(A64,'Demanda Bruta'!A:BF,58,0)</f>
        <v>1</v>
      </c>
      <c r="K64" t="b">
        <f t="shared" si="0"/>
        <v>1</v>
      </c>
    </row>
    <row r="65" spans="1:11" hidden="1" x14ac:dyDescent="0.25">
      <c r="A65" t="s">
        <v>964</v>
      </c>
      <c r="B65">
        <v>52397491249</v>
      </c>
      <c r="C65" t="s">
        <v>967</v>
      </c>
      <c r="D65" t="s">
        <v>966</v>
      </c>
      <c r="E65" t="s">
        <v>78</v>
      </c>
      <c r="F65" t="s">
        <v>5634</v>
      </c>
      <c r="G65" t="s">
        <v>5635</v>
      </c>
      <c r="H65" t="s">
        <v>5634</v>
      </c>
      <c r="I65" t="s">
        <v>5636</v>
      </c>
      <c r="J65" t="b">
        <f>VLOOKUP(A65,'Demanda Bruta'!A:BF,58,0)</f>
        <v>1</v>
      </c>
      <c r="K65" t="b">
        <f t="shared" si="0"/>
        <v>1</v>
      </c>
    </row>
    <row r="66" spans="1:11" hidden="1" x14ac:dyDescent="0.25">
      <c r="A66" t="s">
        <v>977</v>
      </c>
      <c r="B66">
        <v>10990816613</v>
      </c>
      <c r="C66" t="s">
        <v>980</v>
      </c>
      <c r="D66" t="s">
        <v>979</v>
      </c>
      <c r="E66" t="s">
        <v>985</v>
      </c>
      <c r="F66" t="s">
        <v>5637</v>
      </c>
      <c r="G66" t="s">
        <v>5657</v>
      </c>
      <c r="H66" t="s">
        <v>5637</v>
      </c>
      <c r="I66" t="s">
        <v>5639</v>
      </c>
      <c r="J66" t="b">
        <f>VLOOKUP(A66,'Demanda Bruta'!A:BF,58,0)</f>
        <v>0</v>
      </c>
      <c r="K66" t="b">
        <f t="shared" si="0"/>
        <v>1</v>
      </c>
    </row>
    <row r="67" spans="1:11" hidden="1" x14ac:dyDescent="0.25">
      <c r="A67" t="s">
        <v>992</v>
      </c>
      <c r="B67">
        <v>29255363875</v>
      </c>
      <c r="C67" t="s">
        <v>995</v>
      </c>
      <c r="D67" t="s">
        <v>994</v>
      </c>
      <c r="E67" t="s">
        <v>78</v>
      </c>
      <c r="F67" t="s">
        <v>5634</v>
      </c>
      <c r="G67" t="s">
        <v>5635</v>
      </c>
      <c r="H67" t="s">
        <v>5634</v>
      </c>
      <c r="I67" t="s">
        <v>5636</v>
      </c>
      <c r="J67" t="b">
        <f>VLOOKUP(A67,'Demanda Bruta'!A:BF,58,0)</f>
        <v>1</v>
      </c>
      <c r="K67" t="b">
        <f t="shared" ref="K67:K130" si="1">IF(IF(H67="Sim",TRUE,FALSE)=J67,TRUE,FALSE)</f>
        <v>1</v>
      </c>
    </row>
    <row r="68" spans="1:11" hidden="1" x14ac:dyDescent="0.25">
      <c r="A68" t="s">
        <v>1003</v>
      </c>
      <c r="B68">
        <v>50860623220</v>
      </c>
      <c r="C68" t="s">
        <v>1006</v>
      </c>
      <c r="D68" t="s">
        <v>1005</v>
      </c>
      <c r="E68" t="s">
        <v>78</v>
      </c>
      <c r="F68" t="s">
        <v>5634</v>
      </c>
      <c r="G68" t="s">
        <v>5635</v>
      </c>
      <c r="H68" t="s">
        <v>5634</v>
      </c>
      <c r="I68" t="s">
        <v>5636</v>
      </c>
      <c r="J68" t="b">
        <f>VLOOKUP(A68,'Demanda Bruta'!A:BF,58,0)</f>
        <v>1</v>
      </c>
      <c r="K68" t="b">
        <f t="shared" si="1"/>
        <v>1</v>
      </c>
    </row>
    <row r="69" spans="1:11" hidden="1" x14ac:dyDescent="0.25">
      <c r="A69" t="s">
        <v>1019</v>
      </c>
      <c r="B69">
        <v>9054537515</v>
      </c>
      <c r="C69" t="s">
        <v>1022</v>
      </c>
      <c r="D69" t="s">
        <v>1021</v>
      </c>
      <c r="E69" t="s">
        <v>1027</v>
      </c>
      <c r="F69" t="s">
        <v>5637</v>
      </c>
      <c r="G69" t="s">
        <v>5658</v>
      </c>
      <c r="H69" t="s">
        <v>5637</v>
      </c>
      <c r="I69" t="s">
        <v>5639</v>
      </c>
      <c r="J69" t="b">
        <f>VLOOKUP(A69,'Demanda Bruta'!A:BF,58,0)</f>
        <v>0</v>
      </c>
      <c r="K69" t="b">
        <f t="shared" si="1"/>
        <v>1</v>
      </c>
    </row>
    <row r="70" spans="1:11" hidden="1" x14ac:dyDescent="0.25">
      <c r="A70" t="s">
        <v>1037</v>
      </c>
      <c r="B70">
        <v>8339536648</v>
      </c>
      <c r="C70" t="s">
        <v>1040</v>
      </c>
      <c r="D70" t="s">
        <v>1039</v>
      </c>
      <c r="E70" t="s">
        <v>362</v>
      </c>
      <c r="F70" t="s">
        <v>5634</v>
      </c>
      <c r="G70" t="s">
        <v>5635</v>
      </c>
      <c r="H70" t="s">
        <v>5634</v>
      </c>
      <c r="I70" t="s">
        <v>5636</v>
      </c>
      <c r="J70" t="b">
        <f>VLOOKUP(A70,'Demanda Bruta'!A:BF,58,0)</f>
        <v>1</v>
      </c>
      <c r="K70" t="b">
        <f t="shared" si="1"/>
        <v>1</v>
      </c>
    </row>
    <row r="71" spans="1:11" hidden="1" x14ac:dyDescent="0.25">
      <c r="A71" t="s">
        <v>1051</v>
      </c>
      <c r="B71">
        <v>59560762400</v>
      </c>
      <c r="C71" t="s">
        <v>1054</v>
      </c>
      <c r="D71" t="s">
        <v>1053</v>
      </c>
      <c r="E71" t="s">
        <v>1057</v>
      </c>
      <c r="F71" t="s">
        <v>5637</v>
      </c>
      <c r="G71" t="s">
        <v>5659</v>
      </c>
      <c r="H71" t="s">
        <v>5637</v>
      </c>
      <c r="I71" t="s">
        <v>5639</v>
      </c>
      <c r="J71" t="b">
        <f>VLOOKUP(A71,'Demanda Bruta'!A:BF,58,0)</f>
        <v>0</v>
      </c>
      <c r="K71" t="b">
        <f t="shared" si="1"/>
        <v>1</v>
      </c>
    </row>
    <row r="72" spans="1:11" hidden="1" x14ac:dyDescent="0.25">
      <c r="A72" t="s">
        <v>1065</v>
      </c>
      <c r="B72">
        <v>54223555634</v>
      </c>
      <c r="C72" t="s">
        <v>1068</v>
      </c>
      <c r="D72" t="s">
        <v>1067</v>
      </c>
      <c r="E72" t="s">
        <v>182</v>
      </c>
      <c r="F72" t="s">
        <v>5634</v>
      </c>
      <c r="G72" t="s">
        <v>5635</v>
      </c>
      <c r="H72" t="s">
        <v>5634</v>
      </c>
      <c r="I72" t="s">
        <v>5636</v>
      </c>
      <c r="J72" t="b">
        <f>VLOOKUP(A72,'Demanda Bruta'!A:BF,58,0)</f>
        <v>1</v>
      </c>
      <c r="K72" t="b">
        <f t="shared" si="1"/>
        <v>1</v>
      </c>
    </row>
    <row r="73" spans="1:11" hidden="1" x14ac:dyDescent="0.25">
      <c r="A73" t="s">
        <v>1076</v>
      </c>
      <c r="B73">
        <v>5074263808</v>
      </c>
      <c r="C73" t="s">
        <v>1079</v>
      </c>
      <c r="D73" t="s">
        <v>1078</v>
      </c>
      <c r="E73" t="s">
        <v>281</v>
      </c>
      <c r="F73" t="s">
        <v>5634</v>
      </c>
      <c r="G73" t="s">
        <v>5635</v>
      </c>
      <c r="H73" t="s">
        <v>5634</v>
      </c>
      <c r="I73" t="s">
        <v>5636</v>
      </c>
      <c r="J73" t="b">
        <f>VLOOKUP(A73,'Demanda Bruta'!A:BF,58,0)</f>
        <v>1</v>
      </c>
      <c r="K73" t="b">
        <f t="shared" si="1"/>
        <v>1</v>
      </c>
    </row>
    <row r="74" spans="1:11" hidden="1" x14ac:dyDescent="0.25">
      <c r="A74" t="s">
        <v>1088</v>
      </c>
      <c r="B74">
        <v>3001867540</v>
      </c>
      <c r="C74" t="s">
        <v>1091</v>
      </c>
      <c r="D74" t="s">
        <v>1090</v>
      </c>
      <c r="E74" t="s">
        <v>1095</v>
      </c>
      <c r="F74" t="s">
        <v>5637</v>
      </c>
      <c r="G74" t="s">
        <v>5660</v>
      </c>
      <c r="H74" t="s">
        <v>5637</v>
      </c>
      <c r="I74" t="s">
        <v>5639</v>
      </c>
      <c r="J74" t="b">
        <f>VLOOKUP(A74,'Demanda Bruta'!A:BF,58,0)</f>
        <v>0</v>
      </c>
      <c r="K74" t="b">
        <f t="shared" si="1"/>
        <v>1</v>
      </c>
    </row>
    <row r="75" spans="1:11" hidden="1" x14ac:dyDescent="0.25">
      <c r="A75" t="s">
        <v>1102</v>
      </c>
      <c r="B75">
        <v>73397334853</v>
      </c>
      <c r="C75" t="s">
        <v>1105</v>
      </c>
      <c r="D75" t="s">
        <v>1104</v>
      </c>
      <c r="E75" t="s">
        <v>331</v>
      </c>
      <c r="F75" t="s">
        <v>5634</v>
      </c>
      <c r="G75" t="s">
        <v>5635</v>
      </c>
      <c r="H75" t="s">
        <v>5634</v>
      </c>
      <c r="I75" t="s">
        <v>5636</v>
      </c>
      <c r="J75" t="b">
        <f>VLOOKUP(A75,'Demanda Bruta'!A:BF,58,0)</f>
        <v>1</v>
      </c>
      <c r="K75" t="b">
        <f t="shared" si="1"/>
        <v>1</v>
      </c>
    </row>
    <row r="76" spans="1:11" hidden="1" x14ac:dyDescent="0.25">
      <c r="A76" t="s">
        <v>1113</v>
      </c>
      <c r="B76">
        <v>53185005287</v>
      </c>
      <c r="C76" t="s">
        <v>1116</v>
      </c>
      <c r="D76" t="s">
        <v>1115</v>
      </c>
      <c r="E76" t="s">
        <v>362</v>
      </c>
      <c r="F76" t="s">
        <v>5637</v>
      </c>
      <c r="G76" t="s">
        <v>5661</v>
      </c>
      <c r="H76" t="s">
        <v>5637</v>
      </c>
      <c r="I76" t="s">
        <v>5639</v>
      </c>
      <c r="J76" t="b">
        <f>VLOOKUP(A76,'Demanda Bruta'!A:BF,58,0)</f>
        <v>0</v>
      </c>
      <c r="K76" t="b">
        <f t="shared" si="1"/>
        <v>1</v>
      </c>
    </row>
    <row r="77" spans="1:11" hidden="1" x14ac:dyDescent="0.25">
      <c r="A77" t="s">
        <v>1124</v>
      </c>
      <c r="B77">
        <v>42301149749</v>
      </c>
      <c r="C77" t="s">
        <v>1127</v>
      </c>
      <c r="D77" t="s">
        <v>1126</v>
      </c>
      <c r="E77" t="s">
        <v>1133</v>
      </c>
      <c r="F77" t="s">
        <v>5637</v>
      </c>
      <c r="G77" t="s">
        <v>5662</v>
      </c>
      <c r="H77" t="s">
        <v>5637</v>
      </c>
      <c r="I77" t="s">
        <v>5639</v>
      </c>
      <c r="J77" t="b">
        <f>VLOOKUP(A77,'Demanda Bruta'!A:BF,58,0)</f>
        <v>0</v>
      </c>
      <c r="K77" t="b">
        <f t="shared" si="1"/>
        <v>1</v>
      </c>
    </row>
    <row r="78" spans="1:11" hidden="1" x14ac:dyDescent="0.25">
      <c r="A78" t="s">
        <v>1142</v>
      </c>
      <c r="B78">
        <v>794506445</v>
      </c>
      <c r="C78" t="s">
        <v>1145</v>
      </c>
      <c r="D78" t="s">
        <v>1144</v>
      </c>
      <c r="E78" t="s">
        <v>1149</v>
      </c>
      <c r="F78" t="s">
        <v>5637</v>
      </c>
      <c r="G78" t="s">
        <v>5663</v>
      </c>
      <c r="H78" t="s">
        <v>5637</v>
      </c>
      <c r="I78" t="s">
        <v>5639</v>
      </c>
      <c r="J78" t="b">
        <f>VLOOKUP(A78,'Demanda Bruta'!A:BF,58,0)</f>
        <v>0</v>
      </c>
      <c r="K78" t="b">
        <f t="shared" si="1"/>
        <v>1</v>
      </c>
    </row>
    <row r="79" spans="1:11" hidden="1" x14ac:dyDescent="0.25">
      <c r="A79" t="s">
        <v>1157</v>
      </c>
      <c r="B79">
        <v>655044884</v>
      </c>
      <c r="C79" t="s">
        <v>1160</v>
      </c>
      <c r="D79" t="s">
        <v>1159</v>
      </c>
      <c r="E79" t="s">
        <v>182</v>
      </c>
      <c r="F79" t="s">
        <v>5637</v>
      </c>
      <c r="G79" t="s">
        <v>5664</v>
      </c>
      <c r="H79" t="s">
        <v>5637</v>
      </c>
      <c r="I79" t="s">
        <v>5639</v>
      </c>
      <c r="J79" t="b">
        <f>VLOOKUP(A79,'Demanda Bruta'!A:BF,58,0)</f>
        <v>0</v>
      </c>
      <c r="K79" t="b">
        <f t="shared" si="1"/>
        <v>1</v>
      </c>
    </row>
    <row r="80" spans="1:11" hidden="1" x14ac:dyDescent="0.25">
      <c r="A80" t="s">
        <v>1168</v>
      </c>
      <c r="B80">
        <v>48876143734</v>
      </c>
      <c r="C80" t="s">
        <v>1171</v>
      </c>
      <c r="D80" t="s">
        <v>1170</v>
      </c>
      <c r="E80" t="s">
        <v>182</v>
      </c>
      <c r="F80" t="s">
        <v>5634</v>
      </c>
      <c r="G80" t="s">
        <v>5635</v>
      </c>
      <c r="H80" t="s">
        <v>5634</v>
      </c>
      <c r="I80" t="s">
        <v>5636</v>
      </c>
      <c r="J80" t="b">
        <f>VLOOKUP(A80,'Demanda Bruta'!A:BF,58,0)</f>
        <v>1</v>
      </c>
      <c r="K80" t="b">
        <f t="shared" si="1"/>
        <v>1</v>
      </c>
    </row>
    <row r="81" spans="1:11" hidden="1" x14ac:dyDescent="0.25">
      <c r="A81" t="s">
        <v>1180</v>
      </c>
      <c r="B81">
        <v>17944662826</v>
      </c>
      <c r="C81" t="s">
        <v>1183</v>
      </c>
      <c r="D81" t="s">
        <v>1182</v>
      </c>
      <c r="E81" t="s">
        <v>331</v>
      </c>
      <c r="F81" t="s">
        <v>5634</v>
      </c>
      <c r="G81" t="s">
        <v>5635</v>
      </c>
      <c r="H81" t="s">
        <v>5634</v>
      </c>
      <c r="I81" t="s">
        <v>5636</v>
      </c>
      <c r="J81" t="b">
        <f>VLOOKUP(A81,'Demanda Bruta'!A:BF,58,0)</f>
        <v>1</v>
      </c>
      <c r="K81" t="b">
        <f t="shared" si="1"/>
        <v>1</v>
      </c>
    </row>
    <row r="82" spans="1:11" hidden="1" x14ac:dyDescent="0.25">
      <c r="A82" t="s">
        <v>1192</v>
      </c>
      <c r="B82">
        <v>10507108272</v>
      </c>
      <c r="C82" t="s">
        <v>1195</v>
      </c>
      <c r="D82" t="s">
        <v>1194</v>
      </c>
      <c r="E82" t="s">
        <v>78</v>
      </c>
      <c r="F82" t="s">
        <v>5634</v>
      </c>
      <c r="G82" t="s">
        <v>5635</v>
      </c>
      <c r="H82" t="s">
        <v>5634</v>
      </c>
      <c r="I82" t="s">
        <v>5636</v>
      </c>
      <c r="J82" t="b">
        <f>VLOOKUP(A82,'Demanda Bruta'!A:BF,58,0)</f>
        <v>1</v>
      </c>
      <c r="K82" t="b">
        <f t="shared" si="1"/>
        <v>1</v>
      </c>
    </row>
    <row r="83" spans="1:11" hidden="1" x14ac:dyDescent="0.25">
      <c r="A83" t="s">
        <v>1204</v>
      </c>
      <c r="B83">
        <v>14181231453</v>
      </c>
      <c r="C83" t="s">
        <v>1207</v>
      </c>
      <c r="D83" t="s">
        <v>1206</v>
      </c>
      <c r="E83" t="s">
        <v>1211</v>
      </c>
      <c r="F83" t="s">
        <v>5637</v>
      </c>
      <c r="G83" t="s">
        <v>5665</v>
      </c>
      <c r="H83" t="s">
        <v>5637</v>
      </c>
      <c r="I83" t="s">
        <v>5639</v>
      </c>
      <c r="J83" t="b">
        <f>VLOOKUP(A83,'Demanda Bruta'!A:BF,58,0)</f>
        <v>0</v>
      </c>
      <c r="K83" t="b">
        <f t="shared" si="1"/>
        <v>1</v>
      </c>
    </row>
    <row r="84" spans="1:11" hidden="1" x14ac:dyDescent="0.25">
      <c r="A84" t="s">
        <v>1218</v>
      </c>
      <c r="B84">
        <v>90041640659</v>
      </c>
      <c r="C84" t="s">
        <v>1221</v>
      </c>
      <c r="D84" t="s">
        <v>1220</v>
      </c>
      <c r="E84" t="s">
        <v>131</v>
      </c>
      <c r="F84" t="s">
        <v>5637</v>
      </c>
      <c r="G84" t="s">
        <v>5640</v>
      </c>
      <c r="H84" t="s">
        <v>5637</v>
      </c>
      <c r="I84" t="s">
        <v>5639</v>
      </c>
      <c r="J84" t="b">
        <f>VLOOKUP(A84,'Demanda Bruta'!A:BF,58,0)</f>
        <v>0</v>
      </c>
      <c r="K84" t="b">
        <f t="shared" si="1"/>
        <v>1</v>
      </c>
    </row>
    <row r="85" spans="1:11" hidden="1" x14ac:dyDescent="0.25">
      <c r="A85" t="s">
        <v>1230</v>
      </c>
      <c r="B85">
        <v>33954487896</v>
      </c>
      <c r="C85" t="s">
        <v>1233</v>
      </c>
      <c r="D85" t="s">
        <v>1232</v>
      </c>
      <c r="E85" t="s">
        <v>1237</v>
      </c>
      <c r="F85" t="s">
        <v>5637</v>
      </c>
      <c r="G85" t="s">
        <v>5666</v>
      </c>
      <c r="H85" t="s">
        <v>5637</v>
      </c>
      <c r="I85" t="s">
        <v>5639</v>
      </c>
      <c r="J85" t="b">
        <f>VLOOKUP(A85,'Demanda Bruta'!A:BF,58,0)</f>
        <v>0</v>
      </c>
      <c r="K85" t="b">
        <f t="shared" si="1"/>
        <v>1</v>
      </c>
    </row>
    <row r="86" spans="1:11" hidden="1" x14ac:dyDescent="0.25">
      <c r="A86" t="s">
        <v>1245</v>
      </c>
      <c r="B86">
        <v>7695340740</v>
      </c>
      <c r="C86" t="s">
        <v>1248</v>
      </c>
      <c r="D86" t="s">
        <v>1247</v>
      </c>
      <c r="E86" t="s">
        <v>606</v>
      </c>
      <c r="F86" t="s">
        <v>5637</v>
      </c>
      <c r="G86" t="s">
        <v>5651</v>
      </c>
      <c r="H86" t="s">
        <v>5637</v>
      </c>
      <c r="I86" t="s">
        <v>5639</v>
      </c>
      <c r="J86" t="b">
        <f>VLOOKUP(A86,'Demanda Bruta'!A:BF,58,0)</f>
        <v>0</v>
      </c>
      <c r="K86" t="b">
        <f t="shared" si="1"/>
        <v>1</v>
      </c>
    </row>
    <row r="87" spans="1:11" hidden="1" x14ac:dyDescent="0.25">
      <c r="A87" t="s">
        <v>1259</v>
      </c>
      <c r="B87">
        <v>19041906851</v>
      </c>
      <c r="C87" t="s">
        <v>1262</v>
      </c>
      <c r="D87" t="s">
        <v>1261</v>
      </c>
      <c r="E87" t="s">
        <v>331</v>
      </c>
      <c r="F87" t="s">
        <v>5637</v>
      </c>
      <c r="G87" t="s">
        <v>5648</v>
      </c>
      <c r="H87" t="s">
        <v>5634</v>
      </c>
      <c r="I87" t="s">
        <v>5636</v>
      </c>
      <c r="J87" t="b">
        <f>VLOOKUP(A87,'Demanda Bruta'!A:BF,58,0)</f>
        <v>1</v>
      </c>
      <c r="K87" t="b">
        <f t="shared" si="1"/>
        <v>1</v>
      </c>
    </row>
    <row r="88" spans="1:11" hidden="1" x14ac:dyDescent="0.25">
      <c r="A88" t="s">
        <v>1271</v>
      </c>
      <c r="B88">
        <v>78771919287</v>
      </c>
      <c r="C88" t="s">
        <v>1274</v>
      </c>
      <c r="D88" t="s">
        <v>1273</v>
      </c>
      <c r="E88" t="s">
        <v>362</v>
      </c>
      <c r="F88" t="s">
        <v>5634</v>
      </c>
      <c r="G88" t="s">
        <v>5635</v>
      </c>
      <c r="H88" t="s">
        <v>5634</v>
      </c>
      <c r="I88" t="s">
        <v>5636</v>
      </c>
      <c r="J88" t="b">
        <f>VLOOKUP(A88,'Demanda Bruta'!A:BF,58,0)</f>
        <v>1</v>
      </c>
      <c r="K88" t="b">
        <f t="shared" si="1"/>
        <v>1</v>
      </c>
    </row>
    <row r="89" spans="1:11" hidden="1" x14ac:dyDescent="0.25">
      <c r="A89" t="s">
        <v>1283</v>
      </c>
      <c r="B89">
        <v>32588088805</v>
      </c>
      <c r="C89" t="s">
        <v>1286</v>
      </c>
      <c r="D89" t="s">
        <v>1285</v>
      </c>
      <c r="E89" t="s">
        <v>700</v>
      </c>
      <c r="F89" t="s">
        <v>5637</v>
      </c>
      <c r="G89" t="s">
        <v>5652</v>
      </c>
      <c r="H89" t="s">
        <v>5637</v>
      </c>
      <c r="I89" t="s">
        <v>5639</v>
      </c>
      <c r="J89" t="b">
        <f>VLOOKUP(A89,'Demanda Bruta'!A:BF,58,0)</f>
        <v>0</v>
      </c>
      <c r="K89" t="b">
        <f t="shared" si="1"/>
        <v>1</v>
      </c>
    </row>
    <row r="90" spans="1:11" hidden="1" x14ac:dyDescent="0.25">
      <c r="A90" t="s">
        <v>1295</v>
      </c>
      <c r="B90">
        <v>6501970466</v>
      </c>
      <c r="C90" t="s">
        <v>1298</v>
      </c>
      <c r="D90" t="s">
        <v>1297</v>
      </c>
      <c r="E90" t="s">
        <v>78</v>
      </c>
      <c r="F90" t="s">
        <v>5634</v>
      </c>
      <c r="G90" t="s">
        <v>5635</v>
      </c>
      <c r="H90" t="s">
        <v>5634</v>
      </c>
      <c r="I90" t="s">
        <v>5636</v>
      </c>
      <c r="J90" t="b">
        <f>VLOOKUP(A90,'Demanda Bruta'!A:BF,58,0)</f>
        <v>1</v>
      </c>
      <c r="K90" t="b">
        <f t="shared" si="1"/>
        <v>1</v>
      </c>
    </row>
    <row r="91" spans="1:11" hidden="1" x14ac:dyDescent="0.25">
      <c r="A91" t="s">
        <v>1306</v>
      </c>
      <c r="B91">
        <v>2877919200</v>
      </c>
      <c r="C91" t="s">
        <v>1309</v>
      </c>
      <c r="D91" t="s">
        <v>1308</v>
      </c>
      <c r="E91" t="s">
        <v>78</v>
      </c>
      <c r="F91" t="s">
        <v>5634</v>
      </c>
      <c r="G91" t="s">
        <v>5635</v>
      </c>
      <c r="H91" t="s">
        <v>5634</v>
      </c>
      <c r="I91" t="s">
        <v>5636</v>
      </c>
      <c r="J91" t="b">
        <f>VLOOKUP(A91,'Demanda Bruta'!A:BF,58,0)</f>
        <v>1</v>
      </c>
      <c r="K91" t="b">
        <f t="shared" si="1"/>
        <v>1</v>
      </c>
    </row>
    <row r="92" spans="1:11" hidden="1" x14ac:dyDescent="0.25">
      <c r="A92" t="s">
        <v>1318</v>
      </c>
      <c r="B92">
        <v>40383307880</v>
      </c>
      <c r="C92" t="s">
        <v>1321</v>
      </c>
      <c r="D92" t="s">
        <v>1320</v>
      </c>
      <c r="E92" t="s">
        <v>1325</v>
      </c>
      <c r="F92" t="s">
        <v>5637</v>
      </c>
      <c r="G92" t="s">
        <v>5667</v>
      </c>
      <c r="H92" t="s">
        <v>5637</v>
      </c>
      <c r="I92" t="s">
        <v>5639</v>
      </c>
      <c r="J92" t="b">
        <f>VLOOKUP(A92,'Demanda Bruta'!A:BF,58,0)</f>
        <v>0</v>
      </c>
      <c r="K92" t="b">
        <f t="shared" si="1"/>
        <v>1</v>
      </c>
    </row>
    <row r="93" spans="1:11" hidden="1" x14ac:dyDescent="0.25">
      <c r="A93" t="s">
        <v>1333</v>
      </c>
      <c r="B93">
        <v>92829929772</v>
      </c>
      <c r="C93" t="s">
        <v>1336</v>
      </c>
      <c r="D93" t="s">
        <v>1335</v>
      </c>
      <c r="E93" t="s">
        <v>606</v>
      </c>
      <c r="F93" t="s">
        <v>5637</v>
      </c>
      <c r="G93" t="s">
        <v>5651</v>
      </c>
      <c r="H93" t="s">
        <v>5637</v>
      </c>
      <c r="I93" t="s">
        <v>5639</v>
      </c>
      <c r="J93" t="b">
        <f>VLOOKUP(A93,'Demanda Bruta'!A:BF,58,0)</f>
        <v>0</v>
      </c>
      <c r="K93" t="b">
        <f t="shared" si="1"/>
        <v>1</v>
      </c>
    </row>
    <row r="94" spans="1:11" hidden="1" x14ac:dyDescent="0.25">
      <c r="A94" t="s">
        <v>1346</v>
      </c>
      <c r="B94">
        <v>58573712520</v>
      </c>
      <c r="C94" t="s">
        <v>1349</v>
      </c>
      <c r="D94" t="s">
        <v>1348</v>
      </c>
      <c r="E94" t="s">
        <v>1353</v>
      </c>
      <c r="F94" t="s">
        <v>5637</v>
      </c>
      <c r="G94" t="s">
        <v>5668</v>
      </c>
      <c r="H94" t="s">
        <v>5637</v>
      </c>
      <c r="I94" t="s">
        <v>5639</v>
      </c>
      <c r="J94" t="b">
        <f>VLOOKUP(A94,'Demanda Bruta'!A:BF,58,0)</f>
        <v>0</v>
      </c>
      <c r="K94" t="b">
        <f t="shared" si="1"/>
        <v>1</v>
      </c>
    </row>
    <row r="95" spans="1:11" hidden="1" x14ac:dyDescent="0.25">
      <c r="A95" t="s">
        <v>1360</v>
      </c>
      <c r="B95">
        <v>4008651900</v>
      </c>
      <c r="C95" t="s">
        <v>1363</v>
      </c>
      <c r="D95" t="s">
        <v>1362</v>
      </c>
      <c r="E95" t="s">
        <v>1366</v>
      </c>
      <c r="F95" t="s">
        <v>5637</v>
      </c>
      <c r="G95" t="s">
        <v>5669</v>
      </c>
      <c r="H95" t="s">
        <v>5637</v>
      </c>
      <c r="I95" t="s">
        <v>5639</v>
      </c>
      <c r="J95" t="b">
        <f>VLOOKUP(A95,'Demanda Bruta'!A:BF,58,0)</f>
        <v>0</v>
      </c>
      <c r="K95" t="b">
        <f t="shared" si="1"/>
        <v>1</v>
      </c>
    </row>
    <row r="96" spans="1:11" hidden="1" x14ac:dyDescent="0.25">
      <c r="A96" t="s">
        <v>1373</v>
      </c>
      <c r="B96">
        <v>7426826767</v>
      </c>
      <c r="C96" t="s">
        <v>1376</v>
      </c>
      <c r="D96" t="s">
        <v>1375</v>
      </c>
      <c r="E96" t="s">
        <v>1381</v>
      </c>
      <c r="F96" t="s">
        <v>5637</v>
      </c>
      <c r="G96" t="s">
        <v>5670</v>
      </c>
      <c r="H96" t="s">
        <v>5637</v>
      </c>
      <c r="I96" t="s">
        <v>5639</v>
      </c>
      <c r="J96" t="b">
        <f>VLOOKUP(A96,'Demanda Bruta'!A:BF,58,0)</f>
        <v>0</v>
      </c>
      <c r="K96" t="b">
        <f t="shared" si="1"/>
        <v>1</v>
      </c>
    </row>
    <row r="97" spans="1:11" hidden="1" x14ac:dyDescent="0.25">
      <c r="A97" t="s">
        <v>1390</v>
      </c>
      <c r="B97">
        <v>745326773</v>
      </c>
      <c r="C97" t="s">
        <v>1393</v>
      </c>
      <c r="D97" t="s">
        <v>1392</v>
      </c>
      <c r="E97" t="s">
        <v>182</v>
      </c>
      <c r="F97" t="s">
        <v>5634</v>
      </c>
      <c r="G97" t="s">
        <v>5635</v>
      </c>
      <c r="H97" t="s">
        <v>5634</v>
      </c>
      <c r="I97" t="s">
        <v>5636</v>
      </c>
      <c r="J97" t="b">
        <f>VLOOKUP(A97,'Demanda Bruta'!A:BF,58,0)</f>
        <v>1</v>
      </c>
      <c r="K97" t="b">
        <f t="shared" si="1"/>
        <v>1</v>
      </c>
    </row>
    <row r="98" spans="1:11" hidden="1" x14ac:dyDescent="0.25">
      <c r="A98" t="s">
        <v>1402</v>
      </c>
      <c r="B98">
        <v>12330139713</v>
      </c>
      <c r="C98" t="s">
        <v>1405</v>
      </c>
      <c r="D98" t="s">
        <v>1404</v>
      </c>
      <c r="E98" t="s">
        <v>509</v>
      </c>
      <c r="F98" t="s">
        <v>5637</v>
      </c>
      <c r="G98" t="s">
        <v>5649</v>
      </c>
      <c r="H98" t="s">
        <v>5637</v>
      </c>
      <c r="I98" t="s">
        <v>5639</v>
      </c>
      <c r="J98" t="b">
        <f>VLOOKUP(A98,'Demanda Bruta'!A:BF,58,0)</f>
        <v>0</v>
      </c>
      <c r="K98" t="b">
        <f t="shared" si="1"/>
        <v>1</v>
      </c>
    </row>
    <row r="99" spans="1:11" hidden="1" x14ac:dyDescent="0.25">
      <c r="A99" t="s">
        <v>1414</v>
      </c>
      <c r="B99">
        <v>27467651600</v>
      </c>
      <c r="C99" t="s">
        <v>1417</v>
      </c>
      <c r="D99" t="s">
        <v>1416</v>
      </c>
      <c r="E99" t="s">
        <v>314</v>
      </c>
      <c r="F99" t="s">
        <v>5634</v>
      </c>
      <c r="G99" t="s">
        <v>5635</v>
      </c>
      <c r="H99" t="s">
        <v>5634</v>
      </c>
      <c r="I99" t="s">
        <v>5636</v>
      </c>
      <c r="J99" t="b">
        <f>VLOOKUP(A99,'Demanda Bruta'!A:BF,58,0)</f>
        <v>1</v>
      </c>
      <c r="K99" t="b">
        <f t="shared" si="1"/>
        <v>1</v>
      </c>
    </row>
    <row r="100" spans="1:11" hidden="1" x14ac:dyDescent="0.25">
      <c r="A100" t="s">
        <v>1429</v>
      </c>
      <c r="B100">
        <v>67131972720</v>
      </c>
      <c r="C100" t="s">
        <v>1432</v>
      </c>
      <c r="D100" t="s">
        <v>1431</v>
      </c>
      <c r="E100" t="s">
        <v>265</v>
      </c>
      <c r="F100" t="s">
        <v>5634</v>
      </c>
      <c r="G100" t="s">
        <v>5635</v>
      </c>
      <c r="H100" t="s">
        <v>5634</v>
      </c>
      <c r="I100" t="s">
        <v>5636</v>
      </c>
      <c r="J100" t="b">
        <f>VLOOKUP(A100,'Demanda Bruta'!A:BF,58,0)</f>
        <v>1</v>
      </c>
      <c r="K100" t="b">
        <f t="shared" si="1"/>
        <v>1</v>
      </c>
    </row>
    <row r="101" spans="1:11" hidden="1" x14ac:dyDescent="0.25">
      <c r="A101" t="s">
        <v>1440</v>
      </c>
      <c r="B101">
        <v>797810471</v>
      </c>
      <c r="C101" t="s">
        <v>1443</v>
      </c>
      <c r="D101" t="s">
        <v>1442</v>
      </c>
      <c r="E101" t="s">
        <v>1149</v>
      </c>
      <c r="F101" t="s">
        <v>5637</v>
      </c>
      <c r="G101" t="s">
        <v>5663</v>
      </c>
      <c r="H101" t="s">
        <v>5637</v>
      </c>
      <c r="I101" t="s">
        <v>5639</v>
      </c>
      <c r="J101" t="b">
        <f>VLOOKUP(A101,'Demanda Bruta'!A:BF,58,0)</f>
        <v>0</v>
      </c>
      <c r="K101" t="b">
        <f t="shared" si="1"/>
        <v>1</v>
      </c>
    </row>
    <row r="102" spans="1:11" hidden="1" x14ac:dyDescent="0.25">
      <c r="A102" t="s">
        <v>1454</v>
      </c>
      <c r="B102">
        <v>52457761034</v>
      </c>
      <c r="C102" t="s">
        <v>1457</v>
      </c>
      <c r="D102" t="s">
        <v>1456</v>
      </c>
      <c r="E102" t="s">
        <v>78</v>
      </c>
      <c r="F102" t="s">
        <v>5634</v>
      </c>
      <c r="G102" t="s">
        <v>5635</v>
      </c>
      <c r="H102" t="s">
        <v>5634</v>
      </c>
      <c r="I102" t="s">
        <v>5636</v>
      </c>
      <c r="J102" t="b">
        <f>VLOOKUP(A102,'Demanda Bruta'!A:BF,58,0)</f>
        <v>1</v>
      </c>
      <c r="K102" t="b">
        <f t="shared" si="1"/>
        <v>1</v>
      </c>
    </row>
    <row r="103" spans="1:11" hidden="1" x14ac:dyDescent="0.25">
      <c r="A103" t="s">
        <v>1465</v>
      </c>
      <c r="B103">
        <v>39639578835</v>
      </c>
      <c r="C103" t="s">
        <v>1468</v>
      </c>
      <c r="D103" t="s">
        <v>1467</v>
      </c>
      <c r="E103" t="s">
        <v>362</v>
      </c>
      <c r="F103" t="s">
        <v>5634</v>
      </c>
      <c r="G103" t="s">
        <v>5635</v>
      </c>
      <c r="H103" t="s">
        <v>5634</v>
      </c>
      <c r="I103" t="s">
        <v>5636</v>
      </c>
      <c r="J103" t="b">
        <f>VLOOKUP(A103,'Demanda Bruta'!A:BF,58,0)</f>
        <v>1</v>
      </c>
      <c r="K103" t="b">
        <f t="shared" si="1"/>
        <v>1</v>
      </c>
    </row>
    <row r="104" spans="1:11" hidden="1" x14ac:dyDescent="0.25">
      <c r="A104" t="s">
        <v>1477</v>
      </c>
      <c r="B104">
        <v>12084288703</v>
      </c>
      <c r="C104" t="s">
        <v>1480</v>
      </c>
      <c r="D104" t="s">
        <v>1479</v>
      </c>
      <c r="E104" t="s">
        <v>606</v>
      </c>
      <c r="F104" t="s">
        <v>5637</v>
      </c>
      <c r="G104" t="s">
        <v>5651</v>
      </c>
      <c r="H104" t="s">
        <v>5637</v>
      </c>
      <c r="I104" t="s">
        <v>5639</v>
      </c>
      <c r="J104" t="b">
        <f>VLOOKUP(A104,'Demanda Bruta'!A:BF,58,0)</f>
        <v>0</v>
      </c>
      <c r="K104" t="b">
        <f t="shared" si="1"/>
        <v>1</v>
      </c>
    </row>
    <row r="105" spans="1:11" hidden="1" x14ac:dyDescent="0.25">
      <c r="A105" t="s">
        <v>1491</v>
      </c>
      <c r="B105">
        <v>1629116106</v>
      </c>
      <c r="C105" t="s">
        <v>1494</v>
      </c>
      <c r="D105" t="s">
        <v>1493</v>
      </c>
      <c r="E105" t="s">
        <v>606</v>
      </c>
      <c r="F105" t="s">
        <v>5637</v>
      </c>
      <c r="G105" t="s">
        <v>5651</v>
      </c>
      <c r="H105" t="s">
        <v>5637</v>
      </c>
      <c r="I105" t="s">
        <v>5639</v>
      </c>
      <c r="J105" t="b">
        <f>VLOOKUP(A105,'Demanda Bruta'!A:BF,58,0)</f>
        <v>0</v>
      </c>
      <c r="K105" t="b">
        <f t="shared" si="1"/>
        <v>1</v>
      </c>
    </row>
    <row r="106" spans="1:11" hidden="1" x14ac:dyDescent="0.25">
      <c r="A106" t="s">
        <v>1504</v>
      </c>
      <c r="B106">
        <v>14012706705</v>
      </c>
      <c r="C106" t="s">
        <v>1507</v>
      </c>
      <c r="D106" t="s">
        <v>1506</v>
      </c>
      <c r="E106" t="s">
        <v>78</v>
      </c>
      <c r="F106" t="s">
        <v>5634</v>
      </c>
      <c r="G106" t="s">
        <v>5635</v>
      </c>
      <c r="H106" t="s">
        <v>5634</v>
      </c>
      <c r="I106" t="s">
        <v>5636</v>
      </c>
      <c r="J106" t="b">
        <f>VLOOKUP(A106,'Demanda Bruta'!A:BF,58,0)</f>
        <v>1</v>
      </c>
      <c r="K106" t="b">
        <f t="shared" si="1"/>
        <v>1</v>
      </c>
    </row>
    <row r="107" spans="1:11" hidden="1" x14ac:dyDescent="0.25">
      <c r="A107" t="s">
        <v>1515</v>
      </c>
      <c r="B107">
        <v>5924578852</v>
      </c>
      <c r="C107" t="s">
        <v>1518</v>
      </c>
      <c r="D107" t="s">
        <v>1517</v>
      </c>
      <c r="E107" t="s">
        <v>182</v>
      </c>
      <c r="F107" t="s">
        <v>5634</v>
      </c>
      <c r="G107" t="s">
        <v>5635</v>
      </c>
      <c r="H107" t="s">
        <v>5634</v>
      </c>
      <c r="I107" t="s">
        <v>5636</v>
      </c>
      <c r="J107" t="b">
        <f>VLOOKUP(A107,'Demanda Bruta'!A:BF,58,0)</f>
        <v>1</v>
      </c>
      <c r="K107" t="b">
        <f t="shared" si="1"/>
        <v>1</v>
      </c>
    </row>
    <row r="108" spans="1:11" hidden="1" x14ac:dyDescent="0.25">
      <c r="A108" t="s">
        <v>1528</v>
      </c>
      <c r="B108">
        <v>21339791315</v>
      </c>
      <c r="C108" t="s">
        <v>1531</v>
      </c>
      <c r="D108" t="s">
        <v>1530</v>
      </c>
      <c r="E108" t="s">
        <v>1535</v>
      </c>
      <c r="F108" t="s">
        <v>5637</v>
      </c>
      <c r="G108" t="s">
        <v>5671</v>
      </c>
      <c r="H108" t="s">
        <v>5637</v>
      </c>
      <c r="I108" t="s">
        <v>5639</v>
      </c>
      <c r="J108" t="b">
        <f>VLOOKUP(A108,'Demanda Bruta'!A:BF,58,0)</f>
        <v>0</v>
      </c>
      <c r="K108" t="b">
        <f t="shared" si="1"/>
        <v>1</v>
      </c>
    </row>
    <row r="109" spans="1:11" hidden="1" x14ac:dyDescent="0.25">
      <c r="A109" t="s">
        <v>1543</v>
      </c>
      <c r="B109">
        <v>14121286847</v>
      </c>
      <c r="C109" t="s">
        <v>1546</v>
      </c>
      <c r="D109" t="s">
        <v>1545</v>
      </c>
      <c r="E109" t="s">
        <v>1550</v>
      </c>
      <c r="F109" t="s">
        <v>5637</v>
      </c>
      <c r="G109" t="s">
        <v>5672</v>
      </c>
      <c r="H109" t="s">
        <v>5637</v>
      </c>
      <c r="I109" t="s">
        <v>5639</v>
      </c>
      <c r="J109" t="b">
        <f>VLOOKUP(A109,'Demanda Bruta'!A:BF,58,0)</f>
        <v>0</v>
      </c>
      <c r="K109" t="b">
        <f t="shared" si="1"/>
        <v>1</v>
      </c>
    </row>
    <row r="110" spans="1:11" hidden="1" x14ac:dyDescent="0.25">
      <c r="A110" t="s">
        <v>1558</v>
      </c>
      <c r="B110">
        <v>62466682672</v>
      </c>
      <c r="C110" t="s">
        <v>1561</v>
      </c>
      <c r="D110" t="s">
        <v>1560</v>
      </c>
      <c r="E110" t="s">
        <v>182</v>
      </c>
      <c r="F110" t="s">
        <v>5637</v>
      </c>
      <c r="G110" t="s">
        <v>5664</v>
      </c>
      <c r="H110" t="s">
        <v>5637</v>
      </c>
      <c r="I110" t="s">
        <v>5639</v>
      </c>
      <c r="J110" t="b">
        <f>VLOOKUP(A110,'Demanda Bruta'!A:BF,58,0)</f>
        <v>0</v>
      </c>
      <c r="K110" t="b">
        <f t="shared" si="1"/>
        <v>1</v>
      </c>
    </row>
    <row r="111" spans="1:11" hidden="1" x14ac:dyDescent="0.25">
      <c r="A111" t="s">
        <v>1570</v>
      </c>
      <c r="B111">
        <v>9517709420</v>
      </c>
      <c r="C111" t="s">
        <v>1573</v>
      </c>
      <c r="D111" t="s">
        <v>1572</v>
      </c>
      <c r="E111" t="s">
        <v>78</v>
      </c>
      <c r="F111" t="s">
        <v>5634</v>
      </c>
      <c r="G111" t="s">
        <v>5635</v>
      </c>
      <c r="H111" t="s">
        <v>5634</v>
      </c>
      <c r="I111" t="s">
        <v>5636</v>
      </c>
      <c r="J111" t="b">
        <f>VLOOKUP(A111,'Demanda Bruta'!A:BF,58,0)</f>
        <v>1</v>
      </c>
      <c r="K111" t="b">
        <f t="shared" si="1"/>
        <v>1</v>
      </c>
    </row>
    <row r="112" spans="1:11" hidden="1" x14ac:dyDescent="0.25">
      <c r="A112" t="s">
        <v>1584</v>
      </c>
      <c r="B112">
        <v>715997890</v>
      </c>
      <c r="C112" t="s">
        <v>1587</v>
      </c>
      <c r="D112" t="s">
        <v>1586</v>
      </c>
      <c r="E112" t="s">
        <v>182</v>
      </c>
      <c r="F112" t="s">
        <v>5634</v>
      </c>
      <c r="G112" t="s">
        <v>5635</v>
      </c>
      <c r="H112" t="s">
        <v>5634</v>
      </c>
      <c r="I112" t="s">
        <v>5636</v>
      </c>
      <c r="J112" t="b">
        <f>VLOOKUP(A112,'Demanda Bruta'!A:BF,58,0)</f>
        <v>1</v>
      </c>
      <c r="K112" t="b">
        <f t="shared" si="1"/>
        <v>1</v>
      </c>
    </row>
    <row r="113" spans="1:11" hidden="1" x14ac:dyDescent="0.25">
      <c r="A113" t="s">
        <v>1596</v>
      </c>
      <c r="B113">
        <v>1463465807</v>
      </c>
      <c r="C113" t="s">
        <v>1599</v>
      </c>
      <c r="D113" t="s">
        <v>1598</v>
      </c>
      <c r="E113" t="s">
        <v>182</v>
      </c>
      <c r="F113" t="s">
        <v>5634</v>
      </c>
      <c r="G113" t="s">
        <v>5635</v>
      </c>
      <c r="H113" t="s">
        <v>5634</v>
      </c>
      <c r="I113" t="s">
        <v>5636</v>
      </c>
      <c r="J113" t="b">
        <f>VLOOKUP(A113,'Demanda Bruta'!A:BF,58,0)</f>
        <v>1</v>
      </c>
      <c r="K113" t="b">
        <f t="shared" si="1"/>
        <v>1</v>
      </c>
    </row>
    <row r="114" spans="1:11" hidden="1" x14ac:dyDescent="0.25">
      <c r="A114" t="s">
        <v>1610</v>
      </c>
      <c r="B114">
        <v>16933040828</v>
      </c>
      <c r="C114" t="s">
        <v>1613</v>
      </c>
      <c r="D114" t="s">
        <v>1612</v>
      </c>
      <c r="E114" t="s">
        <v>78</v>
      </c>
      <c r="F114" t="s">
        <v>5634</v>
      </c>
      <c r="G114" t="s">
        <v>5635</v>
      </c>
      <c r="H114" t="s">
        <v>5634</v>
      </c>
      <c r="I114" t="s">
        <v>5636</v>
      </c>
      <c r="J114" t="b">
        <f>VLOOKUP(A114,'Demanda Bruta'!A:BF,58,0)</f>
        <v>1</v>
      </c>
      <c r="K114" t="b">
        <f t="shared" si="1"/>
        <v>1</v>
      </c>
    </row>
    <row r="115" spans="1:11" hidden="1" x14ac:dyDescent="0.25">
      <c r="A115" t="s">
        <v>1621</v>
      </c>
      <c r="B115">
        <v>38268551836</v>
      </c>
      <c r="C115" t="s">
        <v>1624</v>
      </c>
      <c r="D115" t="s">
        <v>1623</v>
      </c>
      <c r="E115" t="s">
        <v>182</v>
      </c>
      <c r="F115" t="s">
        <v>5634</v>
      </c>
      <c r="G115" t="s">
        <v>5635</v>
      </c>
      <c r="H115" t="s">
        <v>5634</v>
      </c>
      <c r="I115" t="s">
        <v>5636</v>
      </c>
      <c r="J115" t="b">
        <f>VLOOKUP(A115,'Demanda Bruta'!A:BF,58,0)</f>
        <v>1</v>
      </c>
      <c r="K115" t="b">
        <f t="shared" si="1"/>
        <v>1</v>
      </c>
    </row>
    <row r="116" spans="1:11" hidden="1" x14ac:dyDescent="0.25">
      <c r="A116" t="s">
        <v>1633</v>
      </c>
      <c r="B116">
        <v>30675222818</v>
      </c>
      <c r="C116" t="s">
        <v>1636</v>
      </c>
      <c r="D116" t="s">
        <v>1635</v>
      </c>
      <c r="E116" t="s">
        <v>1642</v>
      </c>
      <c r="F116" t="s">
        <v>5637</v>
      </c>
      <c r="G116" t="s">
        <v>5673</v>
      </c>
      <c r="H116" t="s">
        <v>5637</v>
      </c>
      <c r="I116" t="s">
        <v>5639</v>
      </c>
      <c r="J116" t="b">
        <f>VLOOKUP(A116,'Demanda Bruta'!A:BF,58,0)</f>
        <v>0</v>
      </c>
      <c r="K116" t="b">
        <f t="shared" si="1"/>
        <v>1</v>
      </c>
    </row>
    <row r="117" spans="1:11" x14ac:dyDescent="0.25">
      <c r="A117" t="s">
        <v>1650</v>
      </c>
      <c r="B117">
        <v>13451616890</v>
      </c>
      <c r="C117" t="s">
        <v>1653</v>
      </c>
      <c r="D117" t="s">
        <v>1652</v>
      </c>
      <c r="E117" t="s">
        <v>182</v>
      </c>
      <c r="F117" t="s">
        <v>5634</v>
      </c>
      <c r="G117" t="s">
        <v>5635</v>
      </c>
      <c r="H117" t="s">
        <v>5634</v>
      </c>
      <c r="I117" t="s">
        <v>5636</v>
      </c>
      <c r="J117" t="b">
        <f>VLOOKUP(A117,'Demanda Bruta'!A:BF,58,0)</f>
        <v>1</v>
      </c>
      <c r="K117" t="b">
        <f t="shared" si="1"/>
        <v>1</v>
      </c>
    </row>
    <row r="118" spans="1:11" x14ac:dyDescent="0.25">
      <c r="A118" t="s">
        <v>1661</v>
      </c>
      <c r="B118">
        <v>13451616890</v>
      </c>
      <c r="C118" t="s">
        <v>1653</v>
      </c>
      <c r="D118" t="s">
        <v>1652</v>
      </c>
      <c r="E118" t="s">
        <v>182</v>
      </c>
      <c r="F118" t="s">
        <v>5634</v>
      </c>
      <c r="G118" t="s">
        <v>5635</v>
      </c>
      <c r="H118" t="s">
        <v>5634</v>
      </c>
      <c r="I118" t="s">
        <v>5636</v>
      </c>
      <c r="J118" t="b">
        <f>VLOOKUP(A118,'Demanda Bruta'!A:BF,58,0)</f>
        <v>1</v>
      </c>
      <c r="K118" t="b">
        <f t="shared" si="1"/>
        <v>1</v>
      </c>
    </row>
    <row r="119" spans="1:11" hidden="1" x14ac:dyDescent="0.25">
      <c r="A119" t="s">
        <v>1665</v>
      </c>
      <c r="B119">
        <v>76002900225</v>
      </c>
      <c r="C119" t="s">
        <v>1668</v>
      </c>
      <c r="D119" t="s">
        <v>1667</v>
      </c>
      <c r="E119" t="s">
        <v>362</v>
      </c>
      <c r="F119" t="s">
        <v>5637</v>
      </c>
      <c r="G119" t="s">
        <v>5648</v>
      </c>
      <c r="H119" t="s">
        <v>5637</v>
      </c>
      <c r="I119" t="s">
        <v>5639</v>
      </c>
      <c r="J119" t="b">
        <f>VLOOKUP(A119,'Demanda Bruta'!A:BF,58,0)</f>
        <v>0</v>
      </c>
      <c r="K119" t="b">
        <f t="shared" si="1"/>
        <v>1</v>
      </c>
    </row>
    <row r="120" spans="1:11" hidden="1" x14ac:dyDescent="0.25">
      <c r="A120" t="s">
        <v>1675</v>
      </c>
      <c r="B120">
        <v>82137480930</v>
      </c>
      <c r="C120" t="s">
        <v>1678</v>
      </c>
      <c r="D120" t="s">
        <v>1677</v>
      </c>
      <c r="E120" t="s">
        <v>1682</v>
      </c>
      <c r="F120" t="s">
        <v>5637</v>
      </c>
      <c r="G120" t="s">
        <v>5674</v>
      </c>
      <c r="H120" t="s">
        <v>5637</v>
      </c>
      <c r="I120" t="s">
        <v>5639</v>
      </c>
      <c r="J120" t="b">
        <f>VLOOKUP(A120,'Demanda Bruta'!A:BF,58,0)</f>
        <v>0</v>
      </c>
      <c r="K120" t="b">
        <f t="shared" si="1"/>
        <v>1</v>
      </c>
    </row>
    <row r="121" spans="1:11" hidden="1" x14ac:dyDescent="0.25">
      <c r="A121" t="s">
        <v>1689</v>
      </c>
      <c r="B121">
        <v>80344852504</v>
      </c>
      <c r="C121" t="s">
        <v>1692</v>
      </c>
      <c r="D121" t="s">
        <v>1691</v>
      </c>
      <c r="E121" t="s">
        <v>331</v>
      </c>
      <c r="F121" t="s">
        <v>5634</v>
      </c>
      <c r="G121" t="s">
        <v>5635</v>
      </c>
      <c r="H121" t="s">
        <v>5634</v>
      </c>
      <c r="I121" t="s">
        <v>5636</v>
      </c>
      <c r="J121" t="b">
        <f>VLOOKUP(A121,'Demanda Bruta'!A:BF,58,0)</f>
        <v>1</v>
      </c>
      <c r="K121" t="b">
        <f t="shared" si="1"/>
        <v>1</v>
      </c>
    </row>
    <row r="122" spans="1:11" hidden="1" x14ac:dyDescent="0.25">
      <c r="A122" t="s">
        <v>1700</v>
      </c>
      <c r="B122">
        <v>88330729753</v>
      </c>
      <c r="C122" t="s">
        <v>1703</v>
      </c>
      <c r="D122" t="s">
        <v>1702</v>
      </c>
      <c r="E122" t="s">
        <v>1708</v>
      </c>
      <c r="F122" t="s">
        <v>5637</v>
      </c>
      <c r="G122" t="s">
        <v>5675</v>
      </c>
      <c r="H122" t="s">
        <v>5637</v>
      </c>
      <c r="I122" t="s">
        <v>5639</v>
      </c>
      <c r="J122" t="b">
        <f>VLOOKUP(A122,'Demanda Bruta'!A:BF,58,0)</f>
        <v>0</v>
      </c>
      <c r="K122" t="b">
        <f t="shared" si="1"/>
        <v>1</v>
      </c>
    </row>
    <row r="123" spans="1:11" hidden="1" x14ac:dyDescent="0.25">
      <c r="A123" t="s">
        <v>1715</v>
      </c>
      <c r="B123">
        <v>28030060220</v>
      </c>
      <c r="C123" t="s">
        <v>1718</v>
      </c>
      <c r="D123" t="s">
        <v>1717</v>
      </c>
      <c r="E123" t="s">
        <v>331</v>
      </c>
      <c r="F123" t="s">
        <v>5634</v>
      </c>
      <c r="G123" t="s">
        <v>5635</v>
      </c>
      <c r="H123" t="s">
        <v>5634</v>
      </c>
      <c r="I123" t="s">
        <v>5636</v>
      </c>
      <c r="J123" t="b">
        <f>VLOOKUP(A123,'Demanda Bruta'!A:BF,58,0)</f>
        <v>1</v>
      </c>
      <c r="K123" t="b">
        <f t="shared" si="1"/>
        <v>1</v>
      </c>
    </row>
    <row r="124" spans="1:11" hidden="1" x14ac:dyDescent="0.25">
      <c r="A124" t="s">
        <v>1726</v>
      </c>
      <c r="B124">
        <v>29963610838</v>
      </c>
      <c r="C124" t="s">
        <v>1729</v>
      </c>
      <c r="D124" t="s">
        <v>1728</v>
      </c>
      <c r="E124" t="s">
        <v>281</v>
      </c>
      <c r="F124" t="s">
        <v>5634</v>
      </c>
      <c r="G124" t="s">
        <v>5635</v>
      </c>
      <c r="H124" t="s">
        <v>5634</v>
      </c>
      <c r="I124" t="s">
        <v>5636</v>
      </c>
      <c r="J124" t="b">
        <f>VLOOKUP(A124,'Demanda Bruta'!A:BF,58,0)</f>
        <v>1</v>
      </c>
      <c r="K124" t="b">
        <f t="shared" si="1"/>
        <v>1</v>
      </c>
    </row>
    <row r="125" spans="1:11" hidden="1" x14ac:dyDescent="0.25">
      <c r="A125" t="s">
        <v>1738</v>
      </c>
      <c r="B125">
        <v>22090578840</v>
      </c>
      <c r="C125" t="s">
        <v>1741</v>
      </c>
      <c r="D125" t="s">
        <v>1740</v>
      </c>
      <c r="E125" t="s">
        <v>131</v>
      </c>
      <c r="F125" t="s">
        <v>5637</v>
      </c>
      <c r="G125" t="s">
        <v>5640</v>
      </c>
      <c r="H125" t="s">
        <v>5637</v>
      </c>
      <c r="I125" t="s">
        <v>5639</v>
      </c>
      <c r="J125" t="b">
        <f>VLOOKUP(A125,'Demanda Bruta'!A:BF,58,0)</f>
        <v>0</v>
      </c>
      <c r="K125" t="b">
        <f t="shared" si="1"/>
        <v>1</v>
      </c>
    </row>
    <row r="126" spans="1:11" hidden="1" x14ac:dyDescent="0.25">
      <c r="A126" t="s">
        <v>1749</v>
      </c>
      <c r="B126">
        <v>7689492703</v>
      </c>
      <c r="C126" t="s">
        <v>1752</v>
      </c>
      <c r="D126" t="s">
        <v>1751</v>
      </c>
      <c r="E126" t="s">
        <v>182</v>
      </c>
      <c r="F126" t="s">
        <v>5634</v>
      </c>
      <c r="G126" t="s">
        <v>5635</v>
      </c>
      <c r="H126" t="s">
        <v>5634</v>
      </c>
      <c r="I126" t="s">
        <v>5636</v>
      </c>
      <c r="J126" t="b">
        <f>VLOOKUP(A126,'Demanda Bruta'!A:BF,58,0)</f>
        <v>1</v>
      </c>
      <c r="K126" t="b">
        <f t="shared" si="1"/>
        <v>1</v>
      </c>
    </row>
    <row r="127" spans="1:11" hidden="1" x14ac:dyDescent="0.25">
      <c r="A127" t="s">
        <v>1761</v>
      </c>
      <c r="B127">
        <v>227948084</v>
      </c>
      <c r="C127" t="s">
        <v>1764</v>
      </c>
      <c r="D127" t="s">
        <v>1763</v>
      </c>
      <c r="E127" t="s">
        <v>1768</v>
      </c>
      <c r="F127" t="s">
        <v>5637</v>
      </c>
      <c r="G127" t="s">
        <v>5676</v>
      </c>
      <c r="H127" t="s">
        <v>5637</v>
      </c>
      <c r="I127" t="s">
        <v>5639</v>
      </c>
      <c r="J127" t="b">
        <f>VLOOKUP(A127,'Demanda Bruta'!A:BF,58,0)</f>
        <v>0</v>
      </c>
      <c r="K127" t="b">
        <f t="shared" si="1"/>
        <v>1</v>
      </c>
    </row>
    <row r="128" spans="1:11" hidden="1" x14ac:dyDescent="0.25">
      <c r="A128" t="s">
        <v>1777</v>
      </c>
      <c r="B128">
        <v>14946720812</v>
      </c>
      <c r="C128" t="s">
        <v>1780</v>
      </c>
      <c r="D128" t="s">
        <v>1779</v>
      </c>
      <c r="E128" t="s">
        <v>1783</v>
      </c>
      <c r="F128" t="s">
        <v>5637</v>
      </c>
      <c r="G128" t="s">
        <v>5677</v>
      </c>
      <c r="H128" t="s">
        <v>5637</v>
      </c>
      <c r="I128" t="s">
        <v>5639</v>
      </c>
      <c r="J128" t="b">
        <f>VLOOKUP(A128,'Demanda Bruta'!A:BF,58,0)</f>
        <v>0</v>
      </c>
      <c r="K128" t="b">
        <f t="shared" si="1"/>
        <v>1</v>
      </c>
    </row>
    <row r="129" spans="1:11" hidden="1" x14ac:dyDescent="0.25">
      <c r="A129" t="s">
        <v>1790</v>
      </c>
      <c r="B129">
        <v>1240182627</v>
      </c>
      <c r="C129" t="s">
        <v>1793</v>
      </c>
      <c r="D129" t="s">
        <v>1792</v>
      </c>
      <c r="E129" t="s">
        <v>1642</v>
      </c>
      <c r="F129" t="s">
        <v>5637</v>
      </c>
      <c r="G129" t="s">
        <v>5673</v>
      </c>
      <c r="H129" t="s">
        <v>5637</v>
      </c>
      <c r="I129" t="s">
        <v>5639</v>
      </c>
      <c r="J129" t="b">
        <f>VLOOKUP(A129,'Demanda Bruta'!A:BF,58,0)</f>
        <v>0</v>
      </c>
      <c r="K129" t="b">
        <f t="shared" si="1"/>
        <v>1</v>
      </c>
    </row>
    <row r="130" spans="1:11" hidden="1" x14ac:dyDescent="0.25">
      <c r="A130" t="s">
        <v>1804</v>
      </c>
      <c r="B130">
        <v>20928637204</v>
      </c>
      <c r="C130" t="s">
        <v>1807</v>
      </c>
      <c r="D130" t="s">
        <v>1806</v>
      </c>
      <c r="E130" t="s">
        <v>1813</v>
      </c>
      <c r="F130" t="s">
        <v>5637</v>
      </c>
      <c r="G130" t="s">
        <v>5678</v>
      </c>
      <c r="H130" t="s">
        <v>5637</v>
      </c>
      <c r="I130" t="s">
        <v>5639</v>
      </c>
      <c r="J130" t="b">
        <f>VLOOKUP(A130,'Demanda Bruta'!A:BF,58,0)</f>
        <v>0</v>
      </c>
      <c r="K130" t="b">
        <f t="shared" si="1"/>
        <v>1</v>
      </c>
    </row>
    <row r="131" spans="1:11" hidden="1" x14ac:dyDescent="0.25">
      <c r="A131" t="s">
        <v>1822</v>
      </c>
      <c r="B131">
        <v>47283106120</v>
      </c>
      <c r="C131" t="s">
        <v>1825</v>
      </c>
      <c r="D131" t="s">
        <v>1824</v>
      </c>
      <c r="E131" t="s">
        <v>182</v>
      </c>
      <c r="F131" t="s">
        <v>5634</v>
      </c>
      <c r="G131" t="s">
        <v>5635</v>
      </c>
      <c r="H131" t="s">
        <v>5634</v>
      </c>
      <c r="I131" t="s">
        <v>5636</v>
      </c>
      <c r="J131" t="b">
        <f>VLOOKUP(A131,'Demanda Bruta'!A:BF,58,0)</f>
        <v>1</v>
      </c>
      <c r="K131" t="b">
        <f t="shared" ref="K131:K194" si="2">IF(IF(H131="Sim",TRUE,FALSE)=J131,TRUE,FALSE)</f>
        <v>1</v>
      </c>
    </row>
    <row r="132" spans="1:11" hidden="1" x14ac:dyDescent="0.25">
      <c r="A132" t="s">
        <v>1834</v>
      </c>
      <c r="B132">
        <v>27809367897</v>
      </c>
      <c r="C132" t="s">
        <v>1837</v>
      </c>
      <c r="D132" t="s">
        <v>1836</v>
      </c>
      <c r="E132" t="s">
        <v>1841</v>
      </c>
      <c r="F132" t="s">
        <v>5637</v>
      </c>
      <c r="G132" t="s">
        <v>5679</v>
      </c>
      <c r="H132" t="s">
        <v>5637</v>
      </c>
      <c r="I132" t="s">
        <v>5639</v>
      </c>
      <c r="J132" t="b">
        <f>VLOOKUP(A132,'Demanda Bruta'!A:BF,58,0)</f>
        <v>0</v>
      </c>
      <c r="K132" t="b">
        <f t="shared" si="2"/>
        <v>1</v>
      </c>
    </row>
    <row r="133" spans="1:11" hidden="1" x14ac:dyDescent="0.25">
      <c r="A133" t="s">
        <v>1848</v>
      </c>
      <c r="B133">
        <v>56171897949</v>
      </c>
      <c r="C133" t="s">
        <v>1851</v>
      </c>
      <c r="D133" t="s">
        <v>1850</v>
      </c>
      <c r="E133" t="s">
        <v>78</v>
      </c>
      <c r="F133" t="s">
        <v>5637</v>
      </c>
      <c r="G133" t="s">
        <v>5680</v>
      </c>
      <c r="H133" t="s">
        <v>5637</v>
      </c>
      <c r="I133" t="s">
        <v>5639</v>
      </c>
      <c r="J133" t="b">
        <f>VLOOKUP(A133,'Demanda Bruta'!A:BF,58,0)</f>
        <v>0</v>
      </c>
      <c r="K133" t="b">
        <f t="shared" si="2"/>
        <v>1</v>
      </c>
    </row>
    <row r="134" spans="1:11" hidden="1" x14ac:dyDescent="0.25">
      <c r="A134" t="s">
        <v>1859</v>
      </c>
      <c r="B134">
        <v>72593750944</v>
      </c>
      <c r="C134" t="s">
        <v>1862</v>
      </c>
      <c r="D134" t="s">
        <v>1861</v>
      </c>
      <c r="E134" t="s">
        <v>331</v>
      </c>
      <c r="F134" t="s">
        <v>5637</v>
      </c>
      <c r="G134" t="s">
        <v>5648</v>
      </c>
      <c r="H134" t="s">
        <v>5634</v>
      </c>
      <c r="I134" t="s">
        <v>5636</v>
      </c>
      <c r="J134" t="b">
        <f>VLOOKUP(A134,'Demanda Bruta'!A:BF,58,0)</f>
        <v>1</v>
      </c>
      <c r="K134" t="b">
        <f t="shared" si="2"/>
        <v>1</v>
      </c>
    </row>
    <row r="135" spans="1:11" hidden="1" x14ac:dyDescent="0.25">
      <c r="A135" t="s">
        <v>1873</v>
      </c>
      <c r="B135">
        <v>1414358520</v>
      </c>
      <c r="C135" t="s">
        <v>1876</v>
      </c>
      <c r="D135" t="s">
        <v>1875</v>
      </c>
      <c r="E135" t="s">
        <v>182</v>
      </c>
      <c r="F135" t="s">
        <v>5634</v>
      </c>
      <c r="G135" t="s">
        <v>5635</v>
      </c>
      <c r="H135" t="s">
        <v>5634</v>
      </c>
      <c r="I135" t="s">
        <v>5636</v>
      </c>
      <c r="J135" t="b">
        <f>VLOOKUP(A135,'Demanda Bruta'!A:BF,58,0)</f>
        <v>1</v>
      </c>
      <c r="K135" t="b">
        <f t="shared" si="2"/>
        <v>1</v>
      </c>
    </row>
    <row r="136" spans="1:11" hidden="1" x14ac:dyDescent="0.25">
      <c r="A136" t="s">
        <v>1886</v>
      </c>
      <c r="B136">
        <v>5260943899</v>
      </c>
      <c r="C136" t="s">
        <v>1889</v>
      </c>
      <c r="D136" t="s">
        <v>1888</v>
      </c>
      <c r="E136" t="s">
        <v>182</v>
      </c>
      <c r="F136" t="s">
        <v>5634</v>
      </c>
      <c r="G136" t="s">
        <v>5635</v>
      </c>
      <c r="H136" t="s">
        <v>5634</v>
      </c>
      <c r="I136" t="s">
        <v>5636</v>
      </c>
      <c r="J136" t="b">
        <f>VLOOKUP(A136,'Demanda Bruta'!A:BF,58,0)</f>
        <v>1</v>
      </c>
      <c r="K136" t="b">
        <f t="shared" si="2"/>
        <v>1</v>
      </c>
    </row>
    <row r="137" spans="1:11" hidden="1" x14ac:dyDescent="0.25">
      <c r="A137" t="s">
        <v>1898</v>
      </c>
      <c r="B137">
        <v>8411066819</v>
      </c>
      <c r="C137" t="s">
        <v>1901</v>
      </c>
      <c r="D137" t="s">
        <v>1900</v>
      </c>
      <c r="E137" t="s">
        <v>1905</v>
      </c>
      <c r="F137" t="s">
        <v>5637</v>
      </c>
      <c r="G137" t="s">
        <v>5681</v>
      </c>
      <c r="H137" t="s">
        <v>5637</v>
      </c>
      <c r="I137" t="s">
        <v>5639</v>
      </c>
      <c r="J137" t="b">
        <f>VLOOKUP(A137,'Demanda Bruta'!A:BF,58,0)</f>
        <v>0</v>
      </c>
      <c r="K137" t="b">
        <f t="shared" si="2"/>
        <v>1</v>
      </c>
    </row>
    <row r="138" spans="1:11" hidden="1" x14ac:dyDescent="0.25">
      <c r="A138" t="s">
        <v>1913</v>
      </c>
      <c r="B138">
        <v>72035714753</v>
      </c>
      <c r="C138" t="s">
        <v>1916</v>
      </c>
      <c r="D138" t="s">
        <v>1915</v>
      </c>
      <c r="E138" t="s">
        <v>182</v>
      </c>
      <c r="F138" t="s">
        <v>5634</v>
      </c>
      <c r="G138" t="s">
        <v>5635</v>
      </c>
      <c r="H138" t="s">
        <v>5634</v>
      </c>
      <c r="I138" t="s">
        <v>5636</v>
      </c>
      <c r="J138" t="b">
        <f>VLOOKUP(A138,'Demanda Bruta'!A:BF,58,0)</f>
        <v>1</v>
      </c>
      <c r="K138" t="b">
        <f t="shared" si="2"/>
        <v>1</v>
      </c>
    </row>
    <row r="139" spans="1:11" hidden="1" x14ac:dyDescent="0.25">
      <c r="A139" t="s">
        <v>1925</v>
      </c>
      <c r="B139">
        <v>50901990000</v>
      </c>
      <c r="C139" t="s">
        <v>1928</v>
      </c>
      <c r="D139" t="s">
        <v>1927</v>
      </c>
      <c r="E139" t="s">
        <v>331</v>
      </c>
      <c r="F139" t="s">
        <v>5634</v>
      </c>
      <c r="G139" t="s">
        <v>5635</v>
      </c>
      <c r="H139" t="s">
        <v>5634</v>
      </c>
      <c r="I139" t="s">
        <v>5636</v>
      </c>
      <c r="J139" t="b">
        <f>VLOOKUP(A139,'Demanda Bruta'!A:BF,58,0)</f>
        <v>1</v>
      </c>
      <c r="K139" t="b">
        <f t="shared" si="2"/>
        <v>1</v>
      </c>
    </row>
    <row r="140" spans="1:11" hidden="1" x14ac:dyDescent="0.25">
      <c r="A140" t="s">
        <v>1936</v>
      </c>
      <c r="B140">
        <v>37132725149</v>
      </c>
      <c r="C140" t="s">
        <v>1939</v>
      </c>
      <c r="D140" t="s">
        <v>1938</v>
      </c>
      <c r="E140" t="s">
        <v>331</v>
      </c>
      <c r="F140" t="s">
        <v>5634</v>
      </c>
      <c r="G140" t="s">
        <v>5635</v>
      </c>
      <c r="H140" t="s">
        <v>5634</v>
      </c>
      <c r="I140" t="s">
        <v>5636</v>
      </c>
      <c r="J140" t="b">
        <f>VLOOKUP(A140,'Demanda Bruta'!A:BF,58,0)</f>
        <v>1</v>
      </c>
      <c r="K140" t="b">
        <f t="shared" si="2"/>
        <v>1</v>
      </c>
    </row>
    <row r="141" spans="1:11" hidden="1" x14ac:dyDescent="0.25">
      <c r="A141" t="s">
        <v>1947</v>
      </c>
      <c r="B141">
        <v>78632390104</v>
      </c>
      <c r="C141" t="s">
        <v>1950</v>
      </c>
      <c r="D141" t="s">
        <v>1949</v>
      </c>
      <c r="E141" t="s">
        <v>1954</v>
      </c>
      <c r="F141" t="s">
        <v>5637</v>
      </c>
      <c r="G141" t="s">
        <v>5682</v>
      </c>
      <c r="H141" t="s">
        <v>5637</v>
      </c>
      <c r="I141" t="s">
        <v>5639</v>
      </c>
      <c r="J141" t="b">
        <f>VLOOKUP(A141,'Demanda Bruta'!A:BF,58,0)</f>
        <v>0</v>
      </c>
      <c r="K141" t="b">
        <f t="shared" si="2"/>
        <v>1</v>
      </c>
    </row>
    <row r="142" spans="1:11" hidden="1" x14ac:dyDescent="0.25">
      <c r="A142" t="s">
        <v>1962</v>
      </c>
      <c r="B142">
        <v>31580653634</v>
      </c>
      <c r="C142" t="s">
        <v>1965</v>
      </c>
      <c r="D142" t="s">
        <v>1964</v>
      </c>
      <c r="E142" t="s">
        <v>182</v>
      </c>
      <c r="F142" t="s">
        <v>5634</v>
      </c>
      <c r="G142" t="s">
        <v>5635</v>
      </c>
      <c r="H142" t="s">
        <v>5634</v>
      </c>
      <c r="I142" t="s">
        <v>5636</v>
      </c>
      <c r="J142" t="b">
        <f>VLOOKUP(A142,'Demanda Bruta'!A:BF,58,0)</f>
        <v>1</v>
      </c>
      <c r="K142" t="b">
        <f t="shared" si="2"/>
        <v>1</v>
      </c>
    </row>
    <row r="143" spans="1:11" hidden="1" x14ac:dyDescent="0.25">
      <c r="A143" t="s">
        <v>1974</v>
      </c>
      <c r="B143">
        <v>61043087672</v>
      </c>
      <c r="C143" t="s">
        <v>1977</v>
      </c>
      <c r="D143" t="s">
        <v>1976</v>
      </c>
      <c r="E143" t="s">
        <v>1980</v>
      </c>
      <c r="F143" t="s">
        <v>5637</v>
      </c>
      <c r="G143" t="s">
        <v>5683</v>
      </c>
      <c r="H143" t="s">
        <v>5637</v>
      </c>
      <c r="I143" t="s">
        <v>5639</v>
      </c>
      <c r="J143" t="b">
        <f>VLOOKUP(A143,'Demanda Bruta'!A:BF,58,0)</f>
        <v>0</v>
      </c>
      <c r="K143" t="b">
        <f t="shared" si="2"/>
        <v>1</v>
      </c>
    </row>
    <row r="144" spans="1:11" hidden="1" x14ac:dyDescent="0.25">
      <c r="A144" t="s">
        <v>1986</v>
      </c>
      <c r="B144">
        <v>97677043887</v>
      </c>
      <c r="C144" t="s">
        <v>1989</v>
      </c>
      <c r="D144" t="s">
        <v>1988</v>
      </c>
      <c r="E144" t="s">
        <v>331</v>
      </c>
      <c r="F144" t="s">
        <v>5634</v>
      </c>
      <c r="G144" t="s">
        <v>5635</v>
      </c>
      <c r="H144" t="s">
        <v>5634</v>
      </c>
      <c r="I144" t="s">
        <v>5636</v>
      </c>
      <c r="J144" t="b">
        <f>VLOOKUP(A144,'Demanda Bruta'!A:BF,58,0)</f>
        <v>1</v>
      </c>
      <c r="K144" t="b">
        <f t="shared" si="2"/>
        <v>1</v>
      </c>
    </row>
    <row r="145" spans="1:11" hidden="1" x14ac:dyDescent="0.25">
      <c r="A145" t="s">
        <v>1998</v>
      </c>
      <c r="B145">
        <v>15724356821</v>
      </c>
      <c r="C145" t="s">
        <v>2001</v>
      </c>
      <c r="D145" t="s">
        <v>2000</v>
      </c>
      <c r="E145" t="s">
        <v>182</v>
      </c>
      <c r="F145" t="s">
        <v>5634</v>
      </c>
      <c r="G145" t="s">
        <v>5635</v>
      </c>
      <c r="H145" t="s">
        <v>5634</v>
      </c>
      <c r="I145" t="s">
        <v>5636</v>
      </c>
      <c r="J145" t="b">
        <f>VLOOKUP(A145,'Demanda Bruta'!A:BF,58,0)</f>
        <v>1</v>
      </c>
      <c r="K145" t="b">
        <f t="shared" si="2"/>
        <v>1</v>
      </c>
    </row>
    <row r="146" spans="1:11" hidden="1" x14ac:dyDescent="0.25">
      <c r="A146" t="s">
        <v>2011</v>
      </c>
      <c r="B146">
        <v>71512950220</v>
      </c>
      <c r="C146" t="s">
        <v>2014</v>
      </c>
      <c r="D146" t="s">
        <v>2013</v>
      </c>
      <c r="E146" t="s">
        <v>78</v>
      </c>
      <c r="F146" t="s">
        <v>5634</v>
      </c>
      <c r="G146" t="s">
        <v>5635</v>
      </c>
      <c r="H146" t="s">
        <v>5634</v>
      </c>
      <c r="I146" t="s">
        <v>5636</v>
      </c>
      <c r="J146" t="b">
        <f>VLOOKUP(A146,'Demanda Bruta'!A:BF,58,0)</f>
        <v>1</v>
      </c>
      <c r="K146" t="b">
        <f t="shared" si="2"/>
        <v>1</v>
      </c>
    </row>
    <row r="147" spans="1:11" hidden="1" x14ac:dyDescent="0.25">
      <c r="A147" t="s">
        <v>2025</v>
      </c>
      <c r="B147">
        <v>2936460824</v>
      </c>
      <c r="C147" t="s">
        <v>2028</v>
      </c>
      <c r="D147" t="s">
        <v>2027</v>
      </c>
      <c r="E147" t="s">
        <v>281</v>
      </c>
      <c r="F147" t="s">
        <v>5637</v>
      </c>
      <c r="G147" t="s">
        <v>5643</v>
      </c>
      <c r="H147" t="s">
        <v>5637</v>
      </c>
      <c r="I147" t="s">
        <v>5639</v>
      </c>
      <c r="J147" t="b">
        <f>VLOOKUP(A147,'Demanda Bruta'!A:BF,58,0)</f>
        <v>0</v>
      </c>
      <c r="K147" t="b">
        <f t="shared" si="2"/>
        <v>1</v>
      </c>
    </row>
    <row r="148" spans="1:11" hidden="1" x14ac:dyDescent="0.25">
      <c r="A148" t="s">
        <v>2037</v>
      </c>
      <c r="B148">
        <v>7716459457</v>
      </c>
      <c r="C148" t="s">
        <v>2040</v>
      </c>
      <c r="D148" t="s">
        <v>2039</v>
      </c>
      <c r="E148" t="s">
        <v>2043</v>
      </c>
      <c r="F148" t="s">
        <v>5637</v>
      </c>
      <c r="G148" t="s">
        <v>5684</v>
      </c>
      <c r="H148" t="s">
        <v>5637</v>
      </c>
      <c r="I148" t="s">
        <v>5639</v>
      </c>
      <c r="J148" t="b">
        <f>VLOOKUP(A148,'Demanda Bruta'!A:BF,58,0)</f>
        <v>0</v>
      </c>
      <c r="K148" t="b">
        <f t="shared" si="2"/>
        <v>1</v>
      </c>
    </row>
    <row r="149" spans="1:11" hidden="1" x14ac:dyDescent="0.25">
      <c r="A149" t="s">
        <v>2051</v>
      </c>
      <c r="B149">
        <v>7638730470</v>
      </c>
      <c r="C149" t="s">
        <v>2054</v>
      </c>
      <c r="D149" t="s">
        <v>2053</v>
      </c>
      <c r="E149" t="s">
        <v>2058</v>
      </c>
      <c r="F149" t="s">
        <v>5637</v>
      </c>
      <c r="G149" t="s">
        <v>5685</v>
      </c>
      <c r="H149" t="s">
        <v>5637</v>
      </c>
      <c r="I149" t="s">
        <v>5639</v>
      </c>
      <c r="J149" t="b">
        <f>VLOOKUP(A149,'Demanda Bruta'!A:BF,58,0)</f>
        <v>0</v>
      </c>
      <c r="K149" t="b">
        <f t="shared" si="2"/>
        <v>1</v>
      </c>
    </row>
    <row r="150" spans="1:11" hidden="1" x14ac:dyDescent="0.25">
      <c r="A150" t="s">
        <v>2066</v>
      </c>
      <c r="B150">
        <v>25705954204</v>
      </c>
      <c r="C150" t="s">
        <v>2069</v>
      </c>
      <c r="D150" t="s">
        <v>2068</v>
      </c>
      <c r="E150" t="s">
        <v>664</v>
      </c>
      <c r="F150" t="s">
        <v>5637</v>
      </c>
      <c r="G150" t="s">
        <v>5686</v>
      </c>
      <c r="H150" t="s">
        <v>5637</v>
      </c>
      <c r="I150" t="s">
        <v>5639</v>
      </c>
      <c r="J150" t="b">
        <f>VLOOKUP(A150,'Demanda Bruta'!A:BF,58,0)</f>
        <v>0</v>
      </c>
      <c r="K150" t="b">
        <f t="shared" si="2"/>
        <v>1</v>
      </c>
    </row>
    <row r="151" spans="1:11" hidden="1" x14ac:dyDescent="0.25">
      <c r="A151" t="s">
        <v>2080</v>
      </c>
      <c r="B151">
        <v>67486185253</v>
      </c>
      <c r="C151" t="s">
        <v>2083</v>
      </c>
      <c r="D151" t="s">
        <v>2082</v>
      </c>
      <c r="E151" t="s">
        <v>78</v>
      </c>
      <c r="F151" t="s">
        <v>5634</v>
      </c>
      <c r="G151" t="s">
        <v>5635</v>
      </c>
      <c r="H151" t="s">
        <v>5634</v>
      </c>
      <c r="I151" t="s">
        <v>5636</v>
      </c>
      <c r="J151" t="b">
        <f>VLOOKUP(A151,'Demanda Bruta'!A:BF,58,0)</f>
        <v>1</v>
      </c>
      <c r="K151" t="b">
        <f t="shared" si="2"/>
        <v>1</v>
      </c>
    </row>
    <row r="152" spans="1:11" hidden="1" x14ac:dyDescent="0.25">
      <c r="A152" t="s">
        <v>2091</v>
      </c>
      <c r="B152">
        <v>2116242843</v>
      </c>
      <c r="C152" t="s">
        <v>2094</v>
      </c>
      <c r="D152" t="s">
        <v>2093</v>
      </c>
      <c r="E152" t="s">
        <v>182</v>
      </c>
      <c r="F152" t="s">
        <v>5637</v>
      </c>
      <c r="G152" t="s">
        <v>5648</v>
      </c>
      <c r="H152" t="s">
        <v>5637</v>
      </c>
      <c r="I152" t="s">
        <v>5639</v>
      </c>
      <c r="J152" t="b">
        <f>VLOOKUP(A152,'Demanda Bruta'!A:BF,58,0)</f>
        <v>0</v>
      </c>
      <c r="K152" t="b">
        <f t="shared" si="2"/>
        <v>1</v>
      </c>
    </row>
    <row r="153" spans="1:11" hidden="1" x14ac:dyDescent="0.25">
      <c r="A153" t="s">
        <v>2103</v>
      </c>
      <c r="B153">
        <v>5385867705</v>
      </c>
      <c r="C153" t="s">
        <v>2106</v>
      </c>
      <c r="D153" t="s">
        <v>2105</v>
      </c>
      <c r="E153" t="s">
        <v>2111</v>
      </c>
      <c r="F153" t="s">
        <v>5634</v>
      </c>
      <c r="G153" t="s">
        <v>5635</v>
      </c>
      <c r="H153" t="s">
        <v>5634</v>
      </c>
      <c r="I153" t="s">
        <v>5636</v>
      </c>
      <c r="J153" t="b">
        <f>VLOOKUP(A153,'Demanda Bruta'!A:BF,58,0)</f>
        <v>1</v>
      </c>
      <c r="K153" t="b">
        <f t="shared" si="2"/>
        <v>1</v>
      </c>
    </row>
    <row r="154" spans="1:11" hidden="1" x14ac:dyDescent="0.25">
      <c r="A154" t="s">
        <v>2122</v>
      </c>
      <c r="B154">
        <v>3569431436</v>
      </c>
      <c r="C154" t="s">
        <v>2125</v>
      </c>
      <c r="D154" t="s">
        <v>2124</v>
      </c>
      <c r="E154" t="s">
        <v>2131</v>
      </c>
      <c r="F154" t="s">
        <v>5634</v>
      </c>
      <c r="G154" t="s">
        <v>5635</v>
      </c>
      <c r="H154" t="s">
        <v>5634</v>
      </c>
      <c r="I154" t="s">
        <v>5636</v>
      </c>
      <c r="J154" t="b">
        <f>VLOOKUP(A154,'Demanda Bruta'!A:BF,58,0)</f>
        <v>1</v>
      </c>
      <c r="K154" t="b">
        <f t="shared" si="2"/>
        <v>1</v>
      </c>
    </row>
    <row r="155" spans="1:11" hidden="1" x14ac:dyDescent="0.25">
      <c r="A155" t="s">
        <v>2139</v>
      </c>
      <c r="B155">
        <v>33017654753</v>
      </c>
      <c r="C155" t="s">
        <v>2142</v>
      </c>
      <c r="D155" t="s">
        <v>2141</v>
      </c>
      <c r="E155" t="s">
        <v>2148</v>
      </c>
      <c r="F155" t="s">
        <v>5634</v>
      </c>
      <c r="G155" t="s">
        <v>5635</v>
      </c>
      <c r="H155" t="s">
        <v>5634</v>
      </c>
      <c r="I155" t="s">
        <v>5636</v>
      </c>
      <c r="J155" t="b">
        <f>VLOOKUP(A155,'Demanda Bruta'!A:BF,58,0)</f>
        <v>1</v>
      </c>
      <c r="K155" t="b">
        <f t="shared" si="2"/>
        <v>1</v>
      </c>
    </row>
    <row r="156" spans="1:11" hidden="1" x14ac:dyDescent="0.25">
      <c r="A156" t="s">
        <v>2157</v>
      </c>
      <c r="B156">
        <v>62145738487</v>
      </c>
      <c r="C156" t="s">
        <v>2160</v>
      </c>
      <c r="D156" t="s">
        <v>2159</v>
      </c>
      <c r="E156" t="s">
        <v>2163</v>
      </c>
      <c r="F156" t="s">
        <v>5637</v>
      </c>
      <c r="G156" t="s">
        <v>5687</v>
      </c>
      <c r="H156" t="s">
        <v>5637</v>
      </c>
      <c r="I156" t="s">
        <v>5639</v>
      </c>
      <c r="J156" t="b">
        <f>VLOOKUP(A156,'Demanda Bruta'!A:BF,58,0)</f>
        <v>0</v>
      </c>
      <c r="K156" t="b">
        <f t="shared" si="2"/>
        <v>1</v>
      </c>
    </row>
    <row r="157" spans="1:11" hidden="1" x14ac:dyDescent="0.25">
      <c r="A157" t="s">
        <v>2171</v>
      </c>
      <c r="B157">
        <v>83328386068</v>
      </c>
      <c r="C157" t="s">
        <v>2174</v>
      </c>
      <c r="D157" t="s">
        <v>2173</v>
      </c>
      <c r="E157" t="s">
        <v>2131</v>
      </c>
      <c r="F157" t="s">
        <v>5634</v>
      </c>
      <c r="G157" t="s">
        <v>5635</v>
      </c>
      <c r="H157" t="s">
        <v>5634</v>
      </c>
      <c r="I157" t="s">
        <v>5636</v>
      </c>
      <c r="J157" t="b">
        <f>VLOOKUP(A157,'Demanda Bruta'!A:BF,58,0)</f>
        <v>1</v>
      </c>
      <c r="K157" t="b">
        <f t="shared" si="2"/>
        <v>1</v>
      </c>
    </row>
    <row r="158" spans="1:11" hidden="1" x14ac:dyDescent="0.25">
      <c r="A158" t="s">
        <v>2182</v>
      </c>
      <c r="B158">
        <v>4348951489</v>
      </c>
      <c r="C158" t="s">
        <v>2185</v>
      </c>
      <c r="D158" t="s">
        <v>2184</v>
      </c>
      <c r="E158" t="s">
        <v>2111</v>
      </c>
      <c r="F158" t="s">
        <v>5634</v>
      </c>
      <c r="G158" t="s">
        <v>5635</v>
      </c>
      <c r="H158" t="s">
        <v>5634</v>
      </c>
      <c r="I158" t="s">
        <v>5636</v>
      </c>
      <c r="J158" t="b">
        <f>VLOOKUP(A158,'Demanda Bruta'!A:BF,58,0)</f>
        <v>1</v>
      </c>
      <c r="K158" t="b">
        <f t="shared" si="2"/>
        <v>1</v>
      </c>
    </row>
    <row r="159" spans="1:11" hidden="1" x14ac:dyDescent="0.25">
      <c r="A159" t="s">
        <v>2194</v>
      </c>
      <c r="B159">
        <v>7796971702</v>
      </c>
      <c r="C159" t="s">
        <v>2197</v>
      </c>
      <c r="D159" t="s">
        <v>2196</v>
      </c>
      <c r="E159" t="s">
        <v>2148</v>
      </c>
      <c r="F159" t="s">
        <v>5634</v>
      </c>
      <c r="G159" t="s">
        <v>5635</v>
      </c>
      <c r="H159" t="s">
        <v>5634</v>
      </c>
      <c r="I159" t="s">
        <v>5636</v>
      </c>
      <c r="J159" t="b">
        <f>VLOOKUP(A159,'Demanda Bruta'!A:BF,58,0)</f>
        <v>1</v>
      </c>
      <c r="K159" t="b">
        <f t="shared" si="2"/>
        <v>1</v>
      </c>
    </row>
    <row r="160" spans="1:11" hidden="1" x14ac:dyDescent="0.25">
      <c r="A160" t="s">
        <v>2205</v>
      </c>
      <c r="B160">
        <v>7833611735</v>
      </c>
      <c r="C160" t="s">
        <v>2208</v>
      </c>
      <c r="D160" t="s">
        <v>2207</v>
      </c>
      <c r="E160" t="s">
        <v>509</v>
      </c>
      <c r="F160" t="s">
        <v>5637</v>
      </c>
      <c r="G160" t="s">
        <v>5688</v>
      </c>
      <c r="H160" t="s">
        <v>5637</v>
      </c>
      <c r="I160" t="s">
        <v>5639</v>
      </c>
      <c r="J160" t="b">
        <f>VLOOKUP(A160,'Demanda Bruta'!A:BF,58,0)</f>
        <v>0</v>
      </c>
      <c r="K160" t="b">
        <f t="shared" si="2"/>
        <v>1</v>
      </c>
    </row>
    <row r="161" spans="1:11" hidden="1" x14ac:dyDescent="0.25">
      <c r="A161" t="s">
        <v>2219</v>
      </c>
      <c r="B161">
        <v>364747706</v>
      </c>
      <c r="C161" t="s">
        <v>2222</v>
      </c>
      <c r="D161" t="s">
        <v>2221</v>
      </c>
      <c r="E161" t="s">
        <v>2225</v>
      </c>
      <c r="F161" t="s">
        <v>5637</v>
      </c>
      <c r="G161" t="s">
        <v>5689</v>
      </c>
      <c r="H161" t="s">
        <v>5637</v>
      </c>
      <c r="I161" t="s">
        <v>5639</v>
      </c>
      <c r="J161" t="b">
        <f>VLOOKUP(A161,'Demanda Bruta'!A:BF,58,0)</f>
        <v>0</v>
      </c>
      <c r="K161" t="b">
        <f t="shared" si="2"/>
        <v>1</v>
      </c>
    </row>
    <row r="162" spans="1:11" hidden="1" x14ac:dyDescent="0.25">
      <c r="A162" t="s">
        <v>2231</v>
      </c>
      <c r="B162">
        <v>13578685615</v>
      </c>
      <c r="C162" t="s">
        <v>2234</v>
      </c>
      <c r="D162" t="s">
        <v>2233</v>
      </c>
      <c r="E162" t="s">
        <v>2240</v>
      </c>
      <c r="F162" t="s">
        <v>5637</v>
      </c>
      <c r="G162" t="s">
        <v>5690</v>
      </c>
      <c r="H162" t="s">
        <v>5637</v>
      </c>
      <c r="I162" t="s">
        <v>5639</v>
      </c>
      <c r="J162" t="b">
        <f>VLOOKUP(A162,'Demanda Bruta'!A:BF,58,0)</f>
        <v>0</v>
      </c>
      <c r="K162" t="b">
        <f t="shared" si="2"/>
        <v>1</v>
      </c>
    </row>
    <row r="163" spans="1:11" hidden="1" x14ac:dyDescent="0.25">
      <c r="A163" t="s">
        <v>2247</v>
      </c>
      <c r="B163">
        <v>4975339447</v>
      </c>
      <c r="C163" t="s">
        <v>2250</v>
      </c>
      <c r="D163" t="s">
        <v>2249</v>
      </c>
      <c r="E163" t="s">
        <v>2043</v>
      </c>
      <c r="F163" t="s">
        <v>5637</v>
      </c>
      <c r="G163" t="s">
        <v>5691</v>
      </c>
      <c r="H163" t="s">
        <v>5637</v>
      </c>
      <c r="I163" t="s">
        <v>5639</v>
      </c>
      <c r="J163" t="b">
        <f>VLOOKUP(A163,'Demanda Bruta'!A:BF,58,0)</f>
        <v>0</v>
      </c>
      <c r="K163" t="b">
        <f t="shared" si="2"/>
        <v>1</v>
      </c>
    </row>
    <row r="164" spans="1:11" hidden="1" x14ac:dyDescent="0.25">
      <c r="A164" t="s">
        <v>2257</v>
      </c>
      <c r="B164">
        <v>37981010861</v>
      </c>
      <c r="C164" t="s">
        <v>2260</v>
      </c>
      <c r="D164" t="s">
        <v>2259</v>
      </c>
      <c r="E164" t="s">
        <v>2225</v>
      </c>
      <c r="F164" t="s">
        <v>5634</v>
      </c>
      <c r="G164" t="s">
        <v>5635</v>
      </c>
      <c r="H164" t="s">
        <v>5634</v>
      </c>
      <c r="I164" t="s">
        <v>5636</v>
      </c>
      <c r="J164" t="b">
        <f>VLOOKUP(A164,'Demanda Bruta'!A:BF,58,0)</f>
        <v>1</v>
      </c>
      <c r="K164" t="b">
        <f t="shared" si="2"/>
        <v>1</v>
      </c>
    </row>
    <row r="165" spans="1:11" hidden="1" x14ac:dyDescent="0.25">
      <c r="A165" t="s">
        <v>2268</v>
      </c>
      <c r="B165">
        <v>42338662091</v>
      </c>
      <c r="C165" t="s">
        <v>2271</v>
      </c>
      <c r="D165" t="s">
        <v>2270</v>
      </c>
      <c r="E165" t="s">
        <v>2274</v>
      </c>
      <c r="F165" t="s">
        <v>5637</v>
      </c>
      <c r="G165" t="s">
        <v>5692</v>
      </c>
      <c r="H165" t="s">
        <v>5637</v>
      </c>
      <c r="I165" t="s">
        <v>5639</v>
      </c>
      <c r="J165" t="b">
        <f>VLOOKUP(A165,'Demanda Bruta'!A:BF,58,0)</f>
        <v>0</v>
      </c>
      <c r="K165" t="b">
        <f t="shared" si="2"/>
        <v>1</v>
      </c>
    </row>
    <row r="166" spans="1:11" hidden="1" x14ac:dyDescent="0.25">
      <c r="A166" t="s">
        <v>2281</v>
      </c>
      <c r="B166">
        <v>77649788768</v>
      </c>
      <c r="C166" t="s">
        <v>2284</v>
      </c>
      <c r="D166" t="s">
        <v>2283</v>
      </c>
      <c r="E166" t="s">
        <v>2289</v>
      </c>
      <c r="F166" t="s">
        <v>5634</v>
      </c>
      <c r="G166" t="s">
        <v>5635</v>
      </c>
      <c r="H166" t="s">
        <v>5634</v>
      </c>
      <c r="I166" t="s">
        <v>5636</v>
      </c>
      <c r="J166" t="b">
        <f>VLOOKUP(A166,'Demanda Bruta'!A:BF,58,0)</f>
        <v>1</v>
      </c>
      <c r="K166" t="b">
        <f t="shared" si="2"/>
        <v>1</v>
      </c>
    </row>
    <row r="167" spans="1:11" hidden="1" x14ac:dyDescent="0.25">
      <c r="A167" t="s">
        <v>2300</v>
      </c>
      <c r="B167">
        <v>21689148268</v>
      </c>
      <c r="C167" t="s">
        <v>2303</v>
      </c>
      <c r="D167" t="s">
        <v>2302</v>
      </c>
      <c r="E167" t="s">
        <v>2307</v>
      </c>
      <c r="F167" t="s">
        <v>5637</v>
      </c>
      <c r="G167" t="s">
        <v>5693</v>
      </c>
      <c r="H167" t="s">
        <v>5637</v>
      </c>
      <c r="I167" t="s">
        <v>5639</v>
      </c>
      <c r="J167" t="b">
        <f>VLOOKUP(A167,'Demanda Bruta'!A:BF,58,0)</f>
        <v>0</v>
      </c>
      <c r="K167" t="b">
        <f t="shared" si="2"/>
        <v>1</v>
      </c>
    </row>
    <row r="168" spans="1:11" hidden="1" x14ac:dyDescent="0.25">
      <c r="A168" t="s">
        <v>2317</v>
      </c>
      <c r="B168">
        <v>197460240</v>
      </c>
      <c r="C168" t="s">
        <v>2320</v>
      </c>
      <c r="D168" t="s">
        <v>2319</v>
      </c>
      <c r="E168" t="s">
        <v>2324</v>
      </c>
      <c r="F168" t="s">
        <v>5637</v>
      </c>
      <c r="G168" t="s">
        <v>5694</v>
      </c>
      <c r="H168" t="s">
        <v>5637</v>
      </c>
      <c r="I168" t="s">
        <v>5639</v>
      </c>
      <c r="J168" t="b">
        <f>VLOOKUP(A168,'Demanda Bruta'!A:BF,58,0)</f>
        <v>0</v>
      </c>
      <c r="K168" t="b">
        <f t="shared" si="2"/>
        <v>1</v>
      </c>
    </row>
    <row r="169" spans="1:11" hidden="1" x14ac:dyDescent="0.25">
      <c r="A169" t="s">
        <v>2332</v>
      </c>
      <c r="B169">
        <v>96513330734</v>
      </c>
      <c r="C169" t="s">
        <v>2335</v>
      </c>
      <c r="D169" t="s">
        <v>2334</v>
      </c>
      <c r="E169" t="s">
        <v>2339</v>
      </c>
      <c r="F169" t="s">
        <v>5634</v>
      </c>
      <c r="G169" t="s">
        <v>5635</v>
      </c>
      <c r="H169" t="s">
        <v>5634</v>
      </c>
      <c r="I169" t="s">
        <v>5636</v>
      </c>
      <c r="J169" t="b">
        <f>VLOOKUP(A169,'Demanda Bruta'!A:BF,58,0)</f>
        <v>1</v>
      </c>
      <c r="K169" t="b">
        <f t="shared" si="2"/>
        <v>1</v>
      </c>
    </row>
    <row r="170" spans="1:11" hidden="1" x14ac:dyDescent="0.25">
      <c r="A170" t="s">
        <v>2347</v>
      </c>
      <c r="B170">
        <v>38626237855</v>
      </c>
      <c r="C170" t="s">
        <v>2350</v>
      </c>
      <c r="D170" t="s">
        <v>2349</v>
      </c>
      <c r="E170" t="s">
        <v>2353</v>
      </c>
      <c r="F170" t="s">
        <v>5637</v>
      </c>
      <c r="G170" t="s">
        <v>5695</v>
      </c>
      <c r="H170" t="s">
        <v>5637</v>
      </c>
      <c r="I170" t="s">
        <v>5639</v>
      </c>
      <c r="J170" t="b">
        <f>VLOOKUP(A170,'Demanda Bruta'!A:BF,58,0)</f>
        <v>0</v>
      </c>
      <c r="K170" t="b">
        <f t="shared" si="2"/>
        <v>1</v>
      </c>
    </row>
    <row r="171" spans="1:11" hidden="1" x14ac:dyDescent="0.25">
      <c r="A171" t="s">
        <v>2360</v>
      </c>
      <c r="B171">
        <v>57048797991</v>
      </c>
      <c r="C171" t="s">
        <v>2363</v>
      </c>
      <c r="D171" t="s">
        <v>2362</v>
      </c>
      <c r="E171" t="s">
        <v>2289</v>
      </c>
      <c r="F171" t="s">
        <v>5634</v>
      </c>
      <c r="G171" t="s">
        <v>5635</v>
      </c>
      <c r="H171" t="s">
        <v>5634</v>
      </c>
      <c r="I171" t="s">
        <v>5636</v>
      </c>
      <c r="J171" t="b">
        <f>VLOOKUP(A171,'Demanda Bruta'!A:BF,58,0)</f>
        <v>1</v>
      </c>
      <c r="K171" t="b">
        <f t="shared" si="2"/>
        <v>1</v>
      </c>
    </row>
    <row r="172" spans="1:11" hidden="1" x14ac:dyDescent="0.25">
      <c r="A172" t="s">
        <v>2371</v>
      </c>
      <c r="B172">
        <v>4024386123</v>
      </c>
      <c r="C172" t="s">
        <v>2374</v>
      </c>
      <c r="D172" t="s">
        <v>2373</v>
      </c>
      <c r="E172" t="s">
        <v>2378</v>
      </c>
      <c r="F172" t="s">
        <v>5634</v>
      </c>
      <c r="G172" t="s">
        <v>5635</v>
      </c>
      <c r="H172" t="s">
        <v>5634</v>
      </c>
      <c r="I172" t="s">
        <v>5636</v>
      </c>
      <c r="J172" t="b">
        <f>VLOOKUP(A172,'Demanda Bruta'!A:BF,58,0)</f>
        <v>1</v>
      </c>
      <c r="K172" t="b">
        <f t="shared" si="2"/>
        <v>1</v>
      </c>
    </row>
    <row r="173" spans="1:11" hidden="1" x14ac:dyDescent="0.25">
      <c r="A173" t="s">
        <v>2386</v>
      </c>
      <c r="B173">
        <v>88856321734</v>
      </c>
      <c r="C173" t="s">
        <v>2389</v>
      </c>
      <c r="D173" t="s">
        <v>2388</v>
      </c>
      <c r="E173" t="s">
        <v>2289</v>
      </c>
      <c r="F173" t="s">
        <v>5634</v>
      </c>
      <c r="G173" t="s">
        <v>5635</v>
      </c>
      <c r="H173" t="s">
        <v>5634</v>
      </c>
      <c r="I173" t="s">
        <v>5636</v>
      </c>
      <c r="J173" t="b">
        <f>VLOOKUP(A173,'Demanda Bruta'!A:BF,58,0)</f>
        <v>1</v>
      </c>
      <c r="K173" t="b">
        <f t="shared" si="2"/>
        <v>1</v>
      </c>
    </row>
    <row r="174" spans="1:11" hidden="1" x14ac:dyDescent="0.25">
      <c r="A174" t="s">
        <v>2397</v>
      </c>
      <c r="B174">
        <v>28673403812</v>
      </c>
      <c r="C174" t="s">
        <v>2400</v>
      </c>
      <c r="D174" t="s">
        <v>2399</v>
      </c>
      <c r="E174" t="s">
        <v>2339</v>
      </c>
      <c r="F174" t="s">
        <v>5634</v>
      </c>
      <c r="G174" t="s">
        <v>5635</v>
      </c>
      <c r="H174" t="s">
        <v>5634</v>
      </c>
      <c r="I174" t="s">
        <v>5636</v>
      </c>
      <c r="J174" t="b">
        <f>VLOOKUP(A174,'Demanda Bruta'!A:BF,58,0)</f>
        <v>1</v>
      </c>
      <c r="K174" t="b">
        <f t="shared" si="2"/>
        <v>1</v>
      </c>
    </row>
    <row r="175" spans="1:11" hidden="1" x14ac:dyDescent="0.25">
      <c r="A175" t="s">
        <v>2409</v>
      </c>
      <c r="B175">
        <v>82974802753</v>
      </c>
      <c r="C175" t="s">
        <v>2412</v>
      </c>
      <c r="D175" t="s">
        <v>2411</v>
      </c>
      <c r="E175" t="s">
        <v>2289</v>
      </c>
      <c r="F175" t="s">
        <v>5634</v>
      </c>
      <c r="G175" t="s">
        <v>5635</v>
      </c>
      <c r="H175" t="s">
        <v>5634</v>
      </c>
      <c r="I175" t="s">
        <v>5636</v>
      </c>
      <c r="J175" t="b">
        <f>VLOOKUP(A175,'Demanda Bruta'!A:BF,58,0)</f>
        <v>1</v>
      </c>
      <c r="K175" t="b">
        <f t="shared" si="2"/>
        <v>1</v>
      </c>
    </row>
    <row r="176" spans="1:11" hidden="1" x14ac:dyDescent="0.25">
      <c r="A176" t="s">
        <v>2420</v>
      </c>
      <c r="B176">
        <v>86118188734</v>
      </c>
      <c r="C176" t="s">
        <v>2423</v>
      </c>
      <c r="D176" t="s">
        <v>2422</v>
      </c>
      <c r="E176" t="s">
        <v>2289</v>
      </c>
      <c r="F176" t="s">
        <v>5634</v>
      </c>
      <c r="G176" t="s">
        <v>5635</v>
      </c>
      <c r="H176" t="s">
        <v>5634</v>
      </c>
      <c r="I176" t="s">
        <v>5636</v>
      </c>
      <c r="J176" t="b">
        <f>VLOOKUP(A176,'Demanda Bruta'!A:BF,58,0)</f>
        <v>1</v>
      </c>
      <c r="K176" t="b">
        <f t="shared" si="2"/>
        <v>1</v>
      </c>
    </row>
    <row r="177" spans="1:11" hidden="1" x14ac:dyDescent="0.25">
      <c r="A177" t="s">
        <v>2432</v>
      </c>
      <c r="B177">
        <v>71265155100</v>
      </c>
      <c r="C177" t="s">
        <v>2435</v>
      </c>
      <c r="D177" t="s">
        <v>2434</v>
      </c>
      <c r="E177" t="s">
        <v>2289</v>
      </c>
      <c r="F177" t="s">
        <v>5634</v>
      </c>
      <c r="G177" t="s">
        <v>5635</v>
      </c>
      <c r="H177" t="s">
        <v>5634</v>
      </c>
      <c r="I177" t="s">
        <v>5636</v>
      </c>
      <c r="J177" t="b">
        <f>VLOOKUP(A177,'Demanda Bruta'!A:BF,58,0)</f>
        <v>1</v>
      </c>
      <c r="K177" t="b">
        <f t="shared" si="2"/>
        <v>1</v>
      </c>
    </row>
    <row r="178" spans="1:11" hidden="1" x14ac:dyDescent="0.25">
      <c r="A178" t="s">
        <v>2443</v>
      </c>
      <c r="B178">
        <v>71265155100</v>
      </c>
      <c r="C178" t="s">
        <v>2435</v>
      </c>
      <c r="D178" t="s">
        <v>2434</v>
      </c>
      <c r="E178" t="s">
        <v>2289</v>
      </c>
      <c r="F178" t="s">
        <v>5634</v>
      </c>
      <c r="G178" t="s">
        <v>5635</v>
      </c>
      <c r="H178" t="s">
        <v>5634</v>
      </c>
      <c r="I178" t="s">
        <v>5636</v>
      </c>
      <c r="J178" t="b">
        <f>VLOOKUP(A178,'Demanda Bruta'!A:BF,58,0)</f>
        <v>1</v>
      </c>
      <c r="K178" t="b">
        <f t="shared" si="2"/>
        <v>1</v>
      </c>
    </row>
    <row r="179" spans="1:11" hidden="1" x14ac:dyDescent="0.25">
      <c r="A179" t="s">
        <v>2446</v>
      </c>
      <c r="B179">
        <v>3174073413</v>
      </c>
      <c r="C179" t="s">
        <v>2449</v>
      </c>
      <c r="D179" t="s">
        <v>2448</v>
      </c>
      <c r="E179" t="s">
        <v>2453</v>
      </c>
      <c r="F179" t="s">
        <v>5634</v>
      </c>
      <c r="G179" t="s">
        <v>5635</v>
      </c>
      <c r="H179" t="s">
        <v>5634</v>
      </c>
      <c r="I179" t="s">
        <v>5636</v>
      </c>
      <c r="J179" t="b">
        <f>VLOOKUP(A179,'Demanda Bruta'!A:BF,58,0)</f>
        <v>1</v>
      </c>
      <c r="K179" t="b">
        <f t="shared" si="2"/>
        <v>1</v>
      </c>
    </row>
    <row r="180" spans="1:11" hidden="1" x14ac:dyDescent="0.25">
      <c r="A180" t="s">
        <v>2461</v>
      </c>
      <c r="B180">
        <v>9278003492</v>
      </c>
      <c r="C180" t="s">
        <v>2464</v>
      </c>
      <c r="D180" t="s">
        <v>2463</v>
      </c>
      <c r="E180" t="s">
        <v>2453</v>
      </c>
      <c r="F180" t="s">
        <v>5634</v>
      </c>
      <c r="G180" t="s">
        <v>5635</v>
      </c>
      <c r="H180" t="s">
        <v>5634</v>
      </c>
      <c r="I180" t="s">
        <v>5636</v>
      </c>
      <c r="J180" t="b">
        <f>VLOOKUP(A180,'Demanda Bruta'!A:BF,58,0)</f>
        <v>1</v>
      </c>
      <c r="K180" t="b">
        <f t="shared" si="2"/>
        <v>1</v>
      </c>
    </row>
    <row r="181" spans="1:11" hidden="1" x14ac:dyDescent="0.25">
      <c r="A181" t="s">
        <v>2473</v>
      </c>
      <c r="B181">
        <v>7974113480</v>
      </c>
      <c r="C181" t="s">
        <v>2476</v>
      </c>
      <c r="D181" t="s">
        <v>2475</v>
      </c>
      <c r="E181" t="s">
        <v>2453</v>
      </c>
      <c r="F181" t="s">
        <v>5634</v>
      </c>
      <c r="G181" t="s">
        <v>5635</v>
      </c>
      <c r="H181" t="s">
        <v>5634</v>
      </c>
      <c r="I181" t="s">
        <v>5636</v>
      </c>
      <c r="J181" t="b">
        <f>VLOOKUP(A181,'Demanda Bruta'!A:BF,58,0)</f>
        <v>1</v>
      </c>
      <c r="K181" t="b">
        <f t="shared" si="2"/>
        <v>1</v>
      </c>
    </row>
    <row r="182" spans="1:11" hidden="1" x14ac:dyDescent="0.25">
      <c r="A182" t="s">
        <v>2485</v>
      </c>
      <c r="B182">
        <v>3844701494</v>
      </c>
      <c r="C182" t="s">
        <v>2488</v>
      </c>
      <c r="D182" t="s">
        <v>2487</v>
      </c>
      <c r="E182" t="s">
        <v>2378</v>
      </c>
      <c r="F182" t="s">
        <v>5634</v>
      </c>
      <c r="G182" t="s">
        <v>5635</v>
      </c>
      <c r="H182" t="s">
        <v>5634</v>
      </c>
      <c r="I182" t="s">
        <v>5636</v>
      </c>
      <c r="J182" t="b">
        <f>VLOOKUP(A182,'Demanda Bruta'!A:BF,58,0)</f>
        <v>1</v>
      </c>
      <c r="K182" t="b">
        <f t="shared" si="2"/>
        <v>1</v>
      </c>
    </row>
    <row r="183" spans="1:11" hidden="1" x14ac:dyDescent="0.25">
      <c r="A183" t="s">
        <v>2496</v>
      </c>
      <c r="B183">
        <v>2385854414</v>
      </c>
      <c r="C183" t="s">
        <v>2499</v>
      </c>
      <c r="D183" t="s">
        <v>2498</v>
      </c>
      <c r="E183" t="s">
        <v>2378</v>
      </c>
      <c r="F183" t="s">
        <v>5634</v>
      </c>
      <c r="G183" t="s">
        <v>5635</v>
      </c>
      <c r="H183" t="s">
        <v>5634</v>
      </c>
      <c r="I183" t="s">
        <v>5636</v>
      </c>
      <c r="J183" t="b">
        <f>VLOOKUP(A183,'Demanda Bruta'!A:BF,58,0)</f>
        <v>1</v>
      </c>
      <c r="K183" t="b">
        <f t="shared" si="2"/>
        <v>1</v>
      </c>
    </row>
    <row r="184" spans="1:11" hidden="1" x14ac:dyDescent="0.25">
      <c r="A184" t="s">
        <v>2507</v>
      </c>
      <c r="B184">
        <v>55663087400</v>
      </c>
      <c r="C184" t="s">
        <v>2510</v>
      </c>
      <c r="D184" t="s">
        <v>2509</v>
      </c>
      <c r="E184" t="s">
        <v>2453</v>
      </c>
      <c r="F184" t="s">
        <v>5634</v>
      </c>
      <c r="G184" t="s">
        <v>5635</v>
      </c>
      <c r="H184" t="s">
        <v>5634</v>
      </c>
      <c r="I184" t="s">
        <v>5636</v>
      </c>
      <c r="J184" t="b">
        <f>VLOOKUP(A184,'Demanda Bruta'!A:BF,58,0)</f>
        <v>1</v>
      </c>
      <c r="K184" t="b">
        <f t="shared" si="2"/>
        <v>1</v>
      </c>
    </row>
    <row r="185" spans="1:11" hidden="1" x14ac:dyDescent="0.25">
      <c r="A185" t="s">
        <v>2518</v>
      </c>
      <c r="B185">
        <v>11080820760</v>
      </c>
      <c r="C185" t="s">
        <v>2521</v>
      </c>
      <c r="D185" t="s">
        <v>2520</v>
      </c>
      <c r="E185" t="s">
        <v>2289</v>
      </c>
      <c r="F185" t="s">
        <v>5634</v>
      </c>
      <c r="G185" t="s">
        <v>5635</v>
      </c>
      <c r="H185" t="s">
        <v>5634</v>
      </c>
      <c r="I185" t="s">
        <v>5636</v>
      </c>
      <c r="J185" t="b">
        <f>VLOOKUP(A185,'Demanda Bruta'!A:BF,58,0)</f>
        <v>1</v>
      </c>
      <c r="K185" t="b">
        <f t="shared" si="2"/>
        <v>1</v>
      </c>
    </row>
    <row r="186" spans="1:11" hidden="1" x14ac:dyDescent="0.25">
      <c r="A186" t="s">
        <v>2529</v>
      </c>
      <c r="B186">
        <v>95150269034</v>
      </c>
      <c r="C186" t="s">
        <v>2532</v>
      </c>
      <c r="D186" t="s">
        <v>2531</v>
      </c>
      <c r="E186" t="s">
        <v>2535</v>
      </c>
      <c r="F186" t="s">
        <v>5634</v>
      </c>
      <c r="G186" t="s">
        <v>5635</v>
      </c>
      <c r="H186" t="s">
        <v>5634</v>
      </c>
      <c r="I186" t="s">
        <v>5636</v>
      </c>
      <c r="J186" t="b">
        <f>VLOOKUP(A186,'Demanda Bruta'!A:BF,58,0)</f>
        <v>1</v>
      </c>
      <c r="K186" t="b">
        <f t="shared" si="2"/>
        <v>1</v>
      </c>
    </row>
    <row r="187" spans="1:11" hidden="1" x14ac:dyDescent="0.25">
      <c r="A187" t="s">
        <v>2544</v>
      </c>
      <c r="B187">
        <v>2812728914</v>
      </c>
      <c r="C187" t="s">
        <v>2547</v>
      </c>
      <c r="D187" t="s">
        <v>2546</v>
      </c>
      <c r="E187" t="s">
        <v>2378</v>
      </c>
      <c r="F187" t="s">
        <v>5634</v>
      </c>
      <c r="G187" t="s">
        <v>5635</v>
      </c>
      <c r="H187" t="s">
        <v>5634</v>
      </c>
      <c r="I187" t="s">
        <v>5636</v>
      </c>
      <c r="J187" t="b">
        <f>VLOOKUP(A187,'Demanda Bruta'!A:BF,58,0)</f>
        <v>1</v>
      </c>
      <c r="K187" t="b">
        <f t="shared" si="2"/>
        <v>1</v>
      </c>
    </row>
    <row r="188" spans="1:11" hidden="1" x14ac:dyDescent="0.25">
      <c r="A188" t="s">
        <v>2555</v>
      </c>
      <c r="B188">
        <v>83951660104</v>
      </c>
      <c r="C188" t="s">
        <v>2558</v>
      </c>
      <c r="D188" t="s">
        <v>2557</v>
      </c>
      <c r="E188" t="s">
        <v>2453</v>
      </c>
      <c r="F188" t="s">
        <v>5634</v>
      </c>
      <c r="G188" t="s">
        <v>5635</v>
      </c>
      <c r="H188" t="s">
        <v>5634</v>
      </c>
      <c r="I188" t="s">
        <v>5636</v>
      </c>
      <c r="J188" t="b">
        <f>VLOOKUP(A188,'Demanda Bruta'!A:BF,58,0)</f>
        <v>1</v>
      </c>
      <c r="K188" t="b">
        <f t="shared" si="2"/>
        <v>1</v>
      </c>
    </row>
    <row r="189" spans="1:11" hidden="1" x14ac:dyDescent="0.25">
      <c r="A189" t="s">
        <v>2568</v>
      </c>
      <c r="B189">
        <v>36909948882</v>
      </c>
      <c r="C189" t="s">
        <v>2571</v>
      </c>
      <c r="D189" t="s">
        <v>2570</v>
      </c>
      <c r="E189" t="s">
        <v>2289</v>
      </c>
      <c r="F189" t="s">
        <v>5634</v>
      </c>
      <c r="G189" t="s">
        <v>5635</v>
      </c>
      <c r="H189" t="s">
        <v>5634</v>
      </c>
      <c r="I189" t="s">
        <v>5636</v>
      </c>
      <c r="J189" t="b">
        <f>VLOOKUP(A189,'Demanda Bruta'!A:BF,58,0)</f>
        <v>1</v>
      </c>
      <c r="K189" t="b">
        <f t="shared" si="2"/>
        <v>1</v>
      </c>
    </row>
    <row r="190" spans="1:11" hidden="1" x14ac:dyDescent="0.25">
      <c r="A190" t="s">
        <v>2580</v>
      </c>
      <c r="B190">
        <v>12443276708</v>
      </c>
      <c r="C190" t="s">
        <v>2583</v>
      </c>
      <c r="D190" t="s">
        <v>2582</v>
      </c>
      <c r="E190" t="s">
        <v>2378</v>
      </c>
      <c r="F190" t="s">
        <v>5634</v>
      </c>
      <c r="G190" t="s">
        <v>5635</v>
      </c>
      <c r="H190" t="s">
        <v>5634</v>
      </c>
      <c r="I190" t="s">
        <v>5636</v>
      </c>
      <c r="J190" t="b">
        <f>VLOOKUP(A190,'Demanda Bruta'!A:BF,58,0)</f>
        <v>1</v>
      </c>
      <c r="K190" t="b">
        <f t="shared" si="2"/>
        <v>1</v>
      </c>
    </row>
    <row r="191" spans="1:11" hidden="1" x14ac:dyDescent="0.25">
      <c r="A191" t="s">
        <v>2592</v>
      </c>
      <c r="B191">
        <v>4465537514</v>
      </c>
      <c r="C191" t="s">
        <v>2595</v>
      </c>
      <c r="D191" t="s">
        <v>2594</v>
      </c>
      <c r="E191" t="s">
        <v>2453</v>
      </c>
      <c r="F191" t="s">
        <v>5634</v>
      </c>
      <c r="G191" t="s">
        <v>5635</v>
      </c>
      <c r="H191" t="s">
        <v>5634</v>
      </c>
      <c r="I191" t="s">
        <v>5636</v>
      </c>
      <c r="J191" t="b">
        <f>VLOOKUP(A191,'Demanda Bruta'!A:BF,58,0)</f>
        <v>1</v>
      </c>
      <c r="K191" t="b">
        <f t="shared" si="2"/>
        <v>1</v>
      </c>
    </row>
    <row r="192" spans="1:11" hidden="1" x14ac:dyDescent="0.25">
      <c r="A192" t="s">
        <v>2603</v>
      </c>
      <c r="B192">
        <v>63807599304</v>
      </c>
      <c r="C192" t="s">
        <v>2606</v>
      </c>
      <c r="D192" t="s">
        <v>2605</v>
      </c>
      <c r="E192" t="s">
        <v>2378</v>
      </c>
      <c r="F192" t="s">
        <v>5634</v>
      </c>
      <c r="G192" t="s">
        <v>5635</v>
      </c>
      <c r="H192" t="s">
        <v>5634</v>
      </c>
      <c r="I192" t="s">
        <v>5636</v>
      </c>
      <c r="J192" t="b">
        <f>VLOOKUP(A192,'Demanda Bruta'!A:BF,58,0)</f>
        <v>1</v>
      </c>
      <c r="K192" t="b">
        <f t="shared" si="2"/>
        <v>1</v>
      </c>
    </row>
    <row r="193" spans="1:11" hidden="1" x14ac:dyDescent="0.25">
      <c r="A193" t="s">
        <v>2616</v>
      </c>
      <c r="B193">
        <v>9492473402</v>
      </c>
      <c r="C193" t="s">
        <v>2619</v>
      </c>
      <c r="D193" t="s">
        <v>2618</v>
      </c>
      <c r="E193" t="s">
        <v>2453</v>
      </c>
      <c r="F193" t="s">
        <v>5634</v>
      </c>
      <c r="G193" t="s">
        <v>5635</v>
      </c>
      <c r="H193" t="s">
        <v>5634</v>
      </c>
      <c r="I193" t="s">
        <v>5636</v>
      </c>
      <c r="J193" t="b">
        <f>VLOOKUP(A193,'Demanda Bruta'!A:BF,58,0)</f>
        <v>1</v>
      </c>
      <c r="K193" t="b">
        <f t="shared" si="2"/>
        <v>1</v>
      </c>
    </row>
    <row r="194" spans="1:11" hidden="1" x14ac:dyDescent="0.25">
      <c r="A194" t="s">
        <v>2628</v>
      </c>
      <c r="B194">
        <v>81124503072</v>
      </c>
      <c r="C194" t="s">
        <v>2631</v>
      </c>
      <c r="D194" t="s">
        <v>2630</v>
      </c>
      <c r="E194" t="s">
        <v>2289</v>
      </c>
      <c r="F194" t="s">
        <v>5637</v>
      </c>
      <c r="G194" t="s">
        <v>5648</v>
      </c>
      <c r="H194" t="s">
        <v>5634</v>
      </c>
      <c r="I194" t="s">
        <v>5636</v>
      </c>
      <c r="J194" t="b">
        <f>VLOOKUP(A194,'Demanda Bruta'!A:BF,58,0)</f>
        <v>1</v>
      </c>
      <c r="K194" t="b">
        <f t="shared" si="2"/>
        <v>1</v>
      </c>
    </row>
    <row r="195" spans="1:11" hidden="1" x14ac:dyDescent="0.25">
      <c r="A195" t="s">
        <v>2639</v>
      </c>
      <c r="B195">
        <v>28478592415</v>
      </c>
      <c r="C195" t="s">
        <v>2642</v>
      </c>
      <c r="D195" t="s">
        <v>2641</v>
      </c>
      <c r="E195" t="s">
        <v>2378</v>
      </c>
      <c r="F195" t="s">
        <v>5637</v>
      </c>
      <c r="G195" t="s">
        <v>5696</v>
      </c>
      <c r="H195" t="s">
        <v>5637</v>
      </c>
      <c r="I195" t="s">
        <v>5639</v>
      </c>
      <c r="J195" t="b">
        <f>VLOOKUP(A195,'Demanda Bruta'!A:BF,58,0)</f>
        <v>0</v>
      </c>
      <c r="K195" t="b">
        <f t="shared" ref="K195:K258" si="3">IF(IF(H195="Sim",TRUE,FALSE)=J195,TRUE,FALSE)</f>
        <v>1</v>
      </c>
    </row>
    <row r="196" spans="1:11" hidden="1" x14ac:dyDescent="0.25">
      <c r="A196" t="s">
        <v>2650</v>
      </c>
      <c r="B196">
        <v>4275512340</v>
      </c>
      <c r="C196" t="s">
        <v>2653</v>
      </c>
      <c r="D196" t="s">
        <v>2652</v>
      </c>
      <c r="E196" t="s">
        <v>2378</v>
      </c>
      <c r="F196" t="s">
        <v>5634</v>
      </c>
      <c r="G196" t="s">
        <v>5635</v>
      </c>
      <c r="H196" t="s">
        <v>5634</v>
      </c>
      <c r="I196" t="s">
        <v>5636</v>
      </c>
      <c r="J196" t="b">
        <f>VLOOKUP(A196,'Demanda Bruta'!A:BF,58,0)</f>
        <v>1</v>
      </c>
      <c r="K196" t="b">
        <f t="shared" si="3"/>
        <v>1</v>
      </c>
    </row>
    <row r="197" spans="1:11" hidden="1" x14ac:dyDescent="0.25">
      <c r="A197" t="s">
        <v>2661</v>
      </c>
      <c r="B197">
        <v>13026564737</v>
      </c>
      <c r="C197" t="s">
        <v>2664</v>
      </c>
      <c r="D197" t="s">
        <v>2663</v>
      </c>
      <c r="E197" t="s">
        <v>2668</v>
      </c>
      <c r="F197" t="s">
        <v>5634</v>
      </c>
      <c r="G197" t="s">
        <v>5635</v>
      </c>
      <c r="H197" t="s">
        <v>5634</v>
      </c>
      <c r="I197" t="s">
        <v>5636</v>
      </c>
      <c r="J197" t="b">
        <f>VLOOKUP(A197,'Demanda Bruta'!A:BF,58,0)</f>
        <v>1</v>
      </c>
      <c r="K197" t="b">
        <f t="shared" si="3"/>
        <v>1</v>
      </c>
    </row>
    <row r="198" spans="1:11" hidden="1" x14ac:dyDescent="0.25">
      <c r="A198" t="s">
        <v>2677</v>
      </c>
      <c r="B198">
        <v>90300424787</v>
      </c>
      <c r="C198" t="s">
        <v>2680</v>
      </c>
      <c r="D198" t="s">
        <v>2679</v>
      </c>
      <c r="E198" t="s">
        <v>2289</v>
      </c>
      <c r="F198" t="s">
        <v>5634</v>
      </c>
      <c r="G198" t="s">
        <v>5635</v>
      </c>
      <c r="H198" t="s">
        <v>5634</v>
      </c>
      <c r="I198" t="s">
        <v>5636</v>
      </c>
      <c r="J198" t="b">
        <f>VLOOKUP(A198,'Demanda Bruta'!A:BF,58,0)</f>
        <v>1</v>
      </c>
      <c r="K198" t="b">
        <f t="shared" si="3"/>
        <v>1</v>
      </c>
    </row>
    <row r="199" spans="1:11" hidden="1" x14ac:dyDescent="0.25">
      <c r="A199" t="s">
        <v>2688</v>
      </c>
      <c r="B199">
        <v>1461901308</v>
      </c>
      <c r="C199" t="s">
        <v>2691</v>
      </c>
      <c r="D199" t="s">
        <v>2690</v>
      </c>
      <c r="E199" t="s">
        <v>2378</v>
      </c>
      <c r="F199" t="s">
        <v>5634</v>
      </c>
      <c r="G199" t="s">
        <v>5635</v>
      </c>
      <c r="H199" t="s">
        <v>5634</v>
      </c>
      <c r="I199" t="s">
        <v>5636</v>
      </c>
      <c r="J199" t="b">
        <f>VLOOKUP(A199,'Demanda Bruta'!A:BF,58,0)</f>
        <v>1</v>
      </c>
      <c r="K199" t="b">
        <f t="shared" si="3"/>
        <v>1</v>
      </c>
    </row>
    <row r="200" spans="1:11" hidden="1" x14ac:dyDescent="0.25">
      <c r="A200" t="s">
        <v>2700</v>
      </c>
      <c r="B200">
        <v>649205774</v>
      </c>
      <c r="C200" t="s">
        <v>2703</v>
      </c>
      <c r="D200" t="s">
        <v>2702</v>
      </c>
      <c r="E200" t="s">
        <v>2707</v>
      </c>
      <c r="F200" t="s">
        <v>5637</v>
      </c>
      <c r="G200" t="s">
        <v>5697</v>
      </c>
      <c r="H200" t="s">
        <v>5637</v>
      </c>
      <c r="I200" t="s">
        <v>5639</v>
      </c>
      <c r="J200" t="b">
        <f>VLOOKUP(A200,'Demanda Bruta'!A:BF,58,0)</f>
        <v>0</v>
      </c>
      <c r="K200" t="b">
        <f t="shared" si="3"/>
        <v>1</v>
      </c>
    </row>
    <row r="201" spans="1:11" hidden="1" x14ac:dyDescent="0.25">
      <c r="A201" t="s">
        <v>2718</v>
      </c>
      <c r="B201">
        <v>78530547004</v>
      </c>
      <c r="C201" t="s">
        <v>2721</v>
      </c>
      <c r="D201" t="s">
        <v>2720</v>
      </c>
      <c r="E201" t="s">
        <v>2725</v>
      </c>
      <c r="F201" t="s">
        <v>5634</v>
      </c>
      <c r="G201" t="s">
        <v>5635</v>
      </c>
      <c r="H201" t="s">
        <v>5634</v>
      </c>
      <c r="I201" t="s">
        <v>5636</v>
      </c>
      <c r="J201" t="b">
        <f>VLOOKUP(A201,'Demanda Bruta'!A:BF,58,0)</f>
        <v>1</v>
      </c>
      <c r="K201" t="b">
        <f t="shared" si="3"/>
        <v>1</v>
      </c>
    </row>
    <row r="202" spans="1:11" hidden="1" x14ac:dyDescent="0.25">
      <c r="A202" t="s">
        <v>2733</v>
      </c>
      <c r="B202">
        <v>24601659</v>
      </c>
      <c r="C202" t="s">
        <v>2736</v>
      </c>
      <c r="D202" t="s">
        <v>2735</v>
      </c>
      <c r="E202" t="s">
        <v>2707</v>
      </c>
      <c r="F202" t="s">
        <v>5634</v>
      </c>
      <c r="G202" t="s">
        <v>5635</v>
      </c>
      <c r="H202" t="s">
        <v>5634</v>
      </c>
      <c r="I202" t="s">
        <v>5636</v>
      </c>
      <c r="J202" t="b">
        <f>VLOOKUP(A202,'Demanda Bruta'!A:BF,58,0)</f>
        <v>1</v>
      </c>
      <c r="K202" t="b">
        <f t="shared" si="3"/>
        <v>1</v>
      </c>
    </row>
    <row r="203" spans="1:11" hidden="1" x14ac:dyDescent="0.25">
      <c r="A203" t="s">
        <v>2744</v>
      </c>
      <c r="B203">
        <v>1444272730</v>
      </c>
      <c r="C203" t="s">
        <v>2747</v>
      </c>
      <c r="D203" t="s">
        <v>2746</v>
      </c>
      <c r="E203" t="s">
        <v>2707</v>
      </c>
      <c r="F203" t="s">
        <v>5634</v>
      </c>
      <c r="G203" t="s">
        <v>5635</v>
      </c>
      <c r="H203" t="s">
        <v>5634</v>
      </c>
      <c r="I203" t="s">
        <v>5636</v>
      </c>
      <c r="J203" t="b">
        <f>VLOOKUP(A203,'Demanda Bruta'!A:BF,58,0)</f>
        <v>1</v>
      </c>
      <c r="K203" t="b">
        <f t="shared" si="3"/>
        <v>1</v>
      </c>
    </row>
    <row r="204" spans="1:11" hidden="1" x14ac:dyDescent="0.25">
      <c r="A204" t="s">
        <v>2755</v>
      </c>
      <c r="B204">
        <v>60128038772</v>
      </c>
      <c r="C204" t="s">
        <v>2758</v>
      </c>
      <c r="D204" t="s">
        <v>2757</v>
      </c>
      <c r="E204" t="s">
        <v>1133</v>
      </c>
      <c r="F204" t="s">
        <v>5634</v>
      </c>
      <c r="G204" t="s">
        <v>5635</v>
      </c>
      <c r="H204" t="s">
        <v>5634</v>
      </c>
      <c r="I204" t="s">
        <v>5636</v>
      </c>
      <c r="J204" t="b">
        <f>VLOOKUP(A204,'Demanda Bruta'!A:BF,58,0)</f>
        <v>1</v>
      </c>
      <c r="K204" t="b">
        <f t="shared" si="3"/>
        <v>1</v>
      </c>
    </row>
    <row r="205" spans="1:11" hidden="1" x14ac:dyDescent="0.25">
      <c r="A205" t="s">
        <v>2767</v>
      </c>
      <c r="B205">
        <v>4964303608</v>
      </c>
      <c r="C205" t="s">
        <v>2770</v>
      </c>
      <c r="D205" t="s">
        <v>2769</v>
      </c>
      <c r="E205" t="s">
        <v>2773</v>
      </c>
      <c r="F205" t="s">
        <v>5634</v>
      </c>
      <c r="G205" t="s">
        <v>5635</v>
      </c>
      <c r="H205" t="s">
        <v>5634</v>
      </c>
      <c r="I205" t="s">
        <v>5636</v>
      </c>
      <c r="J205" t="b">
        <f>VLOOKUP(A205,'Demanda Bruta'!A:BF,58,0)</f>
        <v>1</v>
      </c>
      <c r="K205" t="b">
        <f t="shared" si="3"/>
        <v>1</v>
      </c>
    </row>
    <row r="206" spans="1:11" hidden="1" x14ac:dyDescent="0.25">
      <c r="A206" t="s">
        <v>2781</v>
      </c>
      <c r="B206">
        <v>3131606193</v>
      </c>
      <c r="C206" t="s">
        <v>2784</v>
      </c>
      <c r="D206" t="s">
        <v>2783</v>
      </c>
      <c r="E206" t="s">
        <v>2787</v>
      </c>
      <c r="F206" t="s">
        <v>5634</v>
      </c>
      <c r="G206" t="s">
        <v>5635</v>
      </c>
      <c r="H206" t="s">
        <v>5634</v>
      </c>
      <c r="I206" t="s">
        <v>5636</v>
      </c>
      <c r="J206" t="b">
        <f>VLOOKUP(A206,'Demanda Bruta'!A:BF,58,0)</f>
        <v>1</v>
      </c>
      <c r="K206" t="b">
        <f t="shared" si="3"/>
        <v>1</v>
      </c>
    </row>
    <row r="207" spans="1:11" hidden="1" x14ac:dyDescent="0.25">
      <c r="A207" t="s">
        <v>2794</v>
      </c>
      <c r="B207">
        <v>28816823836</v>
      </c>
      <c r="C207" t="s">
        <v>2797</v>
      </c>
      <c r="D207" t="s">
        <v>2796</v>
      </c>
      <c r="E207" t="s">
        <v>2800</v>
      </c>
      <c r="F207" t="s">
        <v>5634</v>
      </c>
      <c r="G207" t="s">
        <v>5635</v>
      </c>
      <c r="H207" t="s">
        <v>5634</v>
      </c>
      <c r="I207" t="s">
        <v>5636</v>
      </c>
      <c r="J207" t="b">
        <f>VLOOKUP(A207,'Demanda Bruta'!A:BF,58,0)</f>
        <v>1</v>
      </c>
      <c r="K207" t="b">
        <f t="shared" si="3"/>
        <v>1</v>
      </c>
    </row>
    <row r="208" spans="1:11" hidden="1" x14ac:dyDescent="0.25">
      <c r="A208" t="s">
        <v>2808</v>
      </c>
      <c r="B208">
        <v>10208406760</v>
      </c>
      <c r="C208" t="s">
        <v>2811</v>
      </c>
      <c r="D208" t="s">
        <v>2810</v>
      </c>
      <c r="E208" t="s">
        <v>2815</v>
      </c>
      <c r="F208" t="s">
        <v>5634</v>
      </c>
      <c r="G208" t="s">
        <v>5635</v>
      </c>
      <c r="H208" t="s">
        <v>5634</v>
      </c>
      <c r="I208" t="s">
        <v>5636</v>
      </c>
      <c r="J208" t="b">
        <f>VLOOKUP(A208,'Demanda Bruta'!A:BF,58,0)</f>
        <v>1</v>
      </c>
      <c r="K208" t="b">
        <f t="shared" si="3"/>
        <v>1</v>
      </c>
    </row>
    <row r="209" spans="1:11" hidden="1" x14ac:dyDescent="0.25">
      <c r="A209" t="s">
        <v>2823</v>
      </c>
      <c r="B209">
        <v>81737963787</v>
      </c>
      <c r="C209" t="s">
        <v>2826</v>
      </c>
      <c r="D209" t="s">
        <v>2825</v>
      </c>
      <c r="E209" t="s">
        <v>2815</v>
      </c>
      <c r="F209" t="s">
        <v>5634</v>
      </c>
      <c r="G209" t="s">
        <v>5635</v>
      </c>
      <c r="H209" t="s">
        <v>5634</v>
      </c>
      <c r="I209" t="s">
        <v>5636</v>
      </c>
      <c r="J209" t="b">
        <f>VLOOKUP(A209,'Demanda Bruta'!A:BF,58,0)</f>
        <v>1</v>
      </c>
      <c r="K209" t="b">
        <f t="shared" si="3"/>
        <v>1</v>
      </c>
    </row>
    <row r="210" spans="1:11" hidden="1" x14ac:dyDescent="0.25">
      <c r="A210" t="s">
        <v>2835</v>
      </c>
      <c r="B210">
        <v>9921611771</v>
      </c>
      <c r="C210" t="s">
        <v>2838</v>
      </c>
      <c r="D210" t="s">
        <v>2837</v>
      </c>
      <c r="E210" t="s">
        <v>1133</v>
      </c>
      <c r="F210" t="s">
        <v>5637</v>
      </c>
      <c r="G210" t="s">
        <v>5698</v>
      </c>
      <c r="H210" t="s">
        <v>5637</v>
      </c>
      <c r="I210" t="s">
        <v>5639</v>
      </c>
      <c r="J210" t="b">
        <f>VLOOKUP(A210,'Demanda Bruta'!A:BF,58,0)</f>
        <v>0</v>
      </c>
      <c r="K210" t="b">
        <f t="shared" si="3"/>
        <v>1</v>
      </c>
    </row>
    <row r="211" spans="1:11" hidden="1" x14ac:dyDescent="0.25">
      <c r="A211" t="s">
        <v>2847</v>
      </c>
      <c r="B211">
        <v>9530912609</v>
      </c>
      <c r="C211" t="s">
        <v>2850</v>
      </c>
      <c r="D211" t="s">
        <v>2849</v>
      </c>
      <c r="E211" t="s">
        <v>2773</v>
      </c>
      <c r="F211" t="s">
        <v>5637</v>
      </c>
      <c r="G211" t="s">
        <v>5648</v>
      </c>
      <c r="H211" t="s">
        <v>5637</v>
      </c>
      <c r="I211" t="s">
        <v>5639</v>
      </c>
      <c r="J211" t="b">
        <f>VLOOKUP(A211,'Demanda Bruta'!A:BF,58,0)</f>
        <v>0</v>
      </c>
      <c r="K211" t="b">
        <f t="shared" si="3"/>
        <v>1</v>
      </c>
    </row>
    <row r="212" spans="1:11" hidden="1" x14ac:dyDescent="0.25">
      <c r="A212" t="s">
        <v>2862</v>
      </c>
      <c r="B212">
        <v>1305079701</v>
      </c>
      <c r="C212" t="s">
        <v>2865</v>
      </c>
      <c r="D212" t="s">
        <v>2864</v>
      </c>
      <c r="E212" t="s">
        <v>1133</v>
      </c>
      <c r="F212" t="s">
        <v>5634</v>
      </c>
      <c r="G212" t="s">
        <v>5635</v>
      </c>
      <c r="H212" t="s">
        <v>5634</v>
      </c>
      <c r="I212" t="s">
        <v>5636</v>
      </c>
      <c r="J212" t="b">
        <f>VLOOKUP(A212,'Demanda Bruta'!A:BF,58,0)</f>
        <v>1</v>
      </c>
      <c r="K212" t="b">
        <f t="shared" si="3"/>
        <v>1</v>
      </c>
    </row>
    <row r="213" spans="1:11" hidden="1" x14ac:dyDescent="0.25">
      <c r="A213" t="s">
        <v>2874</v>
      </c>
      <c r="B213">
        <v>1836680732</v>
      </c>
      <c r="C213" t="s">
        <v>2877</v>
      </c>
      <c r="D213" t="s">
        <v>2876</v>
      </c>
      <c r="E213" t="s">
        <v>2773</v>
      </c>
      <c r="F213" t="s">
        <v>5637</v>
      </c>
      <c r="G213" t="s">
        <v>5648</v>
      </c>
      <c r="H213" t="s">
        <v>5634</v>
      </c>
      <c r="I213" t="s">
        <v>5636</v>
      </c>
      <c r="J213" t="b">
        <f>VLOOKUP(A213,'Demanda Bruta'!A:BF,58,0)</f>
        <v>1</v>
      </c>
      <c r="K213" t="b">
        <f t="shared" si="3"/>
        <v>1</v>
      </c>
    </row>
    <row r="214" spans="1:11" hidden="1" x14ac:dyDescent="0.25">
      <c r="A214" t="s">
        <v>2887</v>
      </c>
      <c r="B214">
        <v>1166376761</v>
      </c>
      <c r="C214" t="s">
        <v>2890</v>
      </c>
      <c r="D214" t="s">
        <v>2889</v>
      </c>
      <c r="E214" t="s">
        <v>2707</v>
      </c>
      <c r="F214" t="s">
        <v>5634</v>
      </c>
      <c r="G214" t="s">
        <v>5635</v>
      </c>
      <c r="H214" t="s">
        <v>5634</v>
      </c>
      <c r="I214" t="s">
        <v>5636</v>
      </c>
      <c r="J214" t="b">
        <f>VLOOKUP(A214,'Demanda Bruta'!A:BF,58,0)</f>
        <v>1</v>
      </c>
      <c r="K214" t="b">
        <f t="shared" si="3"/>
        <v>1</v>
      </c>
    </row>
    <row r="215" spans="1:11" hidden="1" x14ac:dyDescent="0.25">
      <c r="A215" t="s">
        <v>2899</v>
      </c>
      <c r="B215">
        <v>13464492796</v>
      </c>
      <c r="C215" t="s">
        <v>2902</v>
      </c>
      <c r="D215" t="s">
        <v>2901</v>
      </c>
      <c r="E215" t="s">
        <v>2773</v>
      </c>
      <c r="F215" t="s">
        <v>5634</v>
      </c>
      <c r="G215" t="s">
        <v>5635</v>
      </c>
      <c r="H215" t="s">
        <v>5634</v>
      </c>
      <c r="I215" t="s">
        <v>5636</v>
      </c>
      <c r="J215" t="b">
        <f>VLOOKUP(A215,'Demanda Bruta'!A:BF,58,0)</f>
        <v>1</v>
      </c>
      <c r="K215" t="b">
        <f t="shared" si="3"/>
        <v>1</v>
      </c>
    </row>
    <row r="216" spans="1:11" hidden="1" x14ac:dyDescent="0.25">
      <c r="A216" t="s">
        <v>2910</v>
      </c>
      <c r="B216">
        <v>283616873</v>
      </c>
      <c r="C216" t="s">
        <v>2913</v>
      </c>
      <c r="D216" t="s">
        <v>2912</v>
      </c>
      <c r="E216" t="s">
        <v>2787</v>
      </c>
      <c r="F216" t="s">
        <v>5634</v>
      </c>
      <c r="G216" t="s">
        <v>5635</v>
      </c>
      <c r="H216" t="s">
        <v>5634</v>
      </c>
      <c r="I216" t="s">
        <v>5636</v>
      </c>
      <c r="J216" t="b">
        <f>VLOOKUP(A216,'Demanda Bruta'!A:BF,58,0)</f>
        <v>1</v>
      </c>
      <c r="K216" t="b">
        <f t="shared" si="3"/>
        <v>1</v>
      </c>
    </row>
    <row r="217" spans="1:11" hidden="1" x14ac:dyDescent="0.25">
      <c r="A217" t="s">
        <v>2921</v>
      </c>
      <c r="B217">
        <v>84167530910</v>
      </c>
      <c r="C217" t="s">
        <v>2924</v>
      </c>
      <c r="D217" t="s">
        <v>2923</v>
      </c>
      <c r="E217" t="s">
        <v>2815</v>
      </c>
      <c r="F217" t="s">
        <v>5634</v>
      </c>
      <c r="G217" t="s">
        <v>5635</v>
      </c>
      <c r="H217" t="s">
        <v>5634</v>
      </c>
      <c r="I217" t="s">
        <v>5636</v>
      </c>
      <c r="J217" t="b">
        <f>VLOOKUP(A217,'Demanda Bruta'!A:BF,58,0)</f>
        <v>1</v>
      </c>
      <c r="K217" t="b">
        <f t="shared" si="3"/>
        <v>1</v>
      </c>
    </row>
    <row r="218" spans="1:11" hidden="1" x14ac:dyDescent="0.25">
      <c r="A218" t="s">
        <v>2933</v>
      </c>
      <c r="B218">
        <v>10260368873</v>
      </c>
      <c r="C218" t="s">
        <v>2936</v>
      </c>
      <c r="D218" t="s">
        <v>2935</v>
      </c>
      <c r="E218" t="s">
        <v>2787</v>
      </c>
      <c r="F218" t="s">
        <v>5634</v>
      </c>
      <c r="G218" t="s">
        <v>5635</v>
      </c>
      <c r="H218" t="s">
        <v>5634</v>
      </c>
      <c r="I218" t="s">
        <v>5636</v>
      </c>
      <c r="J218" t="b">
        <f>VLOOKUP(A218,'Demanda Bruta'!A:BF,58,0)</f>
        <v>1</v>
      </c>
      <c r="K218" t="b">
        <f t="shared" si="3"/>
        <v>1</v>
      </c>
    </row>
    <row r="219" spans="1:11" hidden="1" x14ac:dyDescent="0.25">
      <c r="A219" t="s">
        <v>2944</v>
      </c>
      <c r="B219">
        <v>6010752779</v>
      </c>
      <c r="C219" t="s">
        <v>2947</v>
      </c>
      <c r="D219" t="s">
        <v>2946</v>
      </c>
      <c r="E219" t="s">
        <v>2773</v>
      </c>
      <c r="F219" t="s">
        <v>5634</v>
      </c>
      <c r="G219" t="s">
        <v>5635</v>
      </c>
      <c r="H219" t="s">
        <v>5634</v>
      </c>
      <c r="I219" t="s">
        <v>5636</v>
      </c>
      <c r="J219" t="b">
        <f>VLOOKUP(A219,'Demanda Bruta'!A:BF,58,0)</f>
        <v>1</v>
      </c>
      <c r="K219" t="b">
        <f t="shared" si="3"/>
        <v>1</v>
      </c>
    </row>
    <row r="220" spans="1:11" hidden="1" x14ac:dyDescent="0.25">
      <c r="A220" t="s">
        <v>2954</v>
      </c>
      <c r="B220">
        <v>9381039704</v>
      </c>
      <c r="C220" t="s">
        <v>2957</v>
      </c>
      <c r="D220" t="s">
        <v>2956</v>
      </c>
      <c r="E220" t="s">
        <v>1133</v>
      </c>
      <c r="F220" t="s">
        <v>5634</v>
      </c>
      <c r="G220" t="s">
        <v>5635</v>
      </c>
      <c r="H220" t="s">
        <v>5634</v>
      </c>
      <c r="I220" t="s">
        <v>5636</v>
      </c>
      <c r="J220" t="b">
        <f>VLOOKUP(A220,'Demanda Bruta'!A:BF,58,0)</f>
        <v>1</v>
      </c>
      <c r="K220" t="b">
        <f t="shared" si="3"/>
        <v>1</v>
      </c>
    </row>
    <row r="221" spans="1:11" hidden="1" x14ac:dyDescent="0.25">
      <c r="A221" t="s">
        <v>2966</v>
      </c>
      <c r="B221">
        <v>15498149743</v>
      </c>
      <c r="C221" t="s">
        <v>2969</v>
      </c>
      <c r="D221" t="s">
        <v>2968</v>
      </c>
      <c r="E221" t="s">
        <v>2972</v>
      </c>
      <c r="F221" t="s">
        <v>5634</v>
      </c>
      <c r="G221" t="s">
        <v>5635</v>
      </c>
      <c r="H221" t="s">
        <v>5634</v>
      </c>
      <c r="I221" t="s">
        <v>5636</v>
      </c>
      <c r="J221" t="b">
        <f>VLOOKUP(A221,'Demanda Bruta'!A:BF,58,0)</f>
        <v>1</v>
      </c>
      <c r="K221" t="b">
        <f t="shared" si="3"/>
        <v>1</v>
      </c>
    </row>
    <row r="222" spans="1:11" hidden="1" x14ac:dyDescent="0.25">
      <c r="A222" t="s">
        <v>2980</v>
      </c>
      <c r="B222">
        <v>5548399705</v>
      </c>
      <c r="C222" t="s">
        <v>2983</v>
      </c>
      <c r="D222" t="s">
        <v>2982</v>
      </c>
      <c r="E222" t="s">
        <v>2815</v>
      </c>
      <c r="F222" t="s">
        <v>5634</v>
      </c>
      <c r="G222" t="s">
        <v>5635</v>
      </c>
      <c r="H222" t="s">
        <v>5634</v>
      </c>
      <c r="I222" t="s">
        <v>5636</v>
      </c>
      <c r="J222" t="b">
        <f>VLOOKUP(A222,'Demanda Bruta'!A:BF,58,0)</f>
        <v>1</v>
      </c>
      <c r="K222" t="b">
        <f t="shared" si="3"/>
        <v>1</v>
      </c>
    </row>
    <row r="223" spans="1:11" hidden="1" x14ac:dyDescent="0.25">
      <c r="A223" t="s">
        <v>2991</v>
      </c>
      <c r="B223">
        <v>41782449817</v>
      </c>
      <c r="C223" t="s">
        <v>2994</v>
      </c>
      <c r="D223" t="s">
        <v>2993</v>
      </c>
      <c r="E223" t="s">
        <v>2787</v>
      </c>
      <c r="F223" t="s">
        <v>5634</v>
      </c>
      <c r="G223" t="s">
        <v>5635</v>
      </c>
      <c r="H223" t="s">
        <v>5634</v>
      </c>
      <c r="I223" t="s">
        <v>5636</v>
      </c>
      <c r="J223" t="b">
        <f>VLOOKUP(A223,'Demanda Bruta'!A:BF,58,0)</f>
        <v>1</v>
      </c>
      <c r="K223" t="b">
        <f t="shared" si="3"/>
        <v>1</v>
      </c>
    </row>
    <row r="224" spans="1:11" hidden="1" x14ac:dyDescent="0.25">
      <c r="A224" t="s">
        <v>3002</v>
      </c>
      <c r="B224">
        <v>85986160797</v>
      </c>
      <c r="C224" t="s">
        <v>3005</v>
      </c>
      <c r="D224" t="s">
        <v>3004</v>
      </c>
      <c r="E224" t="s">
        <v>2815</v>
      </c>
      <c r="F224" t="s">
        <v>5634</v>
      </c>
      <c r="G224" t="s">
        <v>5635</v>
      </c>
      <c r="H224" t="s">
        <v>5634</v>
      </c>
      <c r="I224" t="s">
        <v>5636</v>
      </c>
      <c r="J224" t="b">
        <f>VLOOKUP(A224,'Demanda Bruta'!A:BF,58,0)</f>
        <v>1</v>
      </c>
      <c r="K224" t="b">
        <f t="shared" si="3"/>
        <v>1</v>
      </c>
    </row>
    <row r="225" spans="1:11" hidden="1" x14ac:dyDescent="0.25">
      <c r="A225" t="s">
        <v>3014</v>
      </c>
      <c r="B225">
        <v>49434144787</v>
      </c>
      <c r="C225" t="s">
        <v>3017</v>
      </c>
      <c r="D225" t="s">
        <v>3016</v>
      </c>
      <c r="E225" t="s">
        <v>2707</v>
      </c>
      <c r="F225" t="s">
        <v>5637</v>
      </c>
      <c r="G225" t="s">
        <v>5648</v>
      </c>
      <c r="H225" t="s">
        <v>5634</v>
      </c>
      <c r="I225" t="s">
        <v>5636</v>
      </c>
      <c r="J225" t="b">
        <f>VLOOKUP(A225,'Demanda Bruta'!A:BF,58,0)</f>
        <v>1</v>
      </c>
      <c r="K225" t="b">
        <f t="shared" si="3"/>
        <v>1</v>
      </c>
    </row>
    <row r="226" spans="1:11" hidden="1" x14ac:dyDescent="0.25">
      <c r="A226" t="s">
        <v>3028</v>
      </c>
      <c r="B226">
        <v>18543210801</v>
      </c>
      <c r="C226" t="s">
        <v>3031</v>
      </c>
      <c r="D226" t="s">
        <v>3030</v>
      </c>
      <c r="E226" t="s">
        <v>2707</v>
      </c>
      <c r="F226" t="s">
        <v>5634</v>
      </c>
      <c r="G226" t="s">
        <v>5635</v>
      </c>
      <c r="H226" t="s">
        <v>5634</v>
      </c>
      <c r="I226" t="s">
        <v>5636</v>
      </c>
      <c r="J226" t="b">
        <f>VLOOKUP(A226,'Demanda Bruta'!A:BF,58,0)</f>
        <v>1</v>
      </c>
      <c r="K226" t="b">
        <f t="shared" si="3"/>
        <v>1</v>
      </c>
    </row>
    <row r="227" spans="1:11" hidden="1" x14ac:dyDescent="0.25">
      <c r="A227" t="s">
        <v>3039</v>
      </c>
      <c r="B227">
        <v>930427289</v>
      </c>
      <c r="C227" t="s">
        <v>3042</v>
      </c>
      <c r="D227" t="s">
        <v>3041</v>
      </c>
      <c r="E227" t="s">
        <v>2773</v>
      </c>
      <c r="F227" t="s">
        <v>5634</v>
      </c>
      <c r="G227" t="s">
        <v>5635</v>
      </c>
      <c r="H227" t="s">
        <v>5634</v>
      </c>
      <c r="I227" t="s">
        <v>5636</v>
      </c>
      <c r="J227" t="b">
        <f>VLOOKUP(A227,'Demanda Bruta'!A:BF,58,0)</f>
        <v>1</v>
      </c>
      <c r="K227" t="b">
        <f t="shared" si="3"/>
        <v>1</v>
      </c>
    </row>
    <row r="228" spans="1:11" hidden="1" x14ac:dyDescent="0.25">
      <c r="A228" t="s">
        <v>3050</v>
      </c>
      <c r="B228">
        <v>1254264701</v>
      </c>
      <c r="C228" t="s">
        <v>3053</v>
      </c>
      <c r="D228" t="s">
        <v>3052</v>
      </c>
      <c r="E228" t="s">
        <v>2773</v>
      </c>
      <c r="F228" t="s">
        <v>5634</v>
      </c>
      <c r="G228" t="s">
        <v>5635</v>
      </c>
      <c r="H228" t="s">
        <v>5634</v>
      </c>
      <c r="I228" t="s">
        <v>5636</v>
      </c>
      <c r="J228" t="b">
        <f>VLOOKUP(A228,'Demanda Bruta'!A:BF,58,0)</f>
        <v>1</v>
      </c>
      <c r="K228" t="b">
        <f t="shared" si="3"/>
        <v>1</v>
      </c>
    </row>
    <row r="229" spans="1:11" hidden="1" x14ac:dyDescent="0.25">
      <c r="A229" t="s">
        <v>3061</v>
      </c>
      <c r="B229">
        <v>77228880706</v>
      </c>
      <c r="C229" t="s">
        <v>3064</v>
      </c>
      <c r="D229" t="s">
        <v>3063</v>
      </c>
      <c r="E229" t="s">
        <v>2707</v>
      </c>
      <c r="F229" t="s">
        <v>5637</v>
      </c>
      <c r="G229" t="s">
        <v>5648</v>
      </c>
      <c r="H229" t="s">
        <v>5634</v>
      </c>
      <c r="I229" t="s">
        <v>5636</v>
      </c>
      <c r="J229" t="b">
        <f>VLOOKUP(A229,'Demanda Bruta'!A:BF,58,0)</f>
        <v>1</v>
      </c>
      <c r="K229" t="b">
        <f t="shared" si="3"/>
        <v>1</v>
      </c>
    </row>
    <row r="230" spans="1:11" hidden="1" x14ac:dyDescent="0.25">
      <c r="A230" t="s">
        <v>3073</v>
      </c>
      <c r="B230">
        <v>26479110889</v>
      </c>
      <c r="C230" t="s">
        <v>3076</v>
      </c>
      <c r="D230" t="s">
        <v>3075</v>
      </c>
      <c r="E230" t="s">
        <v>2707</v>
      </c>
      <c r="F230" t="s">
        <v>5637</v>
      </c>
      <c r="G230" t="s">
        <v>5697</v>
      </c>
      <c r="H230" t="s">
        <v>5637</v>
      </c>
      <c r="I230" t="s">
        <v>5639</v>
      </c>
      <c r="J230" t="b">
        <f>VLOOKUP(A230,'Demanda Bruta'!A:BF,58,0)</f>
        <v>0</v>
      </c>
      <c r="K230" t="b">
        <f t="shared" si="3"/>
        <v>1</v>
      </c>
    </row>
    <row r="231" spans="1:11" hidden="1" x14ac:dyDescent="0.25">
      <c r="A231" t="s">
        <v>3085</v>
      </c>
      <c r="B231">
        <v>24731179858</v>
      </c>
      <c r="C231" t="s">
        <v>3088</v>
      </c>
      <c r="D231" t="s">
        <v>3087</v>
      </c>
      <c r="E231" t="s">
        <v>2725</v>
      </c>
      <c r="F231" t="s">
        <v>5634</v>
      </c>
      <c r="G231" t="s">
        <v>5635</v>
      </c>
      <c r="H231" t="s">
        <v>5634</v>
      </c>
      <c r="I231" t="s">
        <v>5636</v>
      </c>
      <c r="J231" t="b">
        <f>VLOOKUP(A231,'Demanda Bruta'!A:BF,58,0)</f>
        <v>1</v>
      </c>
      <c r="K231" t="b">
        <f t="shared" si="3"/>
        <v>1</v>
      </c>
    </row>
    <row r="232" spans="1:11" hidden="1" x14ac:dyDescent="0.25">
      <c r="A232" t="s">
        <v>3097</v>
      </c>
      <c r="B232">
        <v>10846748746</v>
      </c>
      <c r="C232" t="s">
        <v>3100</v>
      </c>
      <c r="D232" t="s">
        <v>3099</v>
      </c>
      <c r="E232" t="s">
        <v>2773</v>
      </c>
      <c r="F232" t="s">
        <v>5634</v>
      </c>
      <c r="G232" t="s">
        <v>5635</v>
      </c>
      <c r="H232" t="s">
        <v>5634</v>
      </c>
      <c r="I232" t="s">
        <v>5636</v>
      </c>
      <c r="J232" t="b">
        <f>VLOOKUP(A232,'Demanda Bruta'!A:BF,58,0)</f>
        <v>1</v>
      </c>
      <c r="K232" t="b">
        <f t="shared" si="3"/>
        <v>1</v>
      </c>
    </row>
    <row r="233" spans="1:11" hidden="1" x14ac:dyDescent="0.25">
      <c r="A233" t="s">
        <v>3108</v>
      </c>
      <c r="B233">
        <v>7667232750</v>
      </c>
      <c r="C233" t="s">
        <v>3111</v>
      </c>
      <c r="D233" t="s">
        <v>3110</v>
      </c>
      <c r="E233" t="s">
        <v>1905</v>
      </c>
      <c r="F233" t="s">
        <v>5637</v>
      </c>
      <c r="G233" t="s">
        <v>5699</v>
      </c>
      <c r="H233" t="s">
        <v>5637</v>
      </c>
      <c r="I233" t="s">
        <v>5639</v>
      </c>
      <c r="J233" t="b">
        <f>VLOOKUP(A233,'Demanda Bruta'!A:BF,58,0)</f>
        <v>0</v>
      </c>
      <c r="K233" t="b">
        <f t="shared" si="3"/>
        <v>1</v>
      </c>
    </row>
    <row r="234" spans="1:11" hidden="1" x14ac:dyDescent="0.25">
      <c r="A234" t="s">
        <v>3119</v>
      </c>
      <c r="B234">
        <v>11874438757</v>
      </c>
      <c r="C234" t="s">
        <v>3122</v>
      </c>
      <c r="D234" t="s">
        <v>3121</v>
      </c>
      <c r="E234" t="s">
        <v>2972</v>
      </c>
      <c r="F234" t="s">
        <v>5634</v>
      </c>
      <c r="G234" t="s">
        <v>5635</v>
      </c>
      <c r="H234" t="s">
        <v>5634</v>
      </c>
      <c r="I234" t="s">
        <v>5636</v>
      </c>
      <c r="J234" t="b">
        <f>VLOOKUP(A234,'Demanda Bruta'!A:BF,58,0)</f>
        <v>1</v>
      </c>
      <c r="K234" t="b">
        <f t="shared" si="3"/>
        <v>1</v>
      </c>
    </row>
    <row r="235" spans="1:11" hidden="1" x14ac:dyDescent="0.25">
      <c r="A235" t="s">
        <v>3132</v>
      </c>
      <c r="B235">
        <v>91933510706</v>
      </c>
      <c r="C235" t="s">
        <v>3135</v>
      </c>
      <c r="D235" t="s">
        <v>3134</v>
      </c>
      <c r="E235" t="s">
        <v>2707</v>
      </c>
      <c r="F235" t="s">
        <v>5637</v>
      </c>
      <c r="G235" t="s">
        <v>5697</v>
      </c>
      <c r="H235" t="s">
        <v>5637</v>
      </c>
      <c r="I235" t="s">
        <v>5639</v>
      </c>
      <c r="J235" t="b">
        <f>VLOOKUP(A235,'Demanda Bruta'!A:BF,58,0)</f>
        <v>0</v>
      </c>
      <c r="K235" t="b">
        <f t="shared" si="3"/>
        <v>1</v>
      </c>
    </row>
    <row r="236" spans="1:11" hidden="1" x14ac:dyDescent="0.25">
      <c r="A236" t="s">
        <v>3143</v>
      </c>
      <c r="B236">
        <v>8792128610</v>
      </c>
      <c r="C236" t="s">
        <v>3146</v>
      </c>
      <c r="D236" t="s">
        <v>3145</v>
      </c>
      <c r="E236" t="s">
        <v>2815</v>
      </c>
      <c r="F236" t="s">
        <v>5634</v>
      </c>
      <c r="G236" t="s">
        <v>5635</v>
      </c>
      <c r="H236" t="s">
        <v>5634</v>
      </c>
      <c r="I236" t="s">
        <v>5636</v>
      </c>
      <c r="J236" t="b">
        <f>VLOOKUP(A236,'Demanda Bruta'!A:BF,58,0)</f>
        <v>1</v>
      </c>
      <c r="K236" t="b">
        <f t="shared" si="3"/>
        <v>1</v>
      </c>
    </row>
    <row r="237" spans="1:11" hidden="1" x14ac:dyDescent="0.25">
      <c r="A237" t="s">
        <v>3154</v>
      </c>
      <c r="B237">
        <v>2631787900</v>
      </c>
      <c r="C237" t="s">
        <v>3157</v>
      </c>
      <c r="D237" t="s">
        <v>3156</v>
      </c>
      <c r="E237" t="s">
        <v>2972</v>
      </c>
      <c r="F237" t="s">
        <v>5634</v>
      </c>
      <c r="G237" t="s">
        <v>5635</v>
      </c>
      <c r="H237" t="s">
        <v>5634</v>
      </c>
      <c r="I237" t="s">
        <v>5636</v>
      </c>
      <c r="J237" t="b">
        <f>VLOOKUP(A237,'Demanda Bruta'!A:BF,58,0)</f>
        <v>1</v>
      </c>
      <c r="K237" t="b">
        <f t="shared" si="3"/>
        <v>1</v>
      </c>
    </row>
    <row r="238" spans="1:11" hidden="1" x14ac:dyDescent="0.25">
      <c r="A238" t="s">
        <v>3168</v>
      </c>
      <c r="B238">
        <v>22671157860</v>
      </c>
      <c r="C238" t="s">
        <v>3171</v>
      </c>
      <c r="D238" t="s">
        <v>3170</v>
      </c>
      <c r="E238" t="s">
        <v>2787</v>
      </c>
      <c r="F238" t="s">
        <v>5634</v>
      </c>
      <c r="G238" t="s">
        <v>5635</v>
      </c>
      <c r="H238" t="s">
        <v>5634</v>
      </c>
      <c r="I238" t="s">
        <v>5636</v>
      </c>
      <c r="J238" t="b">
        <f>VLOOKUP(A238,'Demanda Bruta'!A:BF,58,0)</f>
        <v>1</v>
      </c>
      <c r="K238" t="b">
        <f t="shared" si="3"/>
        <v>1</v>
      </c>
    </row>
    <row r="239" spans="1:11" hidden="1" x14ac:dyDescent="0.25">
      <c r="A239" t="s">
        <v>3179</v>
      </c>
      <c r="B239">
        <v>11623756120</v>
      </c>
      <c r="C239" t="s">
        <v>3182</v>
      </c>
      <c r="D239" t="s">
        <v>3181</v>
      </c>
      <c r="E239" t="s">
        <v>1133</v>
      </c>
      <c r="F239" t="s">
        <v>5634</v>
      </c>
      <c r="G239" t="s">
        <v>5635</v>
      </c>
      <c r="H239" t="s">
        <v>5634</v>
      </c>
      <c r="I239" t="s">
        <v>5636</v>
      </c>
      <c r="J239" t="b">
        <f>VLOOKUP(A239,'Demanda Bruta'!A:BF,58,0)</f>
        <v>1</v>
      </c>
      <c r="K239" t="b">
        <f t="shared" si="3"/>
        <v>1</v>
      </c>
    </row>
    <row r="240" spans="1:11" hidden="1" x14ac:dyDescent="0.25">
      <c r="A240" t="s">
        <v>3193</v>
      </c>
      <c r="B240">
        <v>51262975034</v>
      </c>
      <c r="C240" t="s">
        <v>3196</v>
      </c>
      <c r="D240" t="s">
        <v>3195</v>
      </c>
      <c r="E240" t="s">
        <v>2972</v>
      </c>
      <c r="F240" t="s">
        <v>5634</v>
      </c>
      <c r="G240" t="s">
        <v>5635</v>
      </c>
      <c r="H240" t="s">
        <v>5634</v>
      </c>
      <c r="I240" t="s">
        <v>5636</v>
      </c>
      <c r="J240" t="b">
        <f>VLOOKUP(A240,'Demanda Bruta'!A:BF,58,0)</f>
        <v>1</v>
      </c>
      <c r="K240" t="b">
        <f t="shared" si="3"/>
        <v>1</v>
      </c>
    </row>
    <row r="241" spans="1:11" hidden="1" x14ac:dyDescent="0.25">
      <c r="A241" t="s">
        <v>3204</v>
      </c>
      <c r="B241">
        <v>88404595704</v>
      </c>
      <c r="C241" t="s">
        <v>3207</v>
      </c>
      <c r="D241" t="s">
        <v>3206</v>
      </c>
      <c r="E241" t="s">
        <v>2815</v>
      </c>
      <c r="F241" t="s">
        <v>5634</v>
      </c>
      <c r="G241" t="s">
        <v>5635</v>
      </c>
      <c r="H241" t="s">
        <v>5634</v>
      </c>
      <c r="I241" t="s">
        <v>5636</v>
      </c>
      <c r="J241" t="b">
        <f>VLOOKUP(A241,'Demanda Bruta'!A:BF,58,0)</f>
        <v>1</v>
      </c>
      <c r="K241" t="b">
        <f t="shared" si="3"/>
        <v>1</v>
      </c>
    </row>
    <row r="242" spans="1:11" hidden="1" x14ac:dyDescent="0.25">
      <c r="A242" t="s">
        <v>3215</v>
      </c>
      <c r="B242">
        <v>92714102700</v>
      </c>
      <c r="C242" t="s">
        <v>3218</v>
      </c>
      <c r="D242" t="s">
        <v>3217</v>
      </c>
      <c r="E242" t="s">
        <v>2707</v>
      </c>
      <c r="F242" t="s">
        <v>5634</v>
      </c>
      <c r="G242" t="s">
        <v>5635</v>
      </c>
      <c r="H242" t="s">
        <v>5634</v>
      </c>
      <c r="I242" t="s">
        <v>5636</v>
      </c>
      <c r="J242" t="b">
        <f>VLOOKUP(A242,'Demanda Bruta'!A:BF,58,0)</f>
        <v>1</v>
      </c>
      <c r="K242" t="b">
        <f t="shared" si="3"/>
        <v>1</v>
      </c>
    </row>
    <row r="243" spans="1:11" hidden="1" x14ac:dyDescent="0.25">
      <c r="A243" t="s">
        <v>3225</v>
      </c>
      <c r="B243">
        <v>92746578700</v>
      </c>
      <c r="C243" t="s">
        <v>3228</v>
      </c>
      <c r="D243" t="s">
        <v>3227</v>
      </c>
      <c r="E243" t="s">
        <v>2972</v>
      </c>
      <c r="F243" t="s">
        <v>5634</v>
      </c>
      <c r="G243" t="s">
        <v>5635</v>
      </c>
      <c r="H243" t="s">
        <v>5634</v>
      </c>
      <c r="I243" t="s">
        <v>5636</v>
      </c>
      <c r="J243" t="b">
        <f>VLOOKUP(A243,'Demanda Bruta'!A:BF,58,0)</f>
        <v>1</v>
      </c>
      <c r="K243" t="b">
        <f t="shared" si="3"/>
        <v>1</v>
      </c>
    </row>
    <row r="244" spans="1:11" hidden="1" x14ac:dyDescent="0.25">
      <c r="A244" t="s">
        <v>3237</v>
      </c>
      <c r="B244">
        <v>9234805798</v>
      </c>
      <c r="C244" t="s">
        <v>3240</v>
      </c>
      <c r="D244" t="s">
        <v>3239</v>
      </c>
      <c r="E244" t="s">
        <v>2773</v>
      </c>
      <c r="F244" t="s">
        <v>5634</v>
      </c>
      <c r="G244" t="s">
        <v>5635</v>
      </c>
      <c r="H244" t="s">
        <v>5634</v>
      </c>
      <c r="I244" t="s">
        <v>5636</v>
      </c>
      <c r="J244" t="b">
        <f>VLOOKUP(A244,'Demanda Bruta'!A:BF,58,0)</f>
        <v>1</v>
      </c>
      <c r="K244" t="b">
        <f t="shared" si="3"/>
        <v>1</v>
      </c>
    </row>
    <row r="245" spans="1:11" hidden="1" x14ac:dyDescent="0.25">
      <c r="A245" t="s">
        <v>3249</v>
      </c>
      <c r="B245">
        <v>5426512701</v>
      </c>
      <c r="C245" t="s">
        <v>3252</v>
      </c>
      <c r="D245" t="s">
        <v>3251</v>
      </c>
      <c r="E245" t="s">
        <v>1133</v>
      </c>
      <c r="F245" t="s">
        <v>5634</v>
      </c>
      <c r="G245" t="s">
        <v>5635</v>
      </c>
      <c r="H245" t="s">
        <v>5634</v>
      </c>
      <c r="I245" t="s">
        <v>5636</v>
      </c>
      <c r="J245" t="b">
        <f>VLOOKUP(A245,'Demanda Bruta'!A:BF,58,0)</f>
        <v>1</v>
      </c>
      <c r="K245" t="b">
        <f t="shared" si="3"/>
        <v>1</v>
      </c>
    </row>
    <row r="246" spans="1:11" hidden="1" x14ac:dyDescent="0.25">
      <c r="A246" t="s">
        <v>3260</v>
      </c>
      <c r="B246">
        <v>52389030149</v>
      </c>
      <c r="C246" t="s">
        <v>3263</v>
      </c>
      <c r="D246" t="s">
        <v>3262</v>
      </c>
      <c r="E246" t="s">
        <v>2707</v>
      </c>
      <c r="F246" t="s">
        <v>5634</v>
      </c>
      <c r="G246" t="s">
        <v>5635</v>
      </c>
      <c r="H246" t="s">
        <v>5634</v>
      </c>
      <c r="I246" t="s">
        <v>5636</v>
      </c>
      <c r="J246" t="b">
        <f>VLOOKUP(A246,'Demanda Bruta'!A:BF,58,0)</f>
        <v>1</v>
      </c>
      <c r="K246" t="b">
        <f t="shared" si="3"/>
        <v>1</v>
      </c>
    </row>
    <row r="247" spans="1:11" hidden="1" x14ac:dyDescent="0.25">
      <c r="A247" t="s">
        <v>3271</v>
      </c>
      <c r="B247">
        <v>7180425656</v>
      </c>
      <c r="C247" t="s">
        <v>3274</v>
      </c>
      <c r="D247" t="s">
        <v>3273</v>
      </c>
      <c r="E247" t="s">
        <v>2773</v>
      </c>
      <c r="F247" t="s">
        <v>5634</v>
      </c>
      <c r="G247" t="s">
        <v>5635</v>
      </c>
      <c r="H247" t="s">
        <v>5634</v>
      </c>
      <c r="I247" t="s">
        <v>5636</v>
      </c>
      <c r="J247" t="b">
        <f>VLOOKUP(A247,'Demanda Bruta'!A:BF,58,0)</f>
        <v>1</v>
      </c>
      <c r="K247" t="b">
        <f t="shared" si="3"/>
        <v>1</v>
      </c>
    </row>
    <row r="248" spans="1:11" hidden="1" x14ac:dyDescent="0.25">
      <c r="A248" t="s">
        <v>3281</v>
      </c>
      <c r="B248">
        <v>13150830788</v>
      </c>
      <c r="C248" t="s">
        <v>3284</v>
      </c>
      <c r="D248" t="s">
        <v>3283</v>
      </c>
      <c r="E248" t="s">
        <v>2773</v>
      </c>
      <c r="F248" t="s">
        <v>5634</v>
      </c>
      <c r="G248" t="s">
        <v>5635</v>
      </c>
      <c r="H248" t="s">
        <v>5634</v>
      </c>
      <c r="I248" t="s">
        <v>5636</v>
      </c>
      <c r="J248" t="b">
        <f>VLOOKUP(A248,'Demanda Bruta'!A:BF,58,0)</f>
        <v>1</v>
      </c>
      <c r="K248" t="b">
        <f t="shared" si="3"/>
        <v>1</v>
      </c>
    </row>
    <row r="249" spans="1:11" hidden="1" x14ac:dyDescent="0.25">
      <c r="A249" t="s">
        <v>3293</v>
      </c>
      <c r="B249">
        <v>58017933053</v>
      </c>
      <c r="C249" t="s">
        <v>3296</v>
      </c>
      <c r="D249" t="s">
        <v>3295</v>
      </c>
      <c r="E249" t="s">
        <v>2787</v>
      </c>
      <c r="F249" t="s">
        <v>5634</v>
      </c>
      <c r="G249" t="s">
        <v>5635</v>
      </c>
      <c r="H249" t="s">
        <v>5634</v>
      </c>
      <c r="I249" t="s">
        <v>5636</v>
      </c>
      <c r="J249" t="b">
        <f>VLOOKUP(A249,'Demanda Bruta'!A:BF,58,0)</f>
        <v>1</v>
      </c>
      <c r="K249" t="b">
        <f t="shared" si="3"/>
        <v>1</v>
      </c>
    </row>
    <row r="250" spans="1:11" hidden="1" x14ac:dyDescent="0.25">
      <c r="A250" t="s">
        <v>3305</v>
      </c>
      <c r="B250">
        <v>21313254878</v>
      </c>
      <c r="C250" t="s">
        <v>3308</v>
      </c>
      <c r="D250" t="s">
        <v>3307</v>
      </c>
      <c r="E250" t="s">
        <v>2725</v>
      </c>
      <c r="F250" t="s">
        <v>5634</v>
      </c>
      <c r="G250" t="s">
        <v>5635</v>
      </c>
      <c r="H250" t="s">
        <v>5634</v>
      </c>
      <c r="I250" t="s">
        <v>5636</v>
      </c>
      <c r="J250" t="b">
        <f>VLOOKUP(A250,'Demanda Bruta'!A:BF,58,0)</f>
        <v>1</v>
      </c>
      <c r="K250" t="b">
        <f t="shared" si="3"/>
        <v>1</v>
      </c>
    </row>
    <row r="251" spans="1:11" hidden="1" x14ac:dyDescent="0.25">
      <c r="A251" t="s">
        <v>3317</v>
      </c>
      <c r="B251">
        <v>609513702</v>
      </c>
      <c r="C251" t="s">
        <v>3320</v>
      </c>
      <c r="D251" t="s">
        <v>3319</v>
      </c>
      <c r="E251" t="s">
        <v>1133</v>
      </c>
      <c r="F251" t="s">
        <v>5634</v>
      </c>
      <c r="G251" t="s">
        <v>5635</v>
      </c>
      <c r="H251" t="s">
        <v>5634</v>
      </c>
      <c r="I251" t="s">
        <v>5636</v>
      </c>
      <c r="J251" t="b">
        <f>VLOOKUP(A251,'Demanda Bruta'!A:BF,58,0)</f>
        <v>1</v>
      </c>
      <c r="K251" t="b">
        <f t="shared" si="3"/>
        <v>1</v>
      </c>
    </row>
    <row r="252" spans="1:11" hidden="1" x14ac:dyDescent="0.25">
      <c r="A252" t="s">
        <v>3328</v>
      </c>
      <c r="B252">
        <v>10025241648</v>
      </c>
      <c r="C252" t="s">
        <v>3331</v>
      </c>
      <c r="D252" t="s">
        <v>3330</v>
      </c>
      <c r="E252" t="s">
        <v>2773</v>
      </c>
      <c r="F252" t="s">
        <v>5634</v>
      </c>
      <c r="G252" t="s">
        <v>5635</v>
      </c>
      <c r="H252" t="s">
        <v>5634</v>
      </c>
      <c r="I252" t="s">
        <v>5636</v>
      </c>
      <c r="J252" t="b">
        <f>VLOOKUP(A252,'Demanda Bruta'!A:BF,58,0)</f>
        <v>1</v>
      </c>
      <c r="K252" t="b">
        <f t="shared" si="3"/>
        <v>1</v>
      </c>
    </row>
    <row r="253" spans="1:11" hidden="1" x14ac:dyDescent="0.25">
      <c r="A253" t="s">
        <v>3338</v>
      </c>
      <c r="B253">
        <v>31444200852</v>
      </c>
      <c r="C253" t="s">
        <v>3341</v>
      </c>
      <c r="D253" t="s">
        <v>3340</v>
      </c>
      <c r="E253" t="s">
        <v>2787</v>
      </c>
      <c r="F253" t="s">
        <v>5634</v>
      </c>
      <c r="G253" t="s">
        <v>5635</v>
      </c>
      <c r="H253" t="s">
        <v>5634</v>
      </c>
      <c r="I253" t="s">
        <v>5636</v>
      </c>
      <c r="J253" t="b">
        <f>VLOOKUP(A253,'Demanda Bruta'!A:BF,58,0)</f>
        <v>1</v>
      </c>
      <c r="K253" t="b">
        <f t="shared" si="3"/>
        <v>1</v>
      </c>
    </row>
    <row r="254" spans="1:11" hidden="1" x14ac:dyDescent="0.25">
      <c r="A254" t="s">
        <v>3350</v>
      </c>
      <c r="B254">
        <v>1511596708</v>
      </c>
      <c r="C254" t="s">
        <v>3353</v>
      </c>
      <c r="D254" t="s">
        <v>3352</v>
      </c>
      <c r="E254" t="s">
        <v>2815</v>
      </c>
      <c r="F254" t="s">
        <v>5634</v>
      </c>
      <c r="G254" t="s">
        <v>5635</v>
      </c>
      <c r="H254" t="s">
        <v>5634</v>
      </c>
      <c r="I254" t="s">
        <v>5636</v>
      </c>
      <c r="J254" t="b">
        <f>VLOOKUP(A254,'Demanda Bruta'!A:BF,58,0)</f>
        <v>1</v>
      </c>
      <c r="K254" t="b">
        <f t="shared" si="3"/>
        <v>1</v>
      </c>
    </row>
    <row r="255" spans="1:11" hidden="1" x14ac:dyDescent="0.25">
      <c r="A255" t="s">
        <v>3361</v>
      </c>
      <c r="B255">
        <v>99439220104</v>
      </c>
      <c r="C255" t="s">
        <v>3364</v>
      </c>
      <c r="D255" t="s">
        <v>3363</v>
      </c>
      <c r="E255" t="s">
        <v>2800</v>
      </c>
      <c r="F255" t="s">
        <v>5634</v>
      </c>
      <c r="G255" t="s">
        <v>5635</v>
      </c>
      <c r="H255" t="s">
        <v>5634</v>
      </c>
      <c r="I255" t="s">
        <v>5636</v>
      </c>
      <c r="J255" t="b">
        <f>VLOOKUP(A255,'Demanda Bruta'!A:BF,58,0)</f>
        <v>1</v>
      </c>
      <c r="K255" t="b">
        <f t="shared" si="3"/>
        <v>1</v>
      </c>
    </row>
    <row r="256" spans="1:11" hidden="1" x14ac:dyDescent="0.25">
      <c r="A256" t="s">
        <v>3375</v>
      </c>
      <c r="B256">
        <v>3704986151</v>
      </c>
      <c r="C256" t="s">
        <v>3378</v>
      </c>
      <c r="D256" t="s">
        <v>3377</v>
      </c>
      <c r="E256" t="s">
        <v>2972</v>
      </c>
      <c r="F256" t="s">
        <v>5634</v>
      </c>
      <c r="G256" t="s">
        <v>5635</v>
      </c>
      <c r="H256" t="s">
        <v>5634</v>
      </c>
      <c r="I256" t="s">
        <v>5636</v>
      </c>
      <c r="J256" t="b">
        <f>VLOOKUP(A256,'Demanda Bruta'!A:BF,58,0)</f>
        <v>1</v>
      </c>
      <c r="K256" t="b">
        <f t="shared" si="3"/>
        <v>1</v>
      </c>
    </row>
    <row r="257" spans="1:11" hidden="1" x14ac:dyDescent="0.25">
      <c r="A257" t="s">
        <v>3386</v>
      </c>
      <c r="B257">
        <v>3425387138</v>
      </c>
      <c r="C257" t="s">
        <v>3389</v>
      </c>
      <c r="D257" t="s">
        <v>3388</v>
      </c>
      <c r="E257" t="s">
        <v>2773</v>
      </c>
      <c r="F257" t="s">
        <v>5634</v>
      </c>
      <c r="G257" t="s">
        <v>5635</v>
      </c>
      <c r="H257" t="s">
        <v>5634</v>
      </c>
      <c r="I257" t="s">
        <v>5636</v>
      </c>
      <c r="J257" t="b">
        <f>VLOOKUP(A257,'Demanda Bruta'!A:BF,58,0)</f>
        <v>1</v>
      </c>
      <c r="K257" t="b">
        <f t="shared" si="3"/>
        <v>1</v>
      </c>
    </row>
    <row r="258" spans="1:11" hidden="1" x14ac:dyDescent="0.25">
      <c r="A258" t="s">
        <v>3397</v>
      </c>
      <c r="B258">
        <v>9006413801</v>
      </c>
      <c r="C258" t="s">
        <v>3400</v>
      </c>
      <c r="D258" t="s">
        <v>3399</v>
      </c>
      <c r="E258" t="s">
        <v>2815</v>
      </c>
      <c r="F258" t="s">
        <v>5637</v>
      </c>
      <c r="G258" t="s">
        <v>5700</v>
      </c>
      <c r="H258" t="s">
        <v>5637</v>
      </c>
      <c r="I258" t="s">
        <v>5639</v>
      </c>
      <c r="J258" t="b">
        <f>VLOOKUP(A258,'Demanda Bruta'!A:BF,58,0)</f>
        <v>0</v>
      </c>
      <c r="K258" t="b">
        <f t="shared" si="3"/>
        <v>1</v>
      </c>
    </row>
    <row r="259" spans="1:11" hidden="1" x14ac:dyDescent="0.25">
      <c r="A259" t="s">
        <v>3397</v>
      </c>
      <c r="B259">
        <v>9006413801</v>
      </c>
      <c r="C259" t="s">
        <v>3400</v>
      </c>
      <c r="D259" t="s">
        <v>3399</v>
      </c>
      <c r="E259" t="s">
        <v>2815</v>
      </c>
      <c r="F259" t="s">
        <v>5637</v>
      </c>
      <c r="G259" t="s">
        <v>5700</v>
      </c>
      <c r="H259" t="s">
        <v>5637</v>
      </c>
      <c r="I259" t="s">
        <v>5639</v>
      </c>
      <c r="J259" t="b">
        <f>VLOOKUP(A259,'Demanda Bruta'!A:BF,58,0)</f>
        <v>0</v>
      </c>
      <c r="K259" t="b">
        <f t="shared" ref="K259:K322" si="4">IF(IF(H259="Sim",TRUE,FALSE)=J259,TRUE,FALSE)</f>
        <v>1</v>
      </c>
    </row>
    <row r="260" spans="1:11" hidden="1" x14ac:dyDescent="0.25">
      <c r="A260" t="s">
        <v>3410</v>
      </c>
      <c r="B260">
        <v>26984109817</v>
      </c>
      <c r="C260" t="s">
        <v>3413</v>
      </c>
      <c r="D260" t="s">
        <v>3412</v>
      </c>
      <c r="E260" t="s">
        <v>2787</v>
      </c>
      <c r="F260" t="s">
        <v>5634</v>
      </c>
      <c r="G260" t="s">
        <v>5635</v>
      </c>
      <c r="H260" t="s">
        <v>5634</v>
      </c>
      <c r="I260" t="s">
        <v>5636</v>
      </c>
      <c r="J260" t="b">
        <f>VLOOKUP(A260,'Demanda Bruta'!A:BF,58,0)</f>
        <v>1</v>
      </c>
      <c r="K260" t="b">
        <f t="shared" si="4"/>
        <v>1</v>
      </c>
    </row>
    <row r="261" spans="1:11" hidden="1" x14ac:dyDescent="0.25">
      <c r="A261" t="s">
        <v>3420</v>
      </c>
      <c r="B261">
        <v>61283975734</v>
      </c>
      <c r="C261" t="s">
        <v>3423</v>
      </c>
      <c r="D261" t="s">
        <v>3422</v>
      </c>
      <c r="E261" t="s">
        <v>1133</v>
      </c>
      <c r="F261" t="s">
        <v>5634</v>
      </c>
      <c r="G261" t="s">
        <v>5635</v>
      </c>
      <c r="H261" t="s">
        <v>5634</v>
      </c>
      <c r="I261" t="s">
        <v>5636</v>
      </c>
      <c r="J261" t="b">
        <f>VLOOKUP(A261,'Demanda Bruta'!A:BF,58,0)</f>
        <v>1</v>
      </c>
      <c r="K261" t="b">
        <f t="shared" si="4"/>
        <v>1</v>
      </c>
    </row>
    <row r="262" spans="1:11" hidden="1" x14ac:dyDescent="0.25">
      <c r="A262" t="s">
        <v>3432</v>
      </c>
      <c r="B262">
        <v>3344534963</v>
      </c>
      <c r="C262" t="s">
        <v>3435</v>
      </c>
      <c r="D262" t="s">
        <v>3434</v>
      </c>
      <c r="E262" t="s">
        <v>1133</v>
      </c>
      <c r="F262" t="s">
        <v>5634</v>
      </c>
      <c r="G262" t="s">
        <v>5635</v>
      </c>
      <c r="H262" t="s">
        <v>5634</v>
      </c>
      <c r="I262" t="s">
        <v>5636</v>
      </c>
      <c r="J262" t="b">
        <f>VLOOKUP(A262,'Demanda Bruta'!A:BF,58,0)</f>
        <v>1</v>
      </c>
      <c r="K262" t="b">
        <f t="shared" si="4"/>
        <v>1</v>
      </c>
    </row>
    <row r="263" spans="1:11" hidden="1" x14ac:dyDescent="0.25">
      <c r="A263" t="s">
        <v>3444</v>
      </c>
      <c r="B263">
        <v>36392884831</v>
      </c>
      <c r="C263" t="s">
        <v>3447</v>
      </c>
      <c r="D263" t="s">
        <v>3446</v>
      </c>
      <c r="E263" t="s">
        <v>2787</v>
      </c>
      <c r="F263" t="s">
        <v>5634</v>
      </c>
      <c r="G263" t="s">
        <v>5635</v>
      </c>
      <c r="H263" t="s">
        <v>5634</v>
      </c>
      <c r="I263" t="s">
        <v>5636</v>
      </c>
      <c r="J263" t="b">
        <f>VLOOKUP(A263,'Demanda Bruta'!A:BF,58,0)</f>
        <v>1</v>
      </c>
      <c r="K263" t="b">
        <f t="shared" si="4"/>
        <v>1</v>
      </c>
    </row>
    <row r="264" spans="1:11" hidden="1" x14ac:dyDescent="0.25">
      <c r="A264" t="s">
        <v>3456</v>
      </c>
      <c r="B264">
        <v>11013350766</v>
      </c>
      <c r="C264" t="s">
        <v>3459</v>
      </c>
      <c r="D264" t="s">
        <v>3458</v>
      </c>
      <c r="E264" t="s">
        <v>2773</v>
      </c>
      <c r="F264" t="s">
        <v>5634</v>
      </c>
      <c r="G264" t="s">
        <v>5635</v>
      </c>
      <c r="H264" t="s">
        <v>5634</v>
      </c>
      <c r="I264" t="s">
        <v>5636</v>
      </c>
      <c r="J264" t="b">
        <f>VLOOKUP(A264,'Demanda Bruta'!A:BF,58,0)</f>
        <v>1</v>
      </c>
      <c r="K264" t="b">
        <f t="shared" si="4"/>
        <v>1</v>
      </c>
    </row>
    <row r="265" spans="1:11" hidden="1" x14ac:dyDescent="0.25">
      <c r="A265" t="s">
        <v>3467</v>
      </c>
      <c r="B265">
        <v>5743679690</v>
      </c>
      <c r="C265" t="s">
        <v>3470</v>
      </c>
      <c r="D265" t="s">
        <v>3469</v>
      </c>
      <c r="E265" t="s">
        <v>2972</v>
      </c>
      <c r="F265" t="s">
        <v>5634</v>
      </c>
      <c r="G265" t="s">
        <v>5635</v>
      </c>
      <c r="H265" t="s">
        <v>5634</v>
      </c>
      <c r="I265" t="s">
        <v>5636</v>
      </c>
      <c r="J265" t="b">
        <f>VLOOKUP(A265,'Demanda Bruta'!A:BF,58,0)</f>
        <v>1</v>
      </c>
      <c r="K265" t="b">
        <f t="shared" si="4"/>
        <v>1</v>
      </c>
    </row>
    <row r="266" spans="1:11" hidden="1" x14ac:dyDescent="0.25">
      <c r="A266" t="s">
        <v>3479</v>
      </c>
      <c r="B266">
        <v>2219892930</v>
      </c>
      <c r="C266" t="s">
        <v>3482</v>
      </c>
      <c r="D266" t="s">
        <v>3481</v>
      </c>
      <c r="E266" t="s">
        <v>2972</v>
      </c>
      <c r="F266" t="s">
        <v>5634</v>
      </c>
      <c r="G266" t="s">
        <v>5635</v>
      </c>
      <c r="H266" t="s">
        <v>5634</v>
      </c>
      <c r="I266" t="s">
        <v>5636</v>
      </c>
      <c r="J266" t="b">
        <f>VLOOKUP(A266,'Demanda Bruta'!A:BF,58,0)</f>
        <v>1</v>
      </c>
      <c r="K266" t="b">
        <f t="shared" si="4"/>
        <v>1</v>
      </c>
    </row>
    <row r="267" spans="1:11" hidden="1" x14ac:dyDescent="0.25">
      <c r="A267" t="s">
        <v>3491</v>
      </c>
      <c r="B267">
        <v>9924101421</v>
      </c>
      <c r="C267" t="s">
        <v>3494</v>
      </c>
      <c r="D267" t="s">
        <v>3493</v>
      </c>
      <c r="E267" t="s">
        <v>2815</v>
      </c>
      <c r="F267" t="s">
        <v>5634</v>
      </c>
      <c r="G267" t="s">
        <v>5635</v>
      </c>
      <c r="H267" t="s">
        <v>5634</v>
      </c>
      <c r="I267" t="s">
        <v>5636</v>
      </c>
      <c r="J267" t="b">
        <f>VLOOKUP(A267,'Demanda Bruta'!A:BF,58,0)</f>
        <v>1</v>
      </c>
      <c r="K267" t="b">
        <f t="shared" si="4"/>
        <v>1</v>
      </c>
    </row>
    <row r="268" spans="1:11" hidden="1" x14ac:dyDescent="0.25">
      <c r="A268" t="s">
        <v>3503</v>
      </c>
      <c r="B268">
        <v>9924101421</v>
      </c>
      <c r="C268" t="s">
        <v>3494</v>
      </c>
      <c r="D268" t="s">
        <v>3493</v>
      </c>
      <c r="E268" t="s">
        <v>2815</v>
      </c>
      <c r="F268" t="s">
        <v>5634</v>
      </c>
      <c r="G268" t="s">
        <v>5635</v>
      </c>
      <c r="H268" t="s">
        <v>5634</v>
      </c>
      <c r="I268" t="s">
        <v>5636</v>
      </c>
      <c r="J268" t="b">
        <f>VLOOKUP(A268,'Demanda Bruta'!A:BF,58,0)</f>
        <v>1</v>
      </c>
      <c r="K268" t="b">
        <f t="shared" si="4"/>
        <v>1</v>
      </c>
    </row>
    <row r="269" spans="1:11" hidden="1" x14ac:dyDescent="0.25">
      <c r="A269" t="s">
        <v>3507</v>
      </c>
      <c r="B269">
        <v>7764311707</v>
      </c>
      <c r="C269" t="s">
        <v>3510</v>
      </c>
      <c r="D269" t="s">
        <v>3509</v>
      </c>
      <c r="E269" t="s">
        <v>2773</v>
      </c>
      <c r="F269" t="s">
        <v>5637</v>
      </c>
      <c r="G269" t="s">
        <v>5648</v>
      </c>
      <c r="H269" t="s">
        <v>5634</v>
      </c>
      <c r="I269" t="s">
        <v>5636</v>
      </c>
      <c r="J269" t="b">
        <f>VLOOKUP(A269,'Demanda Bruta'!A:BF,58,0)</f>
        <v>1</v>
      </c>
      <c r="K269" t="b">
        <f t="shared" si="4"/>
        <v>1</v>
      </c>
    </row>
    <row r="270" spans="1:11" hidden="1" x14ac:dyDescent="0.25">
      <c r="A270" t="s">
        <v>3521</v>
      </c>
      <c r="B270">
        <v>8969682430</v>
      </c>
      <c r="C270" t="s">
        <v>3523</v>
      </c>
      <c r="D270" t="s">
        <v>3408</v>
      </c>
      <c r="F270" t="s">
        <v>5637</v>
      </c>
      <c r="G270" t="s">
        <v>5701</v>
      </c>
      <c r="H270" t="s">
        <v>5637</v>
      </c>
      <c r="I270" t="s">
        <v>5639</v>
      </c>
      <c r="J270" t="e">
        <f>VLOOKUP(A270,'Demanda Bruta'!A:BF,58,0)</f>
        <v>#VALUE!</v>
      </c>
      <c r="K270" t="e">
        <f t="shared" si="4"/>
        <v>#VALUE!</v>
      </c>
    </row>
    <row r="271" spans="1:11" hidden="1" x14ac:dyDescent="0.25">
      <c r="A271" t="s">
        <v>3531</v>
      </c>
      <c r="B271">
        <v>61075094704</v>
      </c>
      <c r="C271" t="s">
        <v>3534</v>
      </c>
      <c r="D271" t="s">
        <v>3533</v>
      </c>
      <c r="E271" t="s">
        <v>1133</v>
      </c>
      <c r="F271" t="s">
        <v>5634</v>
      </c>
      <c r="G271" t="s">
        <v>5635</v>
      </c>
      <c r="H271" t="s">
        <v>5634</v>
      </c>
      <c r="I271" t="s">
        <v>5636</v>
      </c>
      <c r="J271" t="b">
        <f>VLOOKUP(A271,'Demanda Bruta'!A:BF,58,0)</f>
        <v>1</v>
      </c>
      <c r="K271" t="b">
        <f t="shared" si="4"/>
        <v>1</v>
      </c>
    </row>
    <row r="272" spans="1:11" hidden="1" x14ac:dyDescent="0.25">
      <c r="A272" t="s">
        <v>3542</v>
      </c>
      <c r="B272">
        <v>79434320968</v>
      </c>
      <c r="C272" t="s">
        <v>3545</v>
      </c>
      <c r="D272" t="s">
        <v>3544</v>
      </c>
      <c r="E272" t="s">
        <v>2972</v>
      </c>
      <c r="F272" t="s">
        <v>5634</v>
      </c>
      <c r="G272" t="s">
        <v>5635</v>
      </c>
      <c r="H272" t="s">
        <v>5634</v>
      </c>
      <c r="I272" t="s">
        <v>5636</v>
      </c>
      <c r="J272" t="b">
        <f>VLOOKUP(A272,'Demanda Bruta'!A:BF,58,0)</f>
        <v>1</v>
      </c>
      <c r="K272" t="b">
        <f t="shared" si="4"/>
        <v>1</v>
      </c>
    </row>
    <row r="273" spans="1:11" hidden="1" x14ac:dyDescent="0.25">
      <c r="A273" t="s">
        <v>3553</v>
      </c>
      <c r="B273">
        <v>64448525791</v>
      </c>
      <c r="C273" t="s">
        <v>3556</v>
      </c>
      <c r="D273" t="s">
        <v>3555</v>
      </c>
      <c r="E273" t="s">
        <v>1133</v>
      </c>
      <c r="F273" t="s">
        <v>5634</v>
      </c>
      <c r="G273" t="s">
        <v>5635</v>
      </c>
      <c r="H273" t="s">
        <v>5634</v>
      </c>
      <c r="I273" t="s">
        <v>5636</v>
      </c>
      <c r="J273" t="b">
        <f>VLOOKUP(A273,'Demanda Bruta'!A:BF,58,0)</f>
        <v>1</v>
      </c>
      <c r="K273" t="b">
        <f t="shared" si="4"/>
        <v>1</v>
      </c>
    </row>
    <row r="274" spans="1:11" hidden="1" x14ac:dyDescent="0.25">
      <c r="A274" t="s">
        <v>3564</v>
      </c>
      <c r="B274">
        <v>5013137373</v>
      </c>
      <c r="C274" t="s">
        <v>3567</v>
      </c>
      <c r="D274" t="s">
        <v>3566</v>
      </c>
      <c r="E274" t="s">
        <v>2972</v>
      </c>
      <c r="F274" t="s">
        <v>5637</v>
      </c>
      <c r="G274" t="s">
        <v>5702</v>
      </c>
      <c r="H274" t="s">
        <v>5637</v>
      </c>
      <c r="I274" t="s">
        <v>5639</v>
      </c>
      <c r="J274" t="b">
        <f>VLOOKUP(A274,'Demanda Bruta'!A:BF,58,0)</f>
        <v>0</v>
      </c>
      <c r="K274" t="b">
        <f t="shared" si="4"/>
        <v>1</v>
      </c>
    </row>
    <row r="275" spans="1:11" hidden="1" x14ac:dyDescent="0.25">
      <c r="A275" t="s">
        <v>3575</v>
      </c>
      <c r="B275">
        <v>46168834320</v>
      </c>
      <c r="C275" t="s">
        <v>3578</v>
      </c>
      <c r="D275" t="s">
        <v>3577</v>
      </c>
      <c r="E275" t="s">
        <v>2815</v>
      </c>
      <c r="F275" t="s">
        <v>5637</v>
      </c>
      <c r="G275" t="s">
        <v>5648</v>
      </c>
      <c r="H275" t="s">
        <v>5634</v>
      </c>
      <c r="I275" t="s">
        <v>5636</v>
      </c>
      <c r="J275" t="b">
        <f>VLOOKUP(A275,'Demanda Bruta'!A:BF,58,0)</f>
        <v>1</v>
      </c>
      <c r="K275" t="b">
        <f t="shared" si="4"/>
        <v>1</v>
      </c>
    </row>
    <row r="276" spans="1:11" hidden="1" x14ac:dyDescent="0.25">
      <c r="A276" t="s">
        <v>3586</v>
      </c>
      <c r="B276">
        <v>90532503104</v>
      </c>
      <c r="C276" t="s">
        <v>3589</v>
      </c>
      <c r="D276" t="s">
        <v>3588</v>
      </c>
      <c r="E276" t="s">
        <v>2787</v>
      </c>
      <c r="F276" t="s">
        <v>5634</v>
      </c>
      <c r="G276" t="s">
        <v>5635</v>
      </c>
      <c r="H276" t="s">
        <v>5634</v>
      </c>
      <c r="I276" t="s">
        <v>5636</v>
      </c>
      <c r="J276" t="b">
        <f>VLOOKUP(A276,'Demanda Bruta'!A:BF,58,0)</f>
        <v>1</v>
      </c>
      <c r="K276" t="b">
        <f t="shared" si="4"/>
        <v>1</v>
      </c>
    </row>
    <row r="277" spans="1:11" hidden="1" x14ac:dyDescent="0.25">
      <c r="A277" t="s">
        <v>3597</v>
      </c>
      <c r="B277">
        <v>7781275837</v>
      </c>
      <c r="C277" t="s">
        <v>3600</v>
      </c>
      <c r="D277" t="s">
        <v>3599</v>
      </c>
      <c r="E277" t="s">
        <v>1133</v>
      </c>
      <c r="F277" t="s">
        <v>5634</v>
      </c>
      <c r="G277" t="s">
        <v>5635</v>
      </c>
      <c r="H277" t="s">
        <v>5634</v>
      </c>
      <c r="I277" t="s">
        <v>5636</v>
      </c>
      <c r="J277" t="b">
        <f>VLOOKUP(A277,'Demanda Bruta'!A:BF,58,0)</f>
        <v>1</v>
      </c>
      <c r="K277" t="b">
        <f t="shared" si="4"/>
        <v>1</v>
      </c>
    </row>
    <row r="278" spans="1:11" hidden="1" x14ac:dyDescent="0.25">
      <c r="A278" t="s">
        <v>3608</v>
      </c>
      <c r="B278">
        <v>306366711</v>
      </c>
      <c r="C278" t="s">
        <v>3611</v>
      </c>
      <c r="D278" t="s">
        <v>3610</v>
      </c>
      <c r="E278" t="s">
        <v>2707</v>
      </c>
      <c r="F278" t="s">
        <v>5637</v>
      </c>
      <c r="G278" t="s">
        <v>5648</v>
      </c>
      <c r="H278" t="s">
        <v>5634</v>
      </c>
      <c r="I278" t="s">
        <v>5636</v>
      </c>
      <c r="J278" t="b">
        <f>VLOOKUP(A278,'Demanda Bruta'!A:BF,58,0)</f>
        <v>1</v>
      </c>
      <c r="K278" t="b">
        <f t="shared" si="4"/>
        <v>1</v>
      </c>
    </row>
    <row r="279" spans="1:11" hidden="1" x14ac:dyDescent="0.25">
      <c r="A279" t="s">
        <v>3619</v>
      </c>
      <c r="B279">
        <v>8979595743</v>
      </c>
      <c r="C279" t="s">
        <v>3622</v>
      </c>
      <c r="D279" t="s">
        <v>3621</v>
      </c>
      <c r="E279" t="s">
        <v>2725</v>
      </c>
      <c r="F279" t="s">
        <v>5634</v>
      </c>
      <c r="G279" t="s">
        <v>5635</v>
      </c>
      <c r="H279" t="s">
        <v>5634</v>
      </c>
      <c r="I279" t="s">
        <v>5636</v>
      </c>
      <c r="J279" t="b">
        <f>VLOOKUP(A279,'Demanda Bruta'!A:BF,58,0)</f>
        <v>1</v>
      </c>
      <c r="K279" t="b">
        <f t="shared" si="4"/>
        <v>1</v>
      </c>
    </row>
    <row r="280" spans="1:11" hidden="1" x14ac:dyDescent="0.25">
      <c r="A280" t="s">
        <v>3630</v>
      </c>
      <c r="B280">
        <v>42301149749</v>
      </c>
      <c r="C280" t="s">
        <v>1127</v>
      </c>
      <c r="D280" t="s">
        <v>1126</v>
      </c>
      <c r="E280" t="s">
        <v>1133</v>
      </c>
      <c r="F280" t="s">
        <v>5634</v>
      </c>
      <c r="G280" t="s">
        <v>5635</v>
      </c>
      <c r="H280" t="s">
        <v>5634</v>
      </c>
      <c r="I280" t="s">
        <v>5636</v>
      </c>
      <c r="J280" t="b">
        <f>VLOOKUP(A280,'Demanda Bruta'!A:BF,58,0)</f>
        <v>1</v>
      </c>
      <c r="K280" t="b">
        <f t="shared" si="4"/>
        <v>1</v>
      </c>
    </row>
    <row r="281" spans="1:11" hidden="1" x14ac:dyDescent="0.25">
      <c r="A281" t="s">
        <v>3634</v>
      </c>
      <c r="B281">
        <v>34349723900</v>
      </c>
      <c r="C281" t="s">
        <v>3637</v>
      </c>
      <c r="D281" t="s">
        <v>3636</v>
      </c>
      <c r="E281" t="s">
        <v>2787</v>
      </c>
      <c r="F281" t="s">
        <v>5634</v>
      </c>
      <c r="G281" t="s">
        <v>5635</v>
      </c>
      <c r="H281" t="s">
        <v>5634</v>
      </c>
      <c r="I281" t="s">
        <v>5636</v>
      </c>
      <c r="J281" t="b">
        <f>VLOOKUP(A281,'Demanda Bruta'!A:BF,58,0)</f>
        <v>1</v>
      </c>
      <c r="K281" t="b">
        <f t="shared" si="4"/>
        <v>1</v>
      </c>
    </row>
    <row r="282" spans="1:11" hidden="1" x14ac:dyDescent="0.25">
      <c r="A282" t="s">
        <v>3645</v>
      </c>
      <c r="B282">
        <v>29774750870</v>
      </c>
      <c r="C282" t="s">
        <v>3648</v>
      </c>
      <c r="D282" t="s">
        <v>3647</v>
      </c>
      <c r="E282" t="s">
        <v>2787</v>
      </c>
      <c r="F282" t="s">
        <v>5634</v>
      </c>
      <c r="G282" t="s">
        <v>5635</v>
      </c>
      <c r="H282" t="s">
        <v>5634</v>
      </c>
      <c r="I282" t="s">
        <v>5636</v>
      </c>
      <c r="J282" t="b">
        <f>VLOOKUP(A282,'Demanda Bruta'!A:BF,58,0)</f>
        <v>1</v>
      </c>
      <c r="K282" t="b">
        <f t="shared" si="4"/>
        <v>1</v>
      </c>
    </row>
    <row r="283" spans="1:11" hidden="1" x14ac:dyDescent="0.25">
      <c r="A283" t="s">
        <v>3656</v>
      </c>
      <c r="B283">
        <v>67320716704</v>
      </c>
      <c r="C283" t="s">
        <v>3659</v>
      </c>
      <c r="D283" t="s">
        <v>3658</v>
      </c>
      <c r="E283" t="s">
        <v>2773</v>
      </c>
      <c r="F283" t="s">
        <v>5634</v>
      </c>
      <c r="G283" t="s">
        <v>5635</v>
      </c>
      <c r="H283" t="s">
        <v>5634</v>
      </c>
      <c r="I283" t="s">
        <v>5636</v>
      </c>
      <c r="J283" t="b">
        <f>VLOOKUP(A283,'Demanda Bruta'!A:BF,58,0)</f>
        <v>1</v>
      </c>
      <c r="K283" t="b">
        <f t="shared" si="4"/>
        <v>1</v>
      </c>
    </row>
    <row r="284" spans="1:11" hidden="1" x14ac:dyDescent="0.25">
      <c r="A284" t="s">
        <v>3667</v>
      </c>
      <c r="B284">
        <v>2447984782</v>
      </c>
      <c r="C284" t="s">
        <v>3670</v>
      </c>
      <c r="D284" t="s">
        <v>3669</v>
      </c>
      <c r="E284" t="s">
        <v>2707</v>
      </c>
      <c r="F284" t="s">
        <v>5634</v>
      </c>
      <c r="G284" t="s">
        <v>5635</v>
      </c>
      <c r="H284" t="s">
        <v>5634</v>
      </c>
      <c r="I284" t="s">
        <v>5636</v>
      </c>
      <c r="J284" t="b">
        <f>VLOOKUP(A284,'Demanda Bruta'!A:BF,58,0)</f>
        <v>1</v>
      </c>
      <c r="K284" t="b">
        <f t="shared" si="4"/>
        <v>1</v>
      </c>
    </row>
    <row r="285" spans="1:11" hidden="1" x14ac:dyDescent="0.25">
      <c r="A285" t="s">
        <v>3678</v>
      </c>
      <c r="B285">
        <v>53521862704</v>
      </c>
      <c r="C285" t="s">
        <v>3681</v>
      </c>
      <c r="D285" t="s">
        <v>3680</v>
      </c>
      <c r="E285" t="s">
        <v>265</v>
      </c>
      <c r="F285" t="s">
        <v>5637</v>
      </c>
      <c r="G285" t="s">
        <v>5703</v>
      </c>
      <c r="H285" t="s">
        <v>5637</v>
      </c>
      <c r="I285" t="s">
        <v>5639</v>
      </c>
      <c r="J285" t="b">
        <f>VLOOKUP(A285,'Demanda Bruta'!A:BF,58,0)</f>
        <v>0</v>
      </c>
      <c r="K285" t="b">
        <f t="shared" si="4"/>
        <v>1</v>
      </c>
    </row>
    <row r="286" spans="1:11" hidden="1" x14ac:dyDescent="0.25">
      <c r="A286" t="s">
        <v>3689</v>
      </c>
      <c r="B286">
        <v>6137688763</v>
      </c>
      <c r="C286" t="s">
        <v>3692</v>
      </c>
      <c r="D286" t="s">
        <v>3691</v>
      </c>
      <c r="E286" t="s">
        <v>1133</v>
      </c>
      <c r="F286" t="s">
        <v>5634</v>
      </c>
      <c r="G286" t="s">
        <v>5635</v>
      </c>
      <c r="H286" t="s">
        <v>5634</v>
      </c>
      <c r="I286" t="s">
        <v>5636</v>
      </c>
      <c r="J286" t="b">
        <f>VLOOKUP(A286,'Demanda Bruta'!A:BF,58,0)</f>
        <v>1</v>
      </c>
      <c r="K286" t="b">
        <f t="shared" si="4"/>
        <v>1</v>
      </c>
    </row>
    <row r="287" spans="1:11" hidden="1" x14ac:dyDescent="0.25">
      <c r="A287" t="s">
        <v>3700</v>
      </c>
      <c r="B287">
        <v>83330062134</v>
      </c>
      <c r="C287" t="s">
        <v>3703</v>
      </c>
      <c r="D287" t="s">
        <v>3702</v>
      </c>
      <c r="E287" t="s">
        <v>2972</v>
      </c>
      <c r="F287" t="s">
        <v>5637</v>
      </c>
      <c r="G287" t="s">
        <v>5702</v>
      </c>
      <c r="H287" t="s">
        <v>5637</v>
      </c>
      <c r="I287" t="s">
        <v>5639</v>
      </c>
      <c r="J287" t="b">
        <f>VLOOKUP(A287,'Demanda Bruta'!A:BF,58,0)</f>
        <v>0</v>
      </c>
      <c r="K287" t="b">
        <f t="shared" si="4"/>
        <v>1</v>
      </c>
    </row>
    <row r="288" spans="1:11" hidden="1" x14ac:dyDescent="0.25">
      <c r="A288" t="s">
        <v>3710</v>
      </c>
      <c r="B288">
        <v>49809431104</v>
      </c>
      <c r="C288" t="s">
        <v>3713</v>
      </c>
      <c r="D288" t="s">
        <v>3712</v>
      </c>
      <c r="E288" t="s">
        <v>2815</v>
      </c>
      <c r="F288" t="s">
        <v>5634</v>
      </c>
      <c r="G288" t="s">
        <v>5635</v>
      </c>
      <c r="H288" t="s">
        <v>5634</v>
      </c>
      <c r="I288" t="s">
        <v>5636</v>
      </c>
      <c r="J288" t="b">
        <f>VLOOKUP(A288,'Demanda Bruta'!A:BF,58,0)</f>
        <v>1</v>
      </c>
      <c r="K288" t="b">
        <f t="shared" si="4"/>
        <v>1</v>
      </c>
    </row>
    <row r="289" spans="1:11" hidden="1" x14ac:dyDescent="0.25">
      <c r="A289" t="s">
        <v>3723</v>
      </c>
      <c r="B289">
        <v>8292511709</v>
      </c>
      <c r="C289" t="s">
        <v>3726</v>
      </c>
      <c r="D289" t="s">
        <v>3725</v>
      </c>
      <c r="E289" t="s">
        <v>2972</v>
      </c>
      <c r="F289" t="s">
        <v>5634</v>
      </c>
      <c r="G289" t="s">
        <v>5635</v>
      </c>
      <c r="H289" t="s">
        <v>5634</v>
      </c>
      <c r="I289" t="s">
        <v>5636</v>
      </c>
      <c r="J289" t="b">
        <f>VLOOKUP(A289,'Demanda Bruta'!A:BF,58,0)</f>
        <v>1</v>
      </c>
      <c r="K289" t="b">
        <f t="shared" si="4"/>
        <v>1</v>
      </c>
    </row>
    <row r="290" spans="1:11" hidden="1" x14ac:dyDescent="0.25">
      <c r="A290" t="s">
        <v>3734</v>
      </c>
      <c r="B290">
        <v>3127296509</v>
      </c>
      <c r="C290" t="s">
        <v>3737</v>
      </c>
      <c r="D290" t="s">
        <v>3736</v>
      </c>
      <c r="E290" t="s">
        <v>2800</v>
      </c>
      <c r="F290" t="s">
        <v>5637</v>
      </c>
      <c r="G290" t="s">
        <v>5648</v>
      </c>
      <c r="H290" t="s">
        <v>5634</v>
      </c>
      <c r="I290" t="s">
        <v>5636</v>
      </c>
      <c r="J290" t="b">
        <f>VLOOKUP(A290,'Demanda Bruta'!A:BF,58,0)</f>
        <v>1</v>
      </c>
      <c r="K290" t="b">
        <f t="shared" si="4"/>
        <v>1</v>
      </c>
    </row>
    <row r="291" spans="1:11" hidden="1" x14ac:dyDescent="0.25">
      <c r="A291" t="s">
        <v>3745</v>
      </c>
      <c r="B291">
        <v>7942393909</v>
      </c>
      <c r="C291" t="s">
        <v>3748</v>
      </c>
      <c r="D291" t="s">
        <v>3747</v>
      </c>
      <c r="E291" t="s">
        <v>2972</v>
      </c>
      <c r="F291" t="s">
        <v>5634</v>
      </c>
      <c r="G291" t="s">
        <v>5635</v>
      </c>
      <c r="H291" t="s">
        <v>5634</v>
      </c>
      <c r="I291" t="s">
        <v>5636</v>
      </c>
      <c r="J291" t="b">
        <f>VLOOKUP(A291,'Demanda Bruta'!A:BF,58,0)</f>
        <v>1</v>
      </c>
      <c r="K291" t="b">
        <f t="shared" si="4"/>
        <v>1</v>
      </c>
    </row>
    <row r="292" spans="1:11" hidden="1" x14ac:dyDescent="0.25">
      <c r="A292" t="s">
        <v>3756</v>
      </c>
      <c r="B292">
        <v>5525336707</v>
      </c>
      <c r="C292" t="s">
        <v>3759</v>
      </c>
      <c r="D292" t="s">
        <v>3758</v>
      </c>
      <c r="E292" t="s">
        <v>2972</v>
      </c>
      <c r="F292" t="s">
        <v>5634</v>
      </c>
      <c r="G292" t="s">
        <v>5635</v>
      </c>
      <c r="H292" t="s">
        <v>5634</v>
      </c>
      <c r="I292" t="s">
        <v>5636</v>
      </c>
      <c r="J292" t="b">
        <f>VLOOKUP(A292,'Demanda Bruta'!A:BF,58,0)</f>
        <v>1</v>
      </c>
      <c r="K292" t="b">
        <f t="shared" si="4"/>
        <v>1</v>
      </c>
    </row>
    <row r="293" spans="1:11" hidden="1" x14ac:dyDescent="0.25">
      <c r="A293" t="s">
        <v>3767</v>
      </c>
      <c r="B293">
        <v>3099109193</v>
      </c>
      <c r="C293" t="s">
        <v>3770</v>
      </c>
      <c r="D293" t="s">
        <v>3769</v>
      </c>
      <c r="E293" t="s">
        <v>2972</v>
      </c>
      <c r="F293" t="s">
        <v>5634</v>
      </c>
      <c r="G293" t="s">
        <v>5635</v>
      </c>
      <c r="H293" t="s">
        <v>5634</v>
      </c>
      <c r="I293" t="s">
        <v>5636</v>
      </c>
      <c r="J293" t="b">
        <f>VLOOKUP(A293,'Demanda Bruta'!A:BF,58,0)</f>
        <v>1</v>
      </c>
      <c r="K293" t="b">
        <f t="shared" si="4"/>
        <v>1</v>
      </c>
    </row>
    <row r="294" spans="1:11" hidden="1" x14ac:dyDescent="0.25">
      <c r="A294" t="s">
        <v>3778</v>
      </c>
      <c r="B294">
        <v>3587159114</v>
      </c>
      <c r="C294" t="s">
        <v>3781</v>
      </c>
      <c r="D294" t="s">
        <v>3780</v>
      </c>
      <c r="E294" t="s">
        <v>2972</v>
      </c>
      <c r="F294" t="s">
        <v>5634</v>
      </c>
      <c r="G294" t="s">
        <v>5635</v>
      </c>
      <c r="H294" t="s">
        <v>5634</v>
      </c>
      <c r="I294" t="s">
        <v>5636</v>
      </c>
      <c r="J294" t="b">
        <f>VLOOKUP(A294,'Demanda Bruta'!A:BF,58,0)</f>
        <v>1</v>
      </c>
      <c r="K294" t="b">
        <f t="shared" si="4"/>
        <v>1</v>
      </c>
    </row>
    <row r="295" spans="1:11" hidden="1" x14ac:dyDescent="0.25">
      <c r="A295" t="s">
        <v>3789</v>
      </c>
      <c r="B295">
        <v>31854380869</v>
      </c>
      <c r="C295" t="s">
        <v>3792</v>
      </c>
      <c r="D295" t="s">
        <v>3791</v>
      </c>
      <c r="E295" t="s">
        <v>2972</v>
      </c>
      <c r="F295" t="s">
        <v>5634</v>
      </c>
      <c r="G295" t="s">
        <v>5635</v>
      </c>
      <c r="H295" t="s">
        <v>5634</v>
      </c>
      <c r="I295" t="s">
        <v>5636</v>
      </c>
      <c r="J295" t="b">
        <f>VLOOKUP(A295,'Demanda Bruta'!A:BF,58,0)</f>
        <v>1</v>
      </c>
      <c r="K295" t="b">
        <f t="shared" si="4"/>
        <v>1</v>
      </c>
    </row>
    <row r="296" spans="1:11" hidden="1" x14ac:dyDescent="0.25">
      <c r="A296" t="s">
        <v>3800</v>
      </c>
      <c r="B296">
        <v>53775600191</v>
      </c>
      <c r="C296" t="s">
        <v>3803</v>
      </c>
      <c r="D296" t="s">
        <v>3802</v>
      </c>
      <c r="E296" t="s">
        <v>2707</v>
      </c>
      <c r="F296" t="s">
        <v>5634</v>
      </c>
      <c r="G296" t="s">
        <v>5635</v>
      </c>
      <c r="H296" t="s">
        <v>5634</v>
      </c>
      <c r="I296" t="s">
        <v>5636</v>
      </c>
      <c r="J296" t="b">
        <f>VLOOKUP(A296,'Demanda Bruta'!A:BF,58,0)</f>
        <v>1</v>
      </c>
      <c r="K296" t="b">
        <f t="shared" si="4"/>
        <v>1</v>
      </c>
    </row>
    <row r="297" spans="1:11" hidden="1" x14ac:dyDescent="0.25">
      <c r="A297" t="s">
        <v>3811</v>
      </c>
      <c r="B297">
        <v>6182681705</v>
      </c>
      <c r="C297" t="s">
        <v>3814</v>
      </c>
      <c r="D297" t="s">
        <v>3813</v>
      </c>
      <c r="E297" t="s">
        <v>2815</v>
      </c>
      <c r="F297" t="s">
        <v>5634</v>
      </c>
      <c r="G297" t="s">
        <v>5635</v>
      </c>
      <c r="H297" t="s">
        <v>5634</v>
      </c>
      <c r="I297" t="s">
        <v>5636</v>
      </c>
      <c r="J297" t="b">
        <f>VLOOKUP(A297,'Demanda Bruta'!A:BF,58,0)</f>
        <v>1</v>
      </c>
      <c r="K297" t="b">
        <f t="shared" si="4"/>
        <v>1</v>
      </c>
    </row>
    <row r="298" spans="1:11" hidden="1" x14ac:dyDescent="0.25">
      <c r="A298" t="s">
        <v>3823</v>
      </c>
      <c r="B298">
        <v>40383307880</v>
      </c>
      <c r="C298" t="s">
        <v>1321</v>
      </c>
      <c r="D298" t="s">
        <v>1320</v>
      </c>
      <c r="E298" t="s">
        <v>3824</v>
      </c>
      <c r="F298" t="s">
        <v>5637</v>
      </c>
      <c r="G298" t="s">
        <v>5704</v>
      </c>
      <c r="H298" t="s">
        <v>5637</v>
      </c>
      <c r="I298" t="s">
        <v>5639</v>
      </c>
      <c r="J298" t="b">
        <f>VLOOKUP(A298,'Demanda Bruta'!A:BF,58,0)</f>
        <v>0</v>
      </c>
      <c r="K298" t="b">
        <f t="shared" si="4"/>
        <v>1</v>
      </c>
    </row>
    <row r="299" spans="1:11" hidden="1" x14ac:dyDescent="0.25">
      <c r="A299" t="s">
        <v>3829</v>
      </c>
      <c r="B299">
        <v>25704910807</v>
      </c>
      <c r="C299" t="s">
        <v>3832</v>
      </c>
      <c r="D299" t="s">
        <v>3831</v>
      </c>
      <c r="E299" t="s">
        <v>2800</v>
      </c>
      <c r="F299" t="s">
        <v>5634</v>
      </c>
      <c r="G299" t="s">
        <v>5635</v>
      </c>
      <c r="H299" t="s">
        <v>5634</v>
      </c>
      <c r="I299" t="s">
        <v>5636</v>
      </c>
      <c r="J299" t="b">
        <f>VLOOKUP(A299,'Demanda Bruta'!A:BF,58,0)</f>
        <v>1</v>
      </c>
      <c r="K299" t="b">
        <f t="shared" si="4"/>
        <v>1</v>
      </c>
    </row>
    <row r="300" spans="1:11" hidden="1" x14ac:dyDescent="0.25">
      <c r="A300" t="s">
        <v>3840</v>
      </c>
      <c r="B300">
        <v>4936904848</v>
      </c>
      <c r="C300" t="s">
        <v>3843</v>
      </c>
      <c r="D300" t="s">
        <v>3842</v>
      </c>
      <c r="E300" t="s">
        <v>2773</v>
      </c>
      <c r="F300" t="s">
        <v>5634</v>
      </c>
      <c r="G300" t="s">
        <v>5635</v>
      </c>
      <c r="H300" t="s">
        <v>5634</v>
      </c>
      <c r="I300" t="s">
        <v>5636</v>
      </c>
      <c r="J300" t="b">
        <f>VLOOKUP(A300,'Demanda Bruta'!A:BF,58,0)</f>
        <v>1</v>
      </c>
      <c r="K300" t="b">
        <f t="shared" si="4"/>
        <v>1</v>
      </c>
    </row>
    <row r="301" spans="1:11" hidden="1" x14ac:dyDescent="0.25">
      <c r="A301" t="s">
        <v>3851</v>
      </c>
      <c r="B301">
        <v>7989679434</v>
      </c>
      <c r="C301" t="s">
        <v>3854</v>
      </c>
      <c r="D301" t="s">
        <v>3853</v>
      </c>
      <c r="E301" t="s">
        <v>2815</v>
      </c>
      <c r="F301" t="s">
        <v>5634</v>
      </c>
      <c r="G301" t="s">
        <v>5635</v>
      </c>
      <c r="H301" t="s">
        <v>5634</v>
      </c>
      <c r="I301" t="s">
        <v>5636</v>
      </c>
      <c r="J301" t="b">
        <f>VLOOKUP(A301,'Demanda Bruta'!A:BF,58,0)</f>
        <v>1</v>
      </c>
      <c r="K301" t="b">
        <f t="shared" si="4"/>
        <v>1</v>
      </c>
    </row>
    <row r="302" spans="1:11" hidden="1" x14ac:dyDescent="0.25">
      <c r="A302" t="s">
        <v>3863</v>
      </c>
      <c r="B302">
        <v>94944830734</v>
      </c>
      <c r="C302" t="s">
        <v>3866</v>
      </c>
      <c r="D302" t="s">
        <v>3865</v>
      </c>
      <c r="E302" t="s">
        <v>1133</v>
      </c>
      <c r="F302" t="s">
        <v>5634</v>
      </c>
      <c r="G302" t="s">
        <v>5635</v>
      </c>
      <c r="H302" t="s">
        <v>5634</v>
      </c>
      <c r="I302" t="s">
        <v>5636</v>
      </c>
      <c r="J302" t="b">
        <f>VLOOKUP(A302,'Demanda Bruta'!A:BF,58,0)</f>
        <v>1</v>
      </c>
      <c r="K302" t="b">
        <f t="shared" si="4"/>
        <v>1</v>
      </c>
    </row>
    <row r="303" spans="1:11" hidden="1" x14ac:dyDescent="0.25">
      <c r="A303" t="s">
        <v>3874</v>
      </c>
      <c r="B303">
        <v>3754748700</v>
      </c>
      <c r="C303" t="s">
        <v>3877</v>
      </c>
      <c r="D303" t="s">
        <v>3876</v>
      </c>
      <c r="E303" t="s">
        <v>2707</v>
      </c>
      <c r="F303" t="s">
        <v>5634</v>
      </c>
      <c r="G303" t="s">
        <v>5635</v>
      </c>
      <c r="H303" t="s">
        <v>5634</v>
      </c>
      <c r="I303" t="s">
        <v>5636</v>
      </c>
      <c r="J303" t="b">
        <f>VLOOKUP(A303,'Demanda Bruta'!A:BF,58,0)</f>
        <v>1</v>
      </c>
      <c r="K303" t="b">
        <f t="shared" si="4"/>
        <v>1</v>
      </c>
    </row>
    <row r="304" spans="1:11" hidden="1" x14ac:dyDescent="0.25">
      <c r="A304" t="s">
        <v>3885</v>
      </c>
      <c r="B304">
        <v>2973625777</v>
      </c>
      <c r="C304" t="s">
        <v>3888</v>
      </c>
      <c r="D304" t="s">
        <v>3887</v>
      </c>
      <c r="E304" t="s">
        <v>2815</v>
      </c>
      <c r="F304" t="s">
        <v>5634</v>
      </c>
      <c r="G304" t="s">
        <v>5635</v>
      </c>
      <c r="H304" t="s">
        <v>5634</v>
      </c>
      <c r="I304" t="s">
        <v>5636</v>
      </c>
      <c r="J304" t="b">
        <f>VLOOKUP(A304,'Demanda Bruta'!A:BF,58,0)</f>
        <v>1</v>
      </c>
      <c r="K304" t="b">
        <f t="shared" si="4"/>
        <v>1</v>
      </c>
    </row>
    <row r="305" spans="1:11" hidden="1" x14ac:dyDescent="0.25">
      <c r="A305" t="s">
        <v>3896</v>
      </c>
      <c r="B305">
        <v>14433852805</v>
      </c>
      <c r="C305" t="s">
        <v>3899</v>
      </c>
      <c r="D305" t="s">
        <v>3898</v>
      </c>
      <c r="E305" t="s">
        <v>2972</v>
      </c>
      <c r="F305" t="s">
        <v>5634</v>
      </c>
      <c r="G305" t="s">
        <v>5635</v>
      </c>
      <c r="H305" t="s">
        <v>5634</v>
      </c>
      <c r="I305" t="s">
        <v>5636</v>
      </c>
      <c r="J305" t="b">
        <f>VLOOKUP(A305,'Demanda Bruta'!A:BF,58,0)</f>
        <v>1</v>
      </c>
      <c r="K305" t="b">
        <f t="shared" si="4"/>
        <v>1</v>
      </c>
    </row>
    <row r="306" spans="1:11" hidden="1" x14ac:dyDescent="0.25">
      <c r="A306" t="s">
        <v>3906</v>
      </c>
      <c r="B306">
        <v>74439782</v>
      </c>
      <c r="C306" t="s">
        <v>3909</v>
      </c>
      <c r="D306" t="s">
        <v>3908</v>
      </c>
      <c r="E306" t="s">
        <v>2707</v>
      </c>
      <c r="F306" t="s">
        <v>5637</v>
      </c>
      <c r="G306" t="s">
        <v>5648</v>
      </c>
      <c r="H306" t="s">
        <v>5634</v>
      </c>
      <c r="I306" t="s">
        <v>5636</v>
      </c>
      <c r="J306" t="b">
        <f>VLOOKUP(A306,'Demanda Bruta'!A:BF,58,0)</f>
        <v>1</v>
      </c>
      <c r="K306" t="b">
        <f t="shared" si="4"/>
        <v>1</v>
      </c>
    </row>
    <row r="307" spans="1:11" hidden="1" x14ac:dyDescent="0.25">
      <c r="A307" t="s">
        <v>3918</v>
      </c>
      <c r="B307">
        <v>8995811706</v>
      </c>
      <c r="C307" t="s">
        <v>3921</v>
      </c>
      <c r="D307" t="s">
        <v>3920</v>
      </c>
      <c r="E307" t="s">
        <v>2815</v>
      </c>
      <c r="F307" t="s">
        <v>5634</v>
      </c>
      <c r="G307" t="s">
        <v>5635</v>
      </c>
      <c r="H307" t="s">
        <v>5634</v>
      </c>
      <c r="I307" t="s">
        <v>5636</v>
      </c>
      <c r="J307" t="b">
        <f>VLOOKUP(A307,'Demanda Bruta'!A:BF,58,0)</f>
        <v>1</v>
      </c>
      <c r="K307" t="b">
        <f t="shared" si="4"/>
        <v>1</v>
      </c>
    </row>
    <row r="308" spans="1:11" hidden="1" x14ac:dyDescent="0.25">
      <c r="A308" t="s">
        <v>3930</v>
      </c>
      <c r="B308">
        <v>27467651600</v>
      </c>
      <c r="C308" t="s">
        <v>1417</v>
      </c>
      <c r="D308" t="s">
        <v>1416</v>
      </c>
      <c r="E308" t="s">
        <v>314</v>
      </c>
      <c r="F308" t="s">
        <v>5637</v>
      </c>
      <c r="G308" t="s">
        <v>5705</v>
      </c>
      <c r="H308" t="s">
        <v>5637</v>
      </c>
      <c r="I308" t="s">
        <v>5639</v>
      </c>
      <c r="J308" t="b">
        <f>VLOOKUP(A308,'Demanda Bruta'!A:BF,58,0)</f>
        <v>0</v>
      </c>
      <c r="K308" t="b">
        <f t="shared" si="4"/>
        <v>1</v>
      </c>
    </row>
    <row r="309" spans="1:11" hidden="1" x14ac:dyDescent="0.25">
      <c r="A309" t="s">
        <v>3934</v>
      </c>
      <c r="B309">
        <v>13598735707</v>
      </c>
      <c r="C309" t="s">
        <v>3937</v>
      </c>
      <c r="D309" t="s">
        <v>3936</v>
      </c>
      <c r="E309" t="s">
        <v>2815</v>
      </c>
      <c r="F309" t="s">
        <v>5637</v>
      </c>
      <c r="G309" t="s">
        <v>5700</v>
      </c>
      <c r="H309" t="s">
        <v>5637</v>
      </c>
      <c r="I309" t="s">
        <v>5639</v>
      </c>
      <c r="J309" t="b">
        <f>VLOOKUP(A309,'Demanda Bruta'!A:BF,58,0)</f>
        <v>0</v>
      </c>
      <c r="K309" t="b">
        <f t="shared" si="4"/>
        <v>1</v>
      </c>
    </row>
    <row r="310" spans="1:11" hidden="1" x14ac:dyDescent="0.25">
      <c r="A310" t="s">
        <v>3944</v>
      </c>
      <c r="B310">
        <v>12960072782</v>
      </c>
      <c r="C310" t="s">
        <v>3947</v>
      </c>
      <c r="D310" t="s">
        <v>3946</v>
      </c>
      <c r="E310" t="s">
        <v>2773</v>
      </c>
      <c r="F310" t="s">
        <v>5634</v>
      </c>
      <c r="G310" t="s">
        <v>5635</v>
      </c>
      <c r="H310" t="s">
        <v>5634</v>
      </c>
      <c r="I310" t="s">
        <v>5636</v>
      </c>
      <c r="J310" t="b">
        <f>VLOOKUP(A310,'Demanda Bruta'!A:BF,58,0)</f>
        <v>1</v>
      </c>
      <c r="K310" t="b">
        <f t="shared" si="4"/>
        <v>1</v>
      </c>
    </row>
    <row r="311" spans="1:11" hidden="1" x14ac:dyDescent="0.25">
      <c r="A311" t="s">
        <v>3955</v>
      </c>
      <c r="B311">
        <v>27327059857</v>
      </c>
      <c r="C311" t="s">
        <v>3958</v>
      </c>
      <c r="D311" t="s">
        <v>3957</v>
      </c>
      <c r="E311" t="s">
        <v>2787</v>
      </c>
      <c r="F311" t="s">
        <v>5634</v>
      </c>
      <c r="G311" t="s">
        <v>5635</v>
      </c>
      <c r="H311" t="s">
        <v>5634</v>
      </c>
      <c r="I311" t="s">
        <v>5636</v>
      </c>
      <c r="J311" t="b">
        <f>VLOOKUP(A311,'Demanda Bruta'!A:BF,58,0)</f>
        <v>1</v>
      </c>
      <c r="K311" t="b">
        <f t="shared" si="4"/>
        <v>1</v>
      </c>
    </row>
    <row r="312" spans="1:11" hidden="1" x14ac:dyDescent="0.25">
      <c r="A312" t="s">
        <v>3969</v>
      </c>
      <c r="B312">
        <v>85418633791</v>
      </c>
      <c r="C312" t="s">
        <v>3972</v>
      </c>
      <c r="D312" t="s">
        <v>3971</v>
      </c>
      <c r="E312" t="s">
        <v>2773</v>
      </c>
      <c r="F312" t="s">
        <v>5634</v>
      </c>
      <c r="G312" t="s">
        <v>5635</v>
      </c>
      <c r="H312" t="s">
        <v>5634</v>
      </c>
      <c r="I312" t="s">
        <v>5636</v>
      </c>
      <c r="J312" t="b">
        <f>VLOOKUP(A312,'Demanda Bruta'!A:BF,58,0)</f>
        <v>1</v>
      </c>
      <c r="K312" t="b">
        <f t="shared" si="4"/>
        <v>1</v>
      </c>
    </row>
    <row r="313" spans="1:11" hidden="1" x14ac:dyDescent="0.25">
      <c r="A313" t="s">
        <v>3980</v>
      </c>
      <c r="B313">
        <v>7099416766</v>
      </c>
      <c r="C313" t="s">
        <v>3983</v>
      </c>
      <c r="D313" t="s">
        <v>3982</v>
      </c>
      <c r="E313" t="s">
        <v>2773</v>
      </c>
      <c r="F313" t="s">
        <v>5634</v>
      </c>
      <c r="G313" t="s">
        <v>5635</v>
      </c>
      <c r="H313" t="s">
        <v>5634</v>
      </c>
      <c r="I313" t="s">
        <v>5636</v>
      </c>
      <c r="J313" t="b">
        <f>VLOOKUP(A313,'Demanda Bruta'!A:BF,58,0)</f>
        <v>1</v>
      </c>
      <c r="K313" t="b">
        <f t="shared" si="4"/>
        <v>1</v>
      </c>
    </row>
    <row r="314" spans="1:11" hidden="1" x14ac:dyDescent="0.25">
      <c r="A314" t="s">
        <v>3991</v>
      </c>
      <c r="B314">
        <v>4145243145</v>
      </c>
      <c r="C314" t="s">
        <v>3994</v>
      </c>
      <c r="D314" t="s">
        <v>3993</v>
      </c>
      <c r="E314" t="s">
        <v>3998</v>
      </c>
      <c r="F314" t="s">
        <v>5637</v>
      </c>
      <c r="G314" t="s">
        <v>5706</v>
      </c>
      <c r="H314" t="s">
        <v>5637</v>
      </c>
      <c r="I314" t="s">
        <v>5639</v>
      </c>
      <c r="J314" t="b">
        <f>VLOOKUP(A314,'Demanda Bruta'!A:BF,58,0)</f>
        <v>0</v>
      </c>
      <c r="K314" t="b">
        <f t="shared" si="4"/>
        <v>1</v>
      </c>
    </row>
    <row r="315" spans="1:11" hidden="1" x14ac:dyDescent="0.25">
      <c r="A315" t="s">
        <v>4005</v>
      </c>
      <c r="B315">
        <v>1816707716</v>
      </c>
      <c r="C315" t="s">
        <v>4008</v>
      </c>
      <c r="D315" t="s">
        <v>4007</v>
      </c>
      <c r="E315" t="s">
        <v>2707</v>
      </c>
      <c r="F315" t="s">
        <v>5634</v>
      </c>
      <c r="G315" t="s">
        <v>5635</v>
      </c>
      <c r="H315" t="s">
        <v>5634</v>
      </c>
      <c r="I315" t="s">
        <v>5636</v>
      </c>
      <c r="J315" t="b">
        <f>VLOOKUP(A315,'Demanda Bruta'!A:BF,58,0)</f>
        <v>1</v>
      </c>
      <c r="K315" t="b">
        <f t="shared" si="4"/>
        <v>1</v>
      </c>
    </row>
    <row r="316" spans="1:11" hidden="1" x14ac:dyDescent="0.25">
      <c r="A316" t="s">
        <v>4016</v>
      </c>
      <c r="B316">
        <v>31539173704</v>
      </c>
      <c r="C316" t="s">
        <v>4019</v>
      </c>
      <c r="D316" t="s">
        <v>4018</v>
      </c>
      <c r="E316" t="s">
        <v>2725</v>
      </c>
      <c r="F316" t="s">
        <v>5634</v>
      </c>
      <c r="G316" t="s">
        <v>5635</v>
      </c>
      <c r="H316" t="s">
        <v>5634</v>
      </c>
      <c r="I316" t="s">
        <v>5636</v>
      </c>
      <c r="J316" t="b">
        <f>VLOOKUP(A316,'Demanda Bruta'!A:BF,58,0)</f>
        <v>1</v>
      </c>
      <c r="K316" t="b">
        <f t="shared" si="4"/>
        <v>1</v>
      </c>
    </row>
    <row r="317" spans="1:11" hidden="1" x14ac:dyDescent="0.25">
      <c r="A317" t="s">
        <v>4028</v>
      </c>
      <c r="B317">
        <v>51586010115</v>
      </c>
      <c r="C317" t="s">
        <v>4031</v>
      </c>
      <c r="D317" t="s">
        <v>4030</v>
      </c>
      <c r="E317" t="s">
        <v>2972</v>
      </c>
      <c r="F317" t="s">
        <v>5637</v>
      </c>
      <c r="G317" t="s">
        <v>5707</v>
      </c>
      <c r="H317" t="s">
        <v>5637</v>
      </c>
      <c r="I317" t="s">
        <v>5639</v>
      </c>
      <c r="J317" t="b">
        <f>VLOOKUP(A317,'Demanda Bruta'!A:BF,58,0)</f>
        <v>0</v>
      </c>
      <c r="K317" t="b">
        <f t="shared" si="4"/>
        <v>1</v>
      </c>
    </row>
    <row r="318" spans="1:11" hidden="1" x14ac:dyDescent="0.25">
      <c r="A318" t="s">
        <v>4039</v>
      </c>
      <c r="B318">
        <v>8222907743</v>
      </c>
      <c r="C318" t="s">
        <v>4042</v>
      </c>
      <c r="D318" t="s">
        <v>4041</v>
      </c>
      <c r="E318" t="s">
        <v>1133</v>
      </c>
      <c r="F318" t="s">
        <v>5634</v>
      </c>
      <c r="G318" t="s">
        <v>5635</v>
      </c>
      <c r="H318" t="s">
        <v>5634</v>
      </c>
      <c r="I318" t="s">
        <v>5636</v>
      </c>
      <c r="J318" t="b">
        <f>VLOOKUP(A318,'Demanda Bruta'!A:BF,58,0)</f>
        <v>1</v>
      </c>
      <c r="K318" t="b">
        <f t="shared" si="4"/>
        <v>1</v>
      </c>
    </row>
    <row r="319" spans="1:11" hidden="1" x14ac:dyDescent="0.25">
      <c r="A319" t="s">
        <v>4051</v>
      </c>
      <c r="B319">
        <v>25324392898</v>
      </c>
      <c r="C319" t="s">
        <v>4054</v>
      </c>
      <c r="D319" t="s">
        <v>4053</v>
      </c>
      <c r="E319" t="s">
        <v>2972</v>
      </c>
      <c r="F319" t="s">
        <v>5634</v>
      </c>
      <c r="G319" t="s">
        <v>5635</v>
      </c>
      <c r="H319" t="s">
        <v>5634</v>
      </c>
      <c r="I319" t="s">
        <v>5636</v>
      </c>
      <c r="J319" t="b">
        <f>VLOOKUP(A319,'Demanda Bruta'!A:BF,58,0)</f>
        <v>1</v>
      </c>
      <c r="K319" t="b">
        <f t="shared" si="4"/>
        <v>1</v>
      </c>
    </row>
    <row r="320" spans="1:11" hidden="1" x14ac:dyDescent="0.25">
      <c r="A320" t="s">
        <v>4061</v>
      </c>
      <c r="B320">
        <v>31695965191</v>
      </c>
      <c r="C320" t="s">
        <v>4064</v>
      </c>
      <c r="D320" t="s">
        <v>4063</v>
      </c>
      <c r="E320" t="s">
        <v>2972</v>
      </c>
      <c r="F320" t="s">
        <v>5634</v>
      </c>
      <c r="G320" t="s">
        <v>5635</v>
      </c>
      <c r="H320" t="s">
        <v>5634</v>
      </c>
      <c r="I320" t="s">
        <v>5636</v>
      </c>
      <c r="J320" t="b">
        <f>VLOOKUP(A320,'Demanda Bruta'!A:BF,58,0)</f>
        <v>1</v>
      </c>
      <c r="K320" t="b">
        <f t="shared" si="4"/>
        <v>1</v>
      </c>
    </row>
    <row r="321" spans="1:11" hidden="1" x14ac:dyDescent="0.25">
      <c r="A321" t="s">
        <v>4073</v>
      </c>
      <c r="B321">
        <v>86774883753</v>
      </c>
      <c r="C321" t="s">
        <v>4076</v>
      </c>
      <c r="D321" t="s">
        <v>4075</v>
      </c>
      <c r="E321" t="s">
        <v>1133</v>
      </c>
      <c r="F321" t="s">
        <v>5634</v>
      </c>
      <c r="G321" t="s">
        <v>5635</v>
      </c>
      <c r="H321" t="s">
        <v>5634</v>
      </c>
      <c r="I321" t="s">
        <v>5636</v>
      </c>
      <c r="J321" t="b">
        <f>VLOOKUP(A321,'Demanda Bruta'!A:BF,58,0)</f>
        <v>1</v>
      </c>
      <c r="K321" t="b">
        <f t="shared" si="4"/>
        <v>1</v>
      </c>
    </row>
    <row r="322" spans="1:11" hidden="1" x14ac:dyDescent="0.25">
      <c r="A322" t="s">
        <v>4084</v>
      </c>
      <c r="B322">
        <v>1181420628</v>
      </c>
      <c r="C322" t="s">
        <v>4087</v>
      </c>
      <c r="D322" t="s">
        <v>4086</v>
      </c>
      <c r="E322" t="s">
        <v>2773</v>
      </c>
      <c r="F322" t="s">
        <v>5634</v>
      </c>
      <c r="G322" t="s">
        <v>5635</v>
      </c>
      <c r="H322" t="s">
        <v>5634</v>
      </c>
      <c r="I322" t="s">
        <v>5636</v>
      </c>
      <c r="J322" t="b">
        <f>VLOOKUP(A322,'Demanda Bruta'!A:BF,58,0)</f>
        <v>1</v>
      </c>
      <c r="K322" t="b">
        <f t="shared" si="4"/>
        <v>1</v>
      </c>
    </row>
    <row r="323" spans="1:11" hidden="1" x14ac:dyDescent="0.25">
      <c r="A323" t="s">
        <v>4096</v>
      </c>
      <c r="B323">
        <v>5976610730</v>
      </c>
      <c r="C323" t="s">
        <v>4099</v>
      </c>
      <c r="D323" t="s">
        <v>4098</v>
      </c>
      <c r="E323" t="s">
        <v>2815</v>
      </c>
      <c r="F323" t="s">
        <v>5634</v>
      </c>
      <c r="G323" t="s">
        <v>5635</v>
      </c>
      <c r="H323" t="s">
        <v>5634</v>
      </c>
      <c r="I323" t="s">
        <v>5636</v>
      </c>
      <c r="J323" t="b">
        <f>VLOOKUP(A323,'Demanda Bruta'!A:BF,58,0)</f>
        <v>1</v>
      </c>
      <c r="K323" t="b">
        <f t="shared" ref="K323:K386" si="5">IF(IF(H323="Sim",TRUE,FALSE)=J323,TRUE,FALSE)</f>
        <v>1</v>
      </c>
    </row>
    <row r="324" spans="1:11" hidden="1" x14ac:dyDescent="0.25">
      <c r="A324" t="s">
        <v>4106</v>
      </c>
      <c r="B324">
        <v>5396368942</v>
      </c>
      <c r="C324" t="s">
        <v>4109</v>
      </c>
      <c r="D324" t="s">
        <v>4108</v>
      </c>
      <c r="E324" t="s">
        <v>4112</v>
      </c>
      <c r="F324" t="s">
        <v>5637</v>
      </c>
      <c r="G324" t="s">
        <v>5708</v>
      </c>
      <c r="H324" t="s">
        <v>5637</v>
      </c>
      <c r="I324" t="s">
        <v>5639</v>
      </c>
      <c r="J324" t="b">
        <f>VLOOKUP(A324,'Demanda Bruta'!A:BF,58,0)</f>
        <v>0</v>
      </c>
      <c r="K324" t="b">
        <f t="shared" si="5"/>
        <v>1</v>
      </c>
    </row>
    <row r="325" spans="1:11" hidden="1" x14ac:dyDescent="0.25">
      <c r="A325" t="s">
        <v>4119</v>
      </c>
      <c r="B325">
        <v>90736362053</v>
      </c>
      <c r="C325" t="s">
        <v>4122</v>
      </c>
      <c r="D325" t="s">
        <v>4121</v>
      </c>
      <c r="E325" t="s">
        <v>1133</v>
      </c>
      <c r="F325" t="s">
        <v>5637</v>
      </c>
      <c r="G325" t="s">
        <v>5648</v>
      </c>
      <c r="H325" t="s">
        <v>5637</v>
      </c>
      <c r="I325" t="s">
        <v>5639</v>
      </c>
      <c r="J325" t="b">
        <f>VLOOKUP(A325,'Demanda Bruta'!A:BF,58,0)</f>
        <v>0</v>
      </c>
      <c r="K325" t="b">
        <f t="shared" si="5"/>
        <v>1</v>
      </c>
    </row>
    <row r="326" spans="1:11" hidden="1" x14ac:dyDescent="0.25">
      <c r="A326" t="s">
        <v>4132</v>
      </c>
      <c r="B326">
        <v>36922763890</v>
      </c>
      <c r="C326" t="s">
        <v>4135</v>
      </c>
      <c r="D326" t="s">
        <v>4134</v>
      </c>
      <c r="E326" t="s">
        <v>2787</v>
      </c>
      <c r="F326" t="s">
        <v>5634</v>
      </c>
      <c r="G326" t="s">
        <v>5635</v>
      </c>
      <c r="H326" t="s">
        <v>5634</v>
      </c>
      <c r="I326" t="s">
        <v>5636</v>
      </c>
      <c r="J326" t="b">
        <f>VLOOKUP(A326,'Demanda Bruta'!A:BF,58,0)</f>
        <v>1</v>
      </c>
      <c r="K326" t="b">
        <f t="shared" si="5"/>
        <v>1</v>
      </c>
    </row>
    <row r="327" spans="1:11" hidden="1" x14ac:dyDescent="0.25">
      <c r="A327" t="s">
        <v>4143</v>
      </c>
      <c r="B327">
        <v>42523842734</v>
      </c>
      <c r="C327" t="s">
        <v>4146</v>
      </c>
      <c r="D327" t="s">
        <v>4145</v>
      </c>
      <c r="E327" t="s">
        <v>182</v>
      </c>
      <c r="F327" t="s">
        <v>5637</v>
      </c>
      <c r="G327" t="s">
        <v>5709</v>
      </c>
      <c r="H327" t="s">
        <v>5637</v>
      </c>
      <c r="I327" t="s">
        <v>5639</v>
      </c>
      <c r="J327" t="b">
        <f>VLOOKUP(A327,'Demanda Bruta'!A:BF,58,0)</f>
        <v>0</v>
      </c>
      <c r="K327" t="b">
        <f t="shared" si="5"/>
        <v>1</v>
      </c>
    </row>
    <row r="328" spans="1:11" hidden="1" x14ac:dyDescent="0.25">
      <c r="A328" t="s">
        <v>4154</v>
      </c>
      <c r="B328">
        <v>34673471857</v>
      </c>
      <c r="C328" t="s">
        <v>4157</v>
      </c>
      <c r="D328" t="s">
        <v>4156</v>
      </c>
      <c r="E328" t="s">
        <v>2800</v>
      </c>
      <c r="F328" t="s">
        <v>5634</v>
      </c>
      <c r="G328" t="s">
        <v>5635</v>
      </c>
      <c r="H328" t="s">
        <v>5634</v>
      </c>
      <c r="I328" t="s">
        <v>5636</v>
      </c>
      <c r="J328" t="b">
        <f>VLOOKUP(A328,'Demanda Bruta'!A:BF,58,0)</f>
        <v>1</v>
      </c>
      <c r="K328" t="b">
        <f t="shared" si="5"/>
        <v>1</v>
      </c>
    </row>
    <row r="329" spans="1:11" hidden="1" x14ac:dyDescent="0.25">
      <c r="A329" t="s">
        <v>4165</v>
      </c>
      <c r="B329">
        <v>25085286847</v>
      </c>
      <c r="C329" t="s">
        <v>4168</v>
      </c>
      <c r="D329" t="s">
        <v>4167</v>
      </c>
      <c r="E329" t="s">
        <v>2787</v>
      </c>
      <c r="F329" t="s">
        <v>5634</v>
      </c>
      <c r="G329" t="s">
        <v>5635</v>
      </c>
      <c r="H329" t="s">
        <v>5634</v>
      </c>
      <c r="I329" t="s">
        <v>5636</v>
      </c>
      <c r="J329" t="b">
        <f>VLOOKUP(A329,'Demanda Bruta'!A:BF,58,0)</f>
        <v>1</v>
      </c>
      <c r="K329" t="b">
        <f t="shared" si="5"/>
        <v>1</v>
      </c>
    </row>
    <row r="330" spans="1:11" hidden="1" x14ac:dyDescent="0.25">
      <c r="A330" t="s">
        <v>4176</v>
      </c>
      <c r="B330">
        <v>14239724732</v>
      </c>
      <c r="C330" t="s">
        <v>4179</v>
      </c>
      <c r="D330" t="s">
        <v>4178</v>
      </c>
      <c r="E330" t="s">
        <v>1133</v>
      </c>
      <c r="F330" t="s">
        <v>5634</v>
      </c>
      <c r="G330" t="s">
        <v>5635</v>
      </c>
      <c r="H330" t="s">
        <v>5634</v>
      </c>
      <c r="I330" t="s">
        <v>5636</v>
      </c>
      <c r="J330" t="b">
        <f>VLOOKUP(A330,'Demanda Bruta'!A:BF,58,0)</f>
        <v>1</v>
      </c>
      <c r="K330" t="b">
        <f t="shared" si="5"/>
        <v>1</v>
      </c>
    </row>
    <row r="331" spans="1:11" hidden="1" x14ac:dyDescent="0.25">
      <c r="A331" t="s">
        <v>4188</v>
      </c>
      <c r="B331">
        <v>782066186</v>
      </c>
      <c r="C331" t="s">
        <v>4191</v>
      </c>
      <c r="D331" t="s">
        <v>4190</v>
      </c>
      <c r="E331" t="s">
        <v>2972</v>
      </c>
      <c r="F331" t="s">
        <v>5634</v>
      </c>
      <c r="G331" t="s">
        <v>5635</v>
      </c>
      <c r="H331" t="s">
        <v>5634</v>
      </c>
      <c r="I331" t="s">
        <v>5636</v>
      </c>
      <c r="J331" t="b">
        <f>VLOOKUP(A331,'Demanda Bruta'!A:BF,58,0)</f>
        <v>1</v>
      </c>
      <c r="K331" t="b">
        <f t="shared" si="5"/>
        <v>1</v>
      </c>
    </row>
    <row r="332" spans="1:11" hidden="1" x14ac:dyDescent="0.25">
      <c r="A332" t="s">
        <v>4199</v>
      </c>
      <c r="B332">
        <v>5507425302</v>
      </c>
      <c r="C332" t="s">
        <v>4202</v>
      </c>
      <c r="D332" t="s">
        <v>4201</v>
      </c>
      <c r="E332" t="s">
        <v>2815</v>
      </c>
      <c r="F332" t="s">
        <v>5634</v>
      </c>
      <c r="G332" t="s">
        <v>5635</v>
      </c>
      <c r="H332" t="s">
        <v>5634</v>
      </c>
      <c r="I332" t="s">
        <v>5636</v>
      </c>
      <c r="J332" t="b">
        <f>VLOOKUP(A332,'Demanda Bruta'!A:BF,58,0)</f>
        <v>1</v>
      </c>
      <c r="K332" t="b">
        <f t="shared" si="5"/>
        <v>1</v>
      </c>
    </row>
    <row r="333" spans="1:11" hidden="1" x14ac:dyDescent="0.25">
      <c r="A333" t="s">
        <v>4210</v>
      </c>
      <c r="B333">
        <v>7689492703</v>
      </c>
      <c r="C333" t="s">
        <v>1752</v>
      </c>
      <c r="D333" t="s">
        <v>1751</v>
      </c>
      <c r="E333" t="s">
        <v>182</v>
      </c>
      <c r="F333" t="s">
        <v>5637</v>
      </c>
      <c r="G333" t="s">
        <v>5709</v>
      </c>
      <c r="H333" t="s">
        <v>5637</v>
      </c>
      <c r="I333" t="s">
        <v>5639</v>
      </c>
      <c r="J333" t="b">
        <f>VLOOKUP(A333,'Demanda Bruta'!A:BF,58,0)</f>
        <v>0</v>
      </c>
      <c r="K333" t="b">
        <f t="shared" si="5"/>
        <v>1</v>
      </c>
    </row>
    <row r="334" spans="1:11" hidden="1" x14ac:dyDescent="0.25">
      <c r="A334" t="s">
        <v>4214</v>
      </c>
      <c r="B334">
        <v>59472731791</v>
      </c>
      <c r="C334" t="s">
        <v>4217</v>
      </c>
      <c r="D334" t="s">
        <v>4216</v>
      </c>
      <c r="E334" t="s">
        <v>2815</v>
      </c>
      <c r="F334" t="s">
        <v>5634</v>
      </c>
      <c r="G334" t="s">
        <v>5635</v>
      </c>
      <c r="H334" t="s">
        <v>5634</v>
      </c>
      <c r="I334" t="s">
        <v>5636</v>
      </c>
      <c r="J334" t="b">
        <f>VLOOKUP(A334,'Demanda Bruta'!A:BF,58,0)</f>
        <v>1</v>
      </c>
      <c r="K334" t="b">
        <f t="shared" si="5"/>
        <v>1</v>
      </c>
    </row>
    <row r="335" spans="1:11" hidden="1" x14ac:dyDescent="0.25">
      <c r="A335" t="s">
        <v>4225</v>
      </c>
      <c r="B335">
        <v>86192493715</v>
      </c>
      <c r="C335" t="s">
        <v>4228</v>
      </c>
      <c r="D335" t="s">
        <v>4227</v>
      </c>
      <c r="E335" t="s">
        <v>2725</v>
      </c>
      <c r="F335" t="s">
        <v>5634</v>
      </c>
      <c r="G335" t="s">
        <v>5635</v>
      </c>
      <c r="H335" t="s">
        <v>5634</v>
      </c>
      <c r="I335" t="s">
        <v>5636</v>
      </c>
      <c r="J335" t="b">
        <f>VLOOKUP(A335,'Demanda Bruta'!A:BF,58,0)</f>
        <v>1</v>
      </c>
      <c r="K335" t="b">
        <f t="shared" si="5"/>
        <v>1</v>
      </c>
    </row>
    <row r="336" spans="1:11" hidden="1" x14ac:dyDescent="0.25">
      <c r="A336" t="s">
        <v>4236</v>
      </c>
      <c r="B336">
        <v>66755131768</v>
      </c>
      <c r="C336" t="s">
        <v>4239</v>
      </c>
      <c r="D336" t="s">
        <v>4238</v>
      </c>
      <c r="E336" t="s">
        <v>2815</v>
      </c>
      <c r="F336" t="s">
        <v>5634</v>
      </c>
      <c r="G336" t="s">
        <v>5635</v>
      </c>
      <c r="H336" t="s">
        <v>5634</v>
      </c>
      <c r="I336" t="s">
        <v>5636</v>
      </c>
      <c r="J336" t="b">
        <f>VLOOKUP(A336,'Demanda Bruta'!A:BF,58,0)</f>
        <v>1</v>
      </c>
      <c r="K336" t="b">
        <f t="shared" si="5"/>
        <v>1</v>
      </c>
    </row>
    <row r="337" spans="1:11" hidden="1" x14ac:dyDescent="0.25">
      <c r="A337" t="s">
        <v>4247</v>
      </c>
      <c r="B337">
        <v>72934255700</v>
      </c>
      <c r="C337" t="s">
        <v>4250</v>
      </c>
      <c r="D337" t="s">
        <v>4249</v>
      </c>
      <c r="E337" t="s">
        <v>2725</v>
      </c>
      <c r="F337" t="s">
        <v>5634</v>
      </c>
      <c r="G337" t="s">
        <v>5635</v>
      </c>
      <c r="H337" t="s">
        <v>5634</v>
      </c>
      <c r="I337" t="s">
        <v>5636</v>
      </c>
      <c r="J337" t="b">
        <f>VLOOKUP(A337,'Demanda Bruta'!A:BF,58,0)</f>
        <v>1</v>
      </c>
      <c r="K337" t="b">
        <f t="shared" si="5"/>
        <v>1</v>
      </c>
    </row>
    <row r="338" spans="1:11" hidden="1" x14ac:dyDescent="0.25">
      <c r="A338" t="s">
        <v>4259</v>
      </c>
      <c r="B338">
        <v>8263950740</v>
      </c>
      <c r="C338" t="s">
        <v>4262</v>
      </c>
      <c r="D338" t="s">
        <v>4261</v>
      </c>
      <c r="E338" t="s">
        <v>2787</v>
      </c>
      <c r="F338" t="s">
        <v>5634</v>
      </c>
      <c r="G338" t="s">
        <v>5635</v>
      </c>
      <c r="H338" t="s">
        <v>5634</v>
      </c>
      <c r="I338" t="s">
        <v>5636</v>
      </c>
      <c r="J338" t="b">
        <f>VLOOKUP(A338,'Demanda Bruta'!A:BF,58,0)</f>
        <v>1</v>
      </c>
      <c r="K338" t="b">
        <f t="shared" si="5"/>
        <v>1</v>
      </c>
    </row>
    <row r="339" spans="1:11" hidden="1" x14ac:dyDescent="0.25">
      <c r="A339" t="s">
        <v>4271</v>
      </c>
      <c r="B339">
        <v>8168815700</v>
      </c>
      <c r="C339" t="s">
        <v>4274</v>
      </c>
      <c r="D339" t="s">
        <v>4273</v>
      </c>
      <c r="E339" t="s">
        <v>2972</v>
      </c>
      <c r="F339" t="s">
        <v>5634</v>
      </c>
      <c r="G339" t="s">
        <v>5635</v>
      </c>
      <c r="H339" t="s">
        <v>5634</v>
      </c>
      <c r="I339" t="s">
        <v>5636</v>
      </c>
      <c r="J339" t="b">
        <f>VLOOKUP(A339,'Demanda Bruta'!A:BF,58,0)</f>
        <v>1</v>
      </c>
      <c r="K339" t="b">
        <f t="shared" si="5"/>
        <v>1</v>
      </c>
    </row>
    <row r="340" spans="1:11" hidden="1" x14ac:dyDescent="0.25">
      <c r="A340" t="s">
        <v>4282</v>
      </c>
      <c r="B340">
        <v>8179019730</v>
      </c>
      <c r="C340" t="s">
        <v>4285</v>
      </c>
      <c r="D340" t="s">
        <v>4284</v>
      </c>
      <c r="E340" t="s">
        <v>2773</v>
      </c>
      <c r="F340" t="s">
        <v>5634</v>
      </c>
      <c r="G340" t="s">
        <v>5635</v>
      </c>
      <c r="H340" t="s">
        <v>5634</v>
      </c>
      <c r="I340" t="s">
        <v>5636</v>
      </c>
      <c r="J340" t="b">
        <f>VLOOKUP(A340,'Demanda Bruta'!A:BF,58,0)</f>
        <v>1</v>
      </c>
      <c r="K340" t="b">
        <f t="shared" si="5"/>
        <v>1</v>
      </c>
    </row>
    <row r="341" spans="1:11" hidden="1" x14ac:dyDescent="0.25">
      <c r="A341" t="s">
        <v>4293</v>
      </c>
      <c r="B341">
        <v>93824920972</v>
      </c>
      <c r="C341" t="s">
        <v>4296</v>
      </c>
      <c r="D341" t="s">
        <v>4295</v>
      </c>
      <c r="E341" t="s">
        <v>2787</v>
      </c>
      <c r="F341" t="s">
        <v>5634</v>
      </c>
      <c r="G341" t="s">
        <v>5635</v>
      </c>
      <c r="H341" t="s">
        <v>5634</v>
      </c>
      <c r="I341" t="s">
        <v>5636</v>
      </c>
      <c r="J341" t="b">
        <f>VLOOKUP(A341,'Demanda Bruta'!A:BF,58,0)</f>
        <v>1</v>
      </c>
      <c r="K341" t="b">
        <f t="shared" si="5"/>
        <v>1</v>
      </c>
    </row>
    <row r="342" spans="1:11" hidden="1" x14ac:dyDescent="0.25">
      <c r="A342" t="s">
        <v>4304</v>
      </c>
      <c r="B342">
        <v>12878122798</v>
      </c>
      <c r="C342" t="s">
        <v>4307</v>
      </c>
      <c r="D342" t="s">
        <v>4306</v>
      </c>
      <c r="E342" t="s">
        <v>1133</v>
      </c>
      <c r="F342" t="s">
        <v>5634</v>
      </c>
      <c r="G342" t="s">
        <v>5635</v>
      </c>
      <c r="H342" t="s">
        <v>5634</v>
      </c>
      <c r="I342" t="s">
        <v>5636</v>
      </c>
      <c r="J342" t="b">
        <f>VLOOKUP(A342,'Demanda Bruta'!A:BF,58,0)</f>
        <v>1</v>
      </c>
      <c r="K342" t="b">
        <f t="shared" si="5"/>
        <v>1</v>
      </c>
    </row>
    <row r="343" spans="1:11" hidden="1" x14ac:dyDescent="0.25">
      <c r="A343" t="s">
        <v>4316</v>
      </c>
      <c r="B343">
        <v>7525824703</v>
      </c>
      <c r="C343" t="s">
        <v>4319</v>
      </c>
      <c r="D343" t="s">
        <v>4318</v>
      </c>
      <c r="E343" t="s">
        <v>1133</v>
      </c>
      <c r="F343" t="s">
        <v>5634</v>
      </c>
      <c r="G343" t="s">
        <v>5635</v>
      </c>
      <c r="H343" t="s">
        <v>5634</v>
      </c>
      <c r="I343" t="s">
        <v>5636</v>
      </c>
      <c r="J343" t="b">
        <f>VLOOKUP(A343,'Demanda Bruta'!A:BF,58,0)</f>
        <v>1</v>
      </c>
      <c r="K343" t="b">
        <f t="shared" si="5"/>
        <v>1</v>
      </c>
    </row>
    <row r="344" spans="1:11" hidden="1" x14ac:dyDescent="0.25">
      <c r="A344" t="s">
        <v>4327</v>
      </c>
      <c r="B344">
        <v>770656978</v>
      </c>
      <c r="C344" t="s">
        <v>4330</v>
      </c>
      <c r="D344" t="s">
        <v>4329</v>
      </c>
      <c r="E344" t="s">
        <v>2972</v>
      </c>
      <c r="F344" t="s">
        <v>5634</v>
      </c>
      <c r="G344" t="s">
        <v>5635</v>
      </c>
      <c r="H344" t="s">
        <v>5634</v>
      </c>
      <c r="I344" t="s">
        <v>5636</v>
      </c>
      <c r="J344" t="b">
        <f>VLOOKUP(A344,'Demanda Bruta'!A:BF,58,0)</f>
        <v>1</v>
      </c>
      <c r="K344" t="b">
        <f t="shared" si="5"/>
        <v>1</v>
      </c>
    </row>
    <row r="345" spans="1:11" hidden="1" x14ac:dyDescent="0.25">
      <c r="A345" t="s">
        <v>4338</v>
      </c>
      <c r="B345">
        <v>69271810759</v>
      </c>
      <c r="C345" t="s">
        <v>4341</v>
      </c>
      <c r="D345" t="s">
        <v>4340</v>
      </c>
      <c r="E345" t="s">
        <v>2972</v>
      </c>
      <c r="F345" t="s">
        <v>5637</v>
      </c>
      <c r="G345" t="s">
        <v>5707</v>
      </c>
      <c r="H345" t="s">
        <v>5637</v>
      </c>
      <c r="I345" t="s">
        <v>5639</v>
      </c>
      <c r="J345" t="b">
        <f>VLOOKUP(A345,'Demanda Bruta'!A:BF,58,0)</f>
        <v>0</v>
      </c>
      <c r="K345" t="b">
        <f t="shared" si="5"/>
        <v>1</v>
      </c>
    </row>
    <row r="346" spans="1:11" hidden="1" x14ac:dyDescent="0.25">
      <c r="A346" t="s">
        <v>4349</v>
      </c>
      <c r="B346">
        <v>83380876887</v>
      </c>
      <c r="C346" t="s">
        <v>4352</v>
      </c>
      <c r="D346" t="s">
        <v>4351</v>
      </c>
      <c r="E346" t="s">
        <v>2787</v>
      </c>
      <c r="F346" t="s">
        <v>5634</v>
      </c>
      <c r="G346" t="s">
        <v>5635</v>
      </c>
      <c r="H346" t="s">
        <v>5634</v>
      </c>
      <c r="I346" t="s">
        <v>5636</v>
      </c>
      <c r="J346" t="b">
        <f>VLOOKUP(A346,'Demanda Bruta'!A:BF,58,0)</f>
        <v>1</v>
      </c>
      <c r="K346" t="b">
        <f t="shared" si="5"/>
        <v>1</v>
      </c>
    </row>
    <row r="347" spans="1:11" hidden="1" x14ac:dyDescent="0.25">
      <c r="A347" t="s">
        <v>4361</v>
      </c>
      <c r="B347">
        <v>36963615772</v>
      </c>
      <c r="C347" t="s">
        <v>4364</v>
      </c>
      <c r="D347" t="s">
        <v>4363</v>
      </c>
      <c r="E347" t="s">
        <v>2725</v>
      </c>
      <c r="F347" t="s">
        <v>5634</v>
      </c>
      <c r="G347" t="s">
        <v>5635</v>
      </c>
      <c r="H347" t="s">
        <v>5634</v>
      </c>
      <c r="I347" t="s">
        <v>5636</v>
      </c>
      <c r="J347" t="b">
        <f>VLOOKUP(A347,'Demanda Bruta'!A:BF,58,0)</f>
        <v>1</v>
      </c>
      <c r="K347" t="b">
        <f t="shared" si="5"/>
        <v>1</v>
      </c>
    </row>
    <row r="348" spans="1:11" hidden="1" x14ac:dyDescent="0.25">
      <c r="A348" t="s">
        <v>4372</v>
      </c>
      <c r="B348">
        <v>8065533833</v>
      </c>
      <c r="C348" t="s">
        <v>4375</v>
      </c>
      <c r="D348" t="s">
        <v>4374</v>
      </c>
      <c r="E348" t="s">
        <v>2972</v>
      </c>
      <c r="F348" t="s">
        <v>5634</v>
      </c>
      <c r="G348" t="s">
        <v>5635</v>
      </c>
      <c r="H348" t="s">
        <v>5634</v>
      </c>
      <c r="I348" t="s">
        <v>5636</v>
      </c>
      <c r="J348" t="b">
        <f>VLOOKUP(A348,'Demanda Bruta'!A:BF,58,0)</f>
        <v>1</v>
      </c>
      <c r="K348" t="b">
        <f t="shared" si="5"/>
        <v>1</v>
      </c>
    </row>
    <row r="349" spans="1:11" hidden="1" x14ac:dyDescent="0.25">
      <c r="A349" t="s">
        <v>4383</v>
      </c>
      <c r="B349">
        <v>5816140701</v>
      </c>
      <c r="C349" t="s">
        <v>4386</v>
      </c>
      <c r="D349" t="s">
        <v>4385</v>
      </c>
      <c r="E349" t="s">
        <v>1133</v>
      </c>
      <c r="F349" t="s">
        <v>5634</v>
      </c>
      <c r="G349" t="s">
        <v>5635</v>
      </c>
      <c r="H349" t="s">
        <v>5634</v>
      </c>
      <c r="I349" t="s">
        <v>5636</v>
      </c>
      <c r="J349" t="b">
        <f>VLOOKUP(A349,'Demanda Bruta'!A:BF,58,0)</f>
        <v>1</v>
      </c>
      <c r="K349" t="b">
        <f t="shared" si="5"/>
        <v>1</v>
      </c>
    </row>
    <row r="350" spans="1:11" hidden="1" x14ac:dyDescent="0.25">
      <c r="A350" t="s">
        <v>4394</v>
      </c>
      <c r="B350">
        <v>2492835731</v>
      </c>
      <c r="C350" t="s">
        <v>4397</v>
      </c>
      <c r="D350" t="s">
        <v>4396</v>
      </c>
      <c r="E350" t="s">
        <v>2725</v>
      </c>
      <c r="F350" t="s">
        <v>5634</v>
      </c>
      <c r="G350" t="s">
        <v>5635</v>
      </c>
      <c r="H350" t="s">
        <v>5634</v>
      </c>
      <c r="I350" t="s">
        <v>5636</v>
      </c>
      <c r="J350" t="b">
        <f>VLOOKUP(A350,'Demanda Bruta'!A:BF,58,0)</f>
        <v>1</v>
      </c>
      <c r="K350" t="b">
        <f t="shared" si="5"/>
        <v>1</v>
      </c>
    </row>
    <row r="351" spans="1:11" hidden="1" x14ac:dyDescent="0.25">
      <c r="A351" t="s">
        <v>4405</v>
      </c>
      <c r="B351">
        <v>2492835731</v>
      </c>
      <c r="C351" t="s">
        <v>4397</v>
      </c>
      <c r="D351" t="s">
        <v>4396</v>
      </c>
      <c r="E351" t="s">
        <v>2725</v>
      </c>
      <c r="F351" t="s">
        <v>5634</v>
      </c>
      <c r="G351" t="s">
        <v>5635</v>
      </c>
      <c r="H351" t="s">
        <v>5634</v>
      </c>
      <c r="I351" t="s">
        <v>5636</v>
      </c>
      <c r="J351" t="b">
        <f>VLOOKUP(A351,'Demanda Bruta'!A:BF,58,0)</f>
        <v>1</v>
      </c>
      <c r="K351" t="b">
        <f t="shared" si="5"/>
        <v>1</v>
      </c>
    </row>
    <row r="352" spans="1:11" hidden="1" x14ac:dyDescent="0.25">
      <c r="A352" t="s">
        <v>4409</v>
      </c>
      <c r="B352">
        <v>1668035103</v>
      </c>
      <c r="C352" t="s">
        <v>4412</v>
      </c>
      <c r="D352" t="s">
        <v>4411</v>
      </c>
      <c r="E352" t="s">
        <v>2972</v>
      </c>
      <c r="F352" t="s">
        <v>5634</v>
      </c>
      <c r="G352" t="s">
        <v>5635</v>
      </c>
      <c r="H352" t="s">
        <v>5634</v>
      </c>
      <c r="I352" t="s">
        <v>5636</v>
      </c>
      <c r="J352" t="b">
        <f>VLOOKUP(A352,'Demanda Bruta'!A:BF,58,0)</f>
        <v>1</v>
      </c>
      <c r="K352" t="b">
        <f t="shared" si="5"/>
        <v>1</v>
      </c>
    </row>
    <row r="353" spans="1:11" hidden="1" x14ac:dyDescent="0.25">
      <c r="A353" t="s">
        <v>4420</v>
      </c>
      <c r="B353">
        <v>18659427823</v>
      </c>
      <c r="C353" t="s">
        <v>4423</v>
      </c>
      <c r="D353" t="s">
        <v>4422</v>
      </c>
      <c r="E353" t="s">
        <v>2787</v>
      </c>
      <c r="F353" t="s">
        <v>5634</v>
      </c>
      <c r="G353" t="s">
        <v>5635</v>
      </c>
      <c r="H353" t="s">
        <v>5634</v>
      </c>
      <c r="I353" t="s">
        <v>5636</v>
      </c>
      <c r="J353" t="b">
        <f>VLOOKUP(A353,'Demanda Bruta'!A:BF,58,0)</f>
        <v>1</v>
      </c>
      <c r="K353" t="b">
        <f t="shared" si="5"/>
        <v>1</v>
      </c>
    </row>
    <row r="354" spans="1:11" hidden="1" x14ac:dyDescent="0.25">
      <c r="A354" t="s">
        <v>4431</v>
      </c>
      <c r="B354">
        <v>6953604778</v>
      </c>
      <c r="C354" t="s">
        <v>4434</v>
      </c>
      <c r="D354" t="s">
        <v>4433</v>
      </c>
      <c r="E354" t="s">
        <v>1133</v>
      </c>
      <c r="F354" t="s">
        <v>5634</v>
      </c>
      <c r="G354" t="s">
        <v>5635</v>
      </c>
      <c r="H354" t="s">
        <v>5634</v>
      </c>
      <c r="I354" t="s">
        <v>5636</v>
      </c>
      <c r="J354" t="b">
        <f>VLOOKUP(A354,'Demanda Bruta'!A:BF,58,0)</f>
        <v>1</v>
      </c>
      <c r="K354" t="b">
        <f t="shared" si="5"/>
        <v>1</v>
      </c>
    </row>
    <row r="355" spans="1:11" hidden="1" x14ac:dyDescent="0.25">
      <c r="A355" t="s">
        <v>4442</v>
      </c>
      <c r="B355">
        <v>39256226839</v>
      </c>
      <c r="C355" t="s">
        <v>4445</v>
      </c>
      <c r="D355" t="s">
        <v>4444</v>
      </c>
      <c r="E355" t="s">
        <v>4448</v>
      </c>
      <c r="F355" t="s">
        <v>5634</v>
      </c>
      <c r="G355" t="s">
        <v>5635</v>
      </c>
      <c r="H355" t="s">
        <v>5634</v>
      </c>
      <c r="I355" t="s">
        <v>5636</v>
      </c>
      <c r="J355" t="b">
        <f>VLOOKUP(A355,'Demanda Bruta'!A:BF,58,0)</f>
        <v>1</v>
      </c>
      <c r="K355" t="b">
        <f t="shared" si="5"/>
        <v>1</v>
      </c>
    </row>
    <row r="356" spans="1:11" hidden="1" x14ac:dyDescent="0.25">
      <c r="A356" t="s">
        <v>4454</v>
      </c>
      <c r="B356">
        <v>12424300755</v>
      </c>
      <c r="C356" t="s">
        <v>4457</v>
      </c>
      <c r="D356" t="s">
        <v>4456</v>
      </c>
      <c r="E356" t="s">
        <v>2707</v>
      </c>
      <c r="F356" t="s">
        <v>5634</v>
      </c>
      <c r="G356" t="s">
        <v>5635</v>
      </c>
      <c r="H356" t="s">
        <v>5634</v>
      </c>
      <c r="I356" t="s">
        <v>5636</v>
      </c>
      <c r="J356" t="b">
        <f>VLOOKUP(A356,'Demanda Bruta'!A:BF,58,0)</f>
        <v>1</v>
      </c>
      <c r="K356" t="b">
        <f t="shared" si="5"/>
        <v>1</v>
      </c>
    </row>
    <row r="357" spans="1:11" hidden="1" x14ac:dyDescent="0.25">
      <c r="A357" t="s">
        <v>4466</v>
      </c>
      <c r="B357">
        <v>96784130600</v>
      </c>
      <c r="C357" t="s">
        <v>4469</v>
      </c>
      <c r="D357" t="s">
        <v>4468</v>
      </c>
      <c r="E357" t="s">
        <v>2800</v>
      </c>
      <c r="F357" t="s">
        <v>5637</v>
      </c>
      <c r="G357" t="s">
        <v>5648</v>
      </c>
      <c r="H357" t="s">
        <v>5634</v>
      </c>
      <c r="I357" t="s">
        <v>5636</v>
      </c>
      <c r="J357" t="b">
        <f>VLOOKUP(A357,'Demanda Bruta'!A:BF,58,0)</f>
        <v>1</v>
      </c>
      <c r="K357" t="b">
        <f t="shared" si="5"/>
        <v>1</v>
      </c>
    </row>
    <row r="358" spans="1:11" hidden="1" x14ac:dyDescent="0.25">
      <c r="A358" t="s">
        <v>4477</v>
      </c>
      <c r="B358">
        <v>4481447605</v>
      </c>
      <c r="C358" t="s">
        <v>4480</v>
      </c>
      <c r="D358" t="s">
        <v>4479</v>
      </c>
      <c r="E358" t="s">
        <v>2972</v>
      </c>
      <c r="F358" t="s">
        <v>5634</v>
      </c>
      <c r="G358" t="s">
        <v>5635</v>
      </c>
      <c r="H358" t="s">
        <v>5634</v>
      </c>
      <c r="I358" t="s">
        <v>5636</v>
      </c>
      <c r="J358" t="b">
        <f>VLOOKUP(A358,'Demanda Bruta'!A:BF,58,0)</f>
        <v>1</v>
      </c>
      <c r="K358" t="b">
        <f t="shared" si="5"/>
        <v>1</v>
      </c>
    </row>
    <row r="359" spans="1:11" hidden="1" x14ac:dyDescent="0.25">
      <c r="A359" t="s">
        <v>4488</v>
      </c>
      <c r="B359">
        <v>62579274391</v>
      </c>
      <c r="C359" t="s">
        <v>4491</v>
      </c>
      <c r="D359" t="s">
        <v>4490</v>
      </c>
      <c r="E359" t="s">
        <v>1133</v>
      </c>
      <c r="F359" t="s">
        <v>5634</v>
      </c>
      <c r="G359" t="s">
        <v>5635</v>
      </c>
      <c r="H359" t="s">
        <v>5634</v>
      </c>
      <c r="I359" t="s">
        <v>5636</v>
      </c>
      <c r="J359" t="b">
        <f>VLOOKUP(A359,'Demanda Bruta'!A:BF,58,0)</f>
        <v>1</v>
      </c>
      <c r="K359" t="b">
        <f t="shared" si="5"/>
        <v>1</v>
      </c>
    </row>
    <row r="360" spans="1:11" hidden="1" x14ac:dyDescent="0.25">
      <c r="A360" t="s">
        <v>4499</v>
      </c>
      <c r="B360">
        <v>34588920871</v>
      </c>
      <c r="C360" t="s">
        <v>4502</v>
      </c>
      <c r="D360" t="s">
        <v>4501</v>
      </c>
      <c r="E360" t="s">
        <v>2725</v>
      </c>
      <c r="F360" t="s">
        <v>5634</v>
      </c>
      <c r="G360" t="s">
        <v>5635</v>
      </c>
      <c r="H360" t="s">
        <v>5634</v>
      </c>
      <c r="I360" t="s">
        <v>5636</v>
      </c>
      <c r="J360" t="b">
        <f>VLOOKUP(A360,'Demanda Bruta'!A:BF,58,0)</f>
        <v>1</v>
      </c>
      <c r="K360" t="b">
        <f t="shared" si="5"/>
        <v>1</v>
      </c>
    </row>
    <row r="361" spans="1:11" hidden="1" x14ac:dyDescent="0.25">
      <c r="A361" t="s">
        <v>4509</v>
      </c>
      <c r="B361">
        <v>21367666864</v>
      </c>
      <c r="C361" t="s">
        <v>4512</v>
      </c>
      <c r="D361" t="s">
        <v>4511</v>
      </c>
      <c r="E361" t="s">
        <v>4515</v>
      </c>
      <c r="F361" t="s">
        <v>5637</v>
      </c>
      <c r="G361" t="s">
        <v>5710</v>
      </c>
      <c r="H361" t="s">
        <v>5637</v>
      </c>
      <c r="I361" t="s">
        <v>5639</v>
      </c>
      <c r="J361" t="b">
        <f>VLOOKUP(A361,'Demanda Bruta'!A:BF,58,0)</f>
        <v>0</v>
      </c>
      <c r="K361" t="b">
        <f t="shared" si="5"/>
        <v>1</v>
      </c>
    </row>
    <row r="362" spans="1:11" hidden="1" x14ac:dyDescent="0.25">
      <c r="A362" t="s">
        <v>4522</v>
      </c>
      <c r="B362">
        <v>6269385709</v>
      </c>
      <c r="C362" t="s">
        <v>4525</v>
      </c>
      <c r="D362" t="s">
        <v>4524</v>
      </c>
      <c r="E362" t="s">
        <v>2773</v>
      </c>
      <c r="F362" t="s">
        <v>5637</v>
      </c>
      <c r="G362" t="s">
        <v>5648</v>
      </c>
      <c r="H362" t="s">
        <v>5637</v>
      </c>
      <c r="I362" t="s">
        <v>5639</v>
      </c>
      <c r="J362" t="b">
        <f>VLOOKUP(A362,'Demanda Bruta'!A:BF,58,0)</f>
        <v>0</v>
      </c>
      <c r="K362" t="b">
        <f t="shared" si="5"/>
        <v>1</v>
      </c>
    </row>
    <row r="363" spans="1:11" hidden="1" x14ac:dyDescent="0.25">
      <c r="A363" t="s">
        <v>4535</v>
      </c>
      <c r="B363">
        <v>33617835856</v>
      </c>
      <c r="C363" t="s">
        <v>4538</v>
      </c>
      <c r="D363" t="s">
        <v>4537</v>
      </c>
      <c r="E363" t="s">
        <v>2800</v>
      </c>
      <c r="F363" t="s">
        <v>5634</v>
      </c>
      <c r="G363" t="s">
        <v>5635</v>
      </c>
      <c r="H363" t="s">
        <v>5634</v>
      </c>
      <c r="I363" t="s">
        <v>5636</v>
      </c>
      <c r="J363" t="b">
        <f>VLOOKUP(A363,'Demanda Bruta'!A:BF,58,0)</f>
        <v>1</v>
      </c>
      <c r="K363" t="b">
        <f t="shared" si="5"/>
        <v>1</v>
      </c>
    </row>
    <row r="364" spans="1:11" hidden="1" x14ac:dyDescent="0.25">
      <c r="A364" t="s">
        <v>4548</v>
      </c>
      <c r="B364">
        <v>4349244743</v>
      </c>
      <c r="C364" t="s">
        <v>4551</v>
      </c>
      <c r="D364" t="s">
        <v>4550</v>
      </c>
      <c r="E364" t="s">
        <v>2972</v>
      </c>
      <c r="F364" t="s">
        <v>5634</v>
      </c>
      <c r="G364" t="s">
        <v>5635</v>
      </c>
      <c r="H364" t="s">
        <v>5634</v>
      </c>
      <c r="I364" t="s">
        <v>5636</v>
      </c>
      <c r="J364" t="b">
        <f>VLOOKUP(A364,'Demanda Bruta'!A:BF,58,0)</f>
        <v>1</v>
      </c>
      <c r="K364" t="b">
        <f t="shared" si="5"/>
        <v>1</v>
      </c>
    </row>
    <row r="365" spans="1:11" hidden="1" x14ac:dyDescent="0.25">
      <c r="A365" t="s">
        <v>4559</v>
      </c>
      <c r="B365">
        <v>13232188826</v>
      </c>
      <c r="C365" t="s">
        <v>4562</v>
      </c>
      <c r="D365" t="s">
        <v>4561</v>
      </c>
      <c r="E365" t="s">
        <v>4566</v>
      </c>
      <c r="F365" t="s">
        <v>5637</v>
      </c>
      <c r="G365" t="s">
        <v>5711</v>
      </c>
      <c r="H365" t="s">
        <v>5637</v>
      </c>
      <c r="I365" t="s">
        <v>5639</v>
      </c>
      <c r="J365" t="b">
        <f>VLOOKUP(A365,'Demanda Bruta'!A:BF,58,0)</f>
        <v>0</v>
      </c>
      <c r="K365" t="b">
        <f t="shared" si="5"/>
        <v>1</v>
      </c>
    </row>
    <row r="366" spans="1:11" hidden="1" x14ac:dyDescent="0.25">
      <c r="A366" t="s">
        <v>4573</v>
      </c>
      <c r="B366">
        <v>36283523803</v>
      </c>
      <c r="C366" t="s">
        <v>4576</v>
      </c>
      <c r="D366" t="s">
        <v>4575</v>
      </c>
      <c r="E366" t="s">
        <v>2787</v>
      </c>
      <c r="F366" t="s">
        <v>5634</v>
      </c>
      <c r="G366" t="s">
        <v>5635</v>
      </c>
      <c r="H366" t="s">
        <v>5634</v>
      </c>
      <c r="I366" t="s">
        <v>5636</v>
      </c>
      <c r="J366" t="b">
        <f>VLOOKUP(A366,'Demanda Bruta'!A:BF,58,0)</f>
        <v>1</v>
      </c>
      <c r="K366" t="b">
        <f t="shared" si="5"/>
        <v>1</v>
      </c>
    </row>
    <row r="367" spans="1:11" hidden="1" x14ac:dyDescent="0.25">
      <c r="A367" t="s">
        <v>4585</v>
      </c>
      <c r="B367">
        <v>3763394702</v>
      </c>
      <c r="C367" t="s">
        <v>4588</v>
      </c>
      <c r="D367" t="s">
        <v>4587</v>
      </c>
      <c r="E367" t="s">
        <v>2707</v>
      </c>
      <c r="F367" t="s">
        <v>5637</v>
      </c>
      <c r="G367" t="s">
        <v>5648</v>
      </c>
      <c r="H367" t="s">
        <v>5634</v>
      </c>
      <c r="I367" t="s">
        <v>5636</v>
      </c>
      <c r="J367" t="b">
        <f>VLOOKUP(A367,'Demanda Bruta'!A:BF,58,0)</f>
        <v>1</v>
      </c>
      <c r="K367" t="b">
        <f t="shared" si="5"/>
        <v>1</v>
      </c>
    </row>
    <row r="368" spans="1:11" hidden="1" x14ac:dyDescent="0.25">
      <c r="A368" t="s">
        <v>4594</v>
      </c>
      <c r="B368">
        <v>12358962856</v>
      </c>
      <c r="C368" t="s">
        <v>4597</v>
      </c>
      <c r="D368" t="s">
        <v>4596</v>
      </c>
      <c r="E368" t="s">
        <v>2972</v>
      </c>
      <c r="F368" t="s">
        <v>5634</v>
      </c>
      <c r="G368" t="s">
        <v>5635</v>
      </c>
      <c r="H368" t="s">
        <v>5634</v>
      </c>
      <c r="I368" t="s">
        <v>5636</v>
      </c>
      <c r="J368" t="b">
        <f>VLOOKUP(A368,'Demanda Bruta'!A:BF,58,0)</f>
        <v>1</v>
      </c>
      <c r="K368" t="b">
        <f t="shared" si="5"/>
        <v>1</v>
      </c>
    </row>
    <row r="369" spans="1:11" hidden="1" x14ac:dyDescent="0.25">
      <c r="A369" t="s">
        <v>4605</v>
      </c>
      <c r="B369">
        <v>90855833734</v>
      </c>
      <c r="C369" t="s">
        <v>4608</v>
      </c>
      <c r="D369" t="s">
        <v>4607</v>
      </c>
      <c r="E369" t="s">
        <v>2707</v>
      </c>
      <c r="F369" t="s">
        <v>5634</v>
      </c>
      <c r="G369" t="s">
        <v>5635</v>
      </c>
      <c r="H369" t="s">
        <v>5634</v>
      </c>
      <c r="I369" t="s">
        <v>5636</v>
      </c>
      <c r="J369" t="b">
        <f>VLOOKUP(A369,'Demanda Bruta'!A:BF,58,0)</f>
        <v>1</v>
      </c>
      <c r="K369" t="b">
        <f t="shared" si="5"/>
        <v>1</v>
      </c>
    </row>
    <row r="370" spans="1:11" hidden="1" x14ac:dyDescent="0.25">
      <c r="A370" t="s">
        <v>4616</v>
      </c>
      <c r="B370">
        <v>2572287137</v>
      </c>
      <c r="C370" t="s">
        <v>4619</v>
      </c>
      <c r="D370" t="s">
        <v>4618</v>
      </c>
      <c r="E370" t="s">
        <v>2972</v>
      </c>
      <c r="F370" t="s">
        <v>5637</v>
      </c>
      <c r="G370" t="s">
        <v>5702</v>
      </c>
      <c r="H370" t="s">
        <v>5637</v>
      </c>
      <c r="I370" t="s">
        <v>5639</v>
      </c>
      <c r="J370" t="b">
        <f>VLOOKUP(A370,'Demanda Bruta'!A:BF,58,0)</f>
        <v>0</v>
      </c>
      <c r="K370" t="b">
        <f t="shared" si="5"/>
        <v>1</v>
      </c>
    </row>
    <row r="371" spans="1:11" hidden="1" x14ac:dyDescent="0.25">
      <c r="A371" t="s">
        <v>4627</v>
      </c>
      <c r="B371">
        <v>30369418867</v>
      </c>
      <c r="C371" t="s">
        <v>4630</v>
      </c>
      <c r="D371" t="s">
        <v>4629</v>
      </c>
      <c r="E371" t="s">
        <v>2972</v>
      </c>
      <c r="F371" t="s">
        <v>5637</v>
      </c>
      <c r="G371" t="s">
        <v>5702</v>
      </c>
      <c r="H371" t="s">
        <v>5637</v>
      </c>
      <c r="I371" t="s">
        <v>5639</v>
      </c>
      <c r="J371" t="b">
        <f>VLOOKUP(A371,'Demanda Bruta'!A:BF,58,0)</f>
        <v>0</v>
      </c>
      <c r="K371" t="b">
        <f t="shared" si="5"/>
        <v>1</v>
      </c>
    </row>
    <row r="372" spans="1:11" hidden="1" x14ac:dyDescent="0.25">
      <c r="A372" t="s">
        <v>4638</v>
      </c>
      <c r="B372">
        <v>308654331</v>
      </c>
      <c r="C372" t="s">
        <v>4641</v>
      </c>
      <c r="D372" t="s">
        <v>4640</v>
      </c>
      <c r="E372" t="s">
        <v>4646</v>
      </c>
      <c r="F372" t="s">
        <v>5637</v>
      </c>
      <c r="G372" t="s">
        <v>5712</v>
      </c>
      <c r="H372" t="s">
        <v>5637</v>
      </c>
      <c r="I372" t="s">
        <v>5639</v>
      </c>
      <c r="J372" t="b">
        <f>VLOOKUP(A372,'Demanda Bruta'!A:BF,58,0)</f>
        <v>0</v>
      </c>
      <c r="K372" t="b">
        <f t="shared" si="5"/>
        <v>1</v>
      </c>
    </row>
    <row r="373" spans="1:11" hidden="1" x14ac:dyDescent="0.25">
      <c r="A373" t="s">
        <v>4653</v>
      </c>
      <c r="B373">
        <v>5831517799</v>
      </c>
      <c r="C373" t="s">
        <v>4656</v>
      </c>
      <c r="D373" t="s">
        <v>4655</v>
      </c>
      <c r="E373" t="s">
        <v>2773</v>
      </c>
      <c r="F373" t="s">
        <v>5634</v>
      </c>
      <c r="G373" t="s">
        <v>5635</v>
      </c>
      <c r="H373" t="s">
        <v>5634</v>
      </c>
      <c r="I373" t="s">
        <v>5636</v>
      </c>
      <c r="J373" t="b">
        <f>VLOOKUP(A373,'Demanda Bruta'!A:BF,58,0)</f>
        <v>1</v>
      </c>
      <c r="K373" t="b">
        <f t="shared" si="5"/>
        <v>1</v>
      </c>
    </row>
    <row r="374" spans="1:11" hidden="1" x14ac:dyDescent="0.25">
      <c r="A374" t="s">
        <v>4663</v>
      </c>
      <c r="B374">
        <v>537013059</v>
      </c>
      <c r="C374" t="s">
        <v>4666</v>
      </c>
      <c r="D374" t="s">
        <v>4665</v>
      </c>
      <c r="E374" t="s">
        <v>331</v>
      </c>
      <c r="F374" t="s">
        <v>5634</v>
      </c>
      <c r="G374" t="s">
        <v>5635</v>
      </c>
      <c r="H374" t="s">
        <v>5634</v>
      </c>
      <c r="I374" t="s">
        <v>5636</v>
      </c>
      <c r="J374" t="b">
        <f>VLOOKUP(A374,'Demanda Bruta'!A:BF,58,0)</f>
        <v>1</v>
      </c>
      <c r="K374" t="b">
        <f t="shared" si="5"/>
        <v>1</v>
      </c>
    </row>
    <row r="375" spans="1:11" hidden="1" x14ac:dyDescent="0.25">
      <c r="A375" t="s">
        <v>4674</v>
      </c>
      <c r="B375">
        <v>51116723387</v>
      </c>
      <c r="C375" t="s">
        <v>4677</v>
      </c>
      <c r="D375" t="s">
        <v>4676</v>
      </c>
      <c r="E375" t="s">
        <v>331</v>
      </c>
      <c r="F375" t="s">
        <v>5634</v>
      </c>
      <c r="G375" t="s">
        <v>5635</v>
      </c>
      <c r="H375" t="s">
        <v>5634</v>
      </c>
      <c r="I375" t="s">
        <v>5636</v>
      </c>
      <c r="J375" t="b">
        <f>VLOOKUP(A375,'Demanda Bruta'!A:BF,58,0)</f>
        <v>1</v>
      </c>
      <c r="K375" t="b">
        <f t="shared" si="5"/>
        <v>1</v>
      </c>
    </row>
    <row r="376" spans="1:11" hidden="1" x14ac:dyDescent="0.25">
      <c r="A376" t="s">
        <v>4685</v>
      </c>
      <c r="B376">
        <v>4534235828</v>
      </c>
      <c r="C376" t="s">
        <v>4688</v>
      </c>
      <c r="D376" t="s">
        <v>4687</v>
      </c>
      <c r="E376" t="s">
        <v>331</v>
      </c>
      <c r="F376" t="s">
        <v>5634</v>
      </c>
      <c r="G376" t="s">
        <v>5635</v>
      </c>
      <c r="H376" t="s">
        <v>5634</v>
      </c>
      <c r="I376" t="s">
        <v>5636</v>
      </c>
      <c r="J376" t="b">
        <f>VLOOKUP(A376,'Demanda Bruta'!A:BF,58,0)</f>
        <v>1</v>
      </c>
      <c r="K376" t="b">
        <f t="shared" si="5"/>
        <v>1</v>
      </c>
    </row>
    <row r="377" spans="1:11" hidden="1" x14ac:dyDescent="0.25">
      <c r="A377" t="s">
        <v>4696</v>
      </c>
      <c r="B377">
        <v>4348181608</v>
      </c>
      <c r="C377" t="s">
        <v>4699</v>
      </c>
      <c r="D377" t="s">
        <v>4698</v>
      </c>
      <c r="E377" t="s">
        <v>4701</v>
      </c>
      <c r="F377" t="s">
        <v>5637</v>
      </c>
      <c r="G377" t="s">
        <v>5713</v>
      </c>
      <c r="H377" t="s">
        <v>5637</v>
      </c>
      <c r="I377" t="s">
        <v>5639</v>
      </c>
      <c r="J377" t="b">
        <f>VLOOKUP(A377,'Demanda Bruta'!A:BF,58,0)</f>
        <v>0</v>
      </c>
      <c r="K377" t="b">
        <f t="shared" si="5"/>
        <v>1</v>
      </c>
    </row>
    <row r="378" spans="1:11" hidden="1" x14ac:dyDescent="0.25">
      <c r="A378" t="s">
        <v>4708</v>
      </c>
      <c r="B378">
        <v>28784442808</v>
      </c>
      <c r="C378" t="s">
        <v>4711</v>
      </c>
      <c r="D378" t="s">
        <v>4710</v>
      </c>
      <c r="E378" t="s">
        <v>2131</v>
      </c>
      <c r="F378" t="s">
        <v>5634</v>
      </c>
      <c r="G378" t="s">
        <v>5635</v>
      </c>
      <c r="H378" t="s">
        <v>5634</v>
      </c>
      <c r="I378" t="s">
        <v>5636</v>
      </c>
      <c r="J378" t="b">
        <f>VLOOKUP(A378,'Demanda Bruta'!A:BF,58,0)</f>
        <v>1</v>
      </c>
      <c r="K378" t="b">
        <f t="shared" si="5"/>
        <v>1</v>
      </c>
    </row>
    <row r="379" spans="1:11" hidden="1" x14ac:dyDescent="0.25">
      <c r="A379" t="s">
        <v>4719</v>
      </c>
      <c r="B379">
        <v>10350585458</v>
      </c>
      <c r="C379" t="s">
        <v>4722</v>
      </c>
      <c r="D379" t="s">
        <v>4721</v>
      </c>
      <c r="E379" t="s">
        <v>2453</v>
      </c>
      <c r="F379" t="s">
        <v>5634</v>
      </c>
      <c r="G379" t="s">
        <v>5635</v>
      </c>
      <c r="H379" t="s">
        <v>5634</v>
      </c>
      <c r="I379" t="s">
        <v>5636</v>
      </c>
      <c r="J379" t="b">
        <f>VLOOKUP(A379,'Demanda Bruta'!A:BF,58,0)</f>
        <v>1</v>
      </c>
      <c r="K379" t="b">
        <f t="shared" si="5"/>
        <v>1</v>
      </c>
    </row>
    <row r="380" spans="1:11" hidden="1" x14ac:dyDescent="0.25">
      <c r="A380" t="s">
        <v>4729</v>
      </c>
      <c r="B380">
        <v>1480964689</v>
      </c>
      <c r="C380" t="s">
        <v>4732</v>
      </c>
      <c r="D380" t="s">
        <v>4731</v>
      </c>
      <c r="E380" t="s">
        <v>2378</v>
      </c>
      <c r="F380" t="s">
        <v>5634</v>
      </c>
      <c r="G380" t="s">
        <v>5635</v>
      </c>
      <c r="H380" t="s">
        <v>5634</v>
      </c>
      <c r="I380" t="s">
        <v>5636</v>
      </c>
      <c r="J380" t="b">
        <f>VLOOKUP(A380,'Demanda Bruta'!A:BF,58,0)</f>
        <v>1</v>
      </c>
      <c r="K380" t="b">
        <f t="shared" si="5"/>
        <v>1</v>
      </c>
    </row>
    <row r="381" spans="1:11" hidden="1" x14ac:dyDescent="0.25">
      <c r="A381" t="s">
        <v>4740</v>
      </c>
      <c r="B381">
        <v>50659014734</v>
      </c>
      <c r="C381" t="s">
        <v>4743</v>
      </c>
      <c r="D381" t="s">
        <v>4742</v>
      </c>
      <c r="E381" t="s">
        <v>2378</v>
      </c>
      <c r="F381" t="s">
        <v>5637</v>
      </c>
      <c r="G381" t="s">
        <v>5648</v>
      </c>
      <c r="H381" t="s">
        <v>5637</v>
      </c>
      <c r="I381" t="s">
        <v>5639</v>
      </c>
      <c r="J381" t="b">
        <f>VLOOKUP(A381,'Demanda Bruta'!A:BF,58,0)</f>
        <v>0</v>
      </c>
      <c r="K381" t="b">
        <f t="shared" si="5"/>
        <v>1</v>
      </c>
    </row>
    <row r="382" spans="1:11" hidden="1" x14ac:dyDescent="0.25">
      <c r="A382" t="s">
        <v>4753</v>
      </c>
      <c r="B382">
        <v>78207177772</v>
      </c>
      <c r="C382" t="s">
        <v>4756</v>
      </c>
      <c r="D382" t="s">
        <v>4755</v>
      </c>
      <c r="E382" t="s">
        <v>2289</v>
      </c>
      <c r="F382" t="s">
        <v>5634</v>
      </c>
      <c r="G382" t="s">
        <v>5635</v>
      </c>
      <c r="H382" t="s">
        <v>5634</v>
      </c>
      <c r="I382" t="s">
        <v>5636</v>
      </c>
      <c r="J382" t="b">
        <f>VLOOKUP(A382,'Demanda Bruta'!A:BF,58,0)</f>
        <v>1</v>
      </c>
      <c r="K382" t="b">
        <f t="shared" si="5"/>
        <v>1</v>
      </c>
    </row>
    <row r="383" spans="1:11" hidden="1" x14ac:dyDescent="0.25">
      <c r="A383" t="s">
        <v>4764</v>
      </c>
      <c r="B383">
        <v>8679111740</v>
      </c>
      <c r="C383" t="s">
        <v>4767</v>
      </c>
      <c r="D383" t="s">
        <v>4766</v>
      </c>
      <c r="E383" t="s">
        <v>2668</v>
      </c>
      <c r="F383" t="s">
        <v>5634</v>
      </c>
      <c r="G383" t="s">
        <v>5635</v>
      </c>
      <c r="H383" t="s">
        <v>5634</v>
      </c>
      <c r="I383" t="s">
        <v>5636</v>
      </c>
      <c r="J383" t="b">
        <f>VLOOKUP(A383,'Demanda Bruta'!A:BF,58,0)</f>
        <v>1</v>
      </c>
      <c r="K383" t="b">
        <f t="shared" si="5"/>
        <v>1</v>
      </c>
    </row>
    <row r="384" spans="1:11" hidden="1" x14ac:dyDescent="0.25">
      <c r="A384" t="s">
        <v>4775</v>
      </c>
      <c r="B384">
        <v>7186904432</v>
      </c>
      <c r="C384" t="s">
        <v>4778</v>
      </c>
      <c r="D384" t="s">
        <v>4777</v>
      </c>
      <c r="E384" t="s">
        <v>2453</v>
      </c>
      <c r="F384" t="s">
        <v>5634</v>
      </c>
      <c r="G384" t="s">
        <v>5635</v>
      </c>
      <c r="H384" t="s">
        <v>5634</v>
      </c>
      <c r="I384" t="s">
        <v>5636</v>
      </c>
      <c r="J384" t="b">
        <f>VLOOKUP(A384,'Demanda Bruta'!A:BF,58,0)</f>
        <v>1</v>
      </c>
      <c r="K384" t="b">
        <f t="shared" si="5"/>
        <v>1</v>
      </c>
    </row>
    <row r="385" spans="1:11" hidden="1" x14ac:dyDescent="0.25">
      <c r="A385" t="s">
        <v>4787</v>
      </c>
      <c r="B385">
        <v>9402360794</v>
      </c>
      <c r="C385" t="s">
        <v>4790</v>
      </c>
      <c r="D385" t="s">
        <v>4789</v>
      </c>
      <c r="E385" t="s">
        <v>2668</v>
      </c>
      <c r="F385" t="s">
        <v>5634</v>
      </c>
      <c r="G385" t="s">
        <v>5635</v>
      </c>
      <c r="H385" t="s">
        <v>5634</v>
      </c>
      <c r="I385" t="s">
        <v>5636</v>
      </c>
      <c r="J385" t="b">
        <f>VLOOKUP(A385,'Demanda Bruta'!A:BF,58,0)</f>
        <v>1</v>
      </c>
      <c r="K385" t="b">
        <f t="shared" si="5"/>
        <v>1</v>
      </c>
    </row>
    <row r="386" spans="1:11" hidden="1" x14ac:dyDescent="0.25">
      <c r="A386" t="s">
        <v>4799</v>
      </c>
      <c r="B386">
        <v>6196405454</v>
      </c>
      <c r="C386" t="s">
        <v>4802</v>
      </c>
      <c r="D386" t="s">
        <v>4801</v>
      </c>
      <c r="E386" t="s">
        <v>2453</v>
      </c>
      <c r="F386" t="s">
        <v>5634</v>
      </c>
      <c r="G386" t="s">
        <v>5635</v>
      </c>
      <c r="H386" t="s">
        <v>5634</v>
      </c>
      <c r="I386" t="s">
        <v>5636</v>
      </c>
      <c r="J386" t="b">
        <f>VLOOKUP(A386,'Demanda Bruta'!A:BF,58,0)</f>
        <v>1</v>
      </c>
      <c r="K386" t="b">
        <f t="shared" si="5"/>
        <v>1</v>
      </c>
    </row>
    <row r="387" spans="1:11" hidden="1" x14ac:dyDescent="0.25">
      <c r="A387" t="s">
        <v>4810</v>
      </c>
      <c r="B387">
        <v>4791387457</v>
      </c>
      <c r="C387" t="s">
        <v>4813</v>
      </c>
      <c r="D387" t="s">
        <v>4812</v>
      </c>
      <c r="E387" t="s">
        <v>4818</v>
      </c>
      <c r="F387" t="s">
        <v>5637</v>
      </c>
      <c r="G387" t="s">
        <v>5714</v>
      </c>
      <c r="H387" t="s">
        <v>5637</v>
      </c>
      <c r="I387" t="s">
        <v>5639</v>
      </c>
      <c r="J387" t="b">
        <f>VLOOKUP(A387,'Demanda Bruta'!A:BF,58,0)</f>
        <v>0</v>
      </c>
      <c r="K387" t="b">
        <f t="shared" ref="K387:K450" si="6">IF(IF(H387="Sim",TRUE,FALSE)=J387,TRUE,FALSE)</f>
        <v>1</v>
      </c>
    </row>
    <row r="388" spans="1:11" hidden="1" x14ac:dyDescent="0.25">
      <c r="A388" t="s">
        <v>4825</v>
      </c>
      <c r="B388">
        <v>9285055702</v>
      </c>
      <c r="C388" t="s">
        <v>4828</v>
      </c>
      <c r="D388" t="s">
        <v>4827</v>
      </c>
      <c r="E388" t="s">
        <v>2535</v>
      </c>
      <c r="F388" t="s">
        <v>5634</v>
      </c>
      <c r="G388" t="s">
        <v>5635</v>
      </c>
      <c r="H388" t="s">
        <v>5634</v>
      </c>
      <c r="I388" t="s">
        <v>5636</v>
      </c>
      <c r="J388" t="b">
        <f>VLOOKUP(A388,'Demanda Bruta'!A:BF,58,0)</f>
        <v>1</v>
      </c>
      <c r="K388" t="b">
        <f t="shared" si="6"/>
        <v>1</v>
      </c>
    </row>
    <row r="389" spans="1:11" hidden="1" x14ac:dyDescent="0.25">
      <c r="A389" t="s">
        <v>4837</v>
      </c>
      <c r="B389">
        <v>4064723350</v>
      </c>
      <c r="C389" t="s">
        <v>4840</v>
      </c>
      <c r="D389" t="s">
        <v>4839</v>
      </c>
      <c r="E389" t="s">
        <v>2453</v>
      </c>
      <c r="F389" t="s">
        <v>5634</v>
      </c>
      <c r="G389" t="s">
        <v>5635</v>
      </c>
      <c r="H389" t="s">
        <v>5634</v>
      </c>
      <c r="I389" t="s">
        <v>5636</v>
      </c>
      <c r="J389" t="b">
        <f>VLOOKUP(A389,'Demanda Bruta'!A:BF,58,0)</f>
        <v>1</v>
      </c>
      <c r="K389" t="b">
        <f t="shared" si="6"/>
        <v>1</v>
      </c>
    </row>
    <row r="390" spans="1:11" hidden="1" x14ac:dyDescent="0.25">
      <c r="A390" t="s">
        <v>4848</v>
      </c>
      <c r="B390">
        <v>8484845419</v>
      </c>
      <c r="C390" t="s">
        <v>4851</v>
      </c>
      <c r="D390" t="s">
        <v>4850</v>
      </c>
      <c r="E390" t="s">
        <v>2453</v>
      </c>
      <c r="F390" t="s">
        <v>5634</v>
      </c>
      <c r="G390" t="s">
        <v>5635</v>
      </c>
      <c r="H390" t="s">
        <v>5634</v>
      </c>
      <c r="I390" t="s">
        <v>5636</v>
      </c>
      <c r="J390" t="b">
        <f>VLOOKUP(A390,'Demanda Bruta'!A:BF,58,0)</f>
        <v>1</v>
      </c>
      <c r="K390" t="b">
        <f t="shared" si="6"/>
        <v>1</v>
      </c>
    </row>
    <row r="391" spans="1:11" hidden="1" x14ac:dyDescent="0.25">
      <c r="A391" t="s">
        <v>4858</v>
      </c>
      <c r="B391">
        <v>7250153650</v>
      </c>
      <c r="C391" t="s">
        <v>4861</v>
      </c>
      <c r="D391" t="s">
        <v>4860</v>
      </c>
      <c r="E391" t="s">
        <v>2535</v>
      </c>
      <c r="F391" t="s">
        <v>5634</v>
      </c>
      <c r="G391" t="s">
        <v>5635</v>
      </c>
      <c r="H391" t="s">
        <v>5634</v>
      </c>
      <c r="I391" t="s">
        <v>5636</v>
      </c>
      <c r="J391" t="b">
        <f>VLOOKUP(A391,'Demanda Bruta'!A:BF,58,0)</f>
        <v>1</v>
      </c>
      <c r="K391" t="b">
        <f t="shared" si="6"/>
        <v>1</v>
      </c>
    </row>
    <row r="392" spans="1:11" hidden="1" x14ac:dyDescent="0.25">
      <c r="A392" t="s">
        <v>4869</v>
      </c>
      <c r="B392">
        <v>2045652785</v>
      </c>
      <c r="C392" t="s">
        <v>4872</v>
      </c>
      <c r="D392" t="s">
        <v>4871</v>
      </c>
      <c r="E392" t="s">
        <v>2289</v>
      </c>
      <c r="F392" t="s">
        <v>5634</v>
      </c>
      <c r="G392" t="s">
        <v>5635</v>
      </c>
      <c r="H392" t="s">
        <v>5634</v>
      </c>
      <c r="I392" t="s">
        <v>5636</v>
      </c>
      <c r="J392" t="b">
        <f>VLOOKUP(A392,'Demanda Bruta'!A:BF,58,0)</f>
        <v>1</v>
      </c>
      <c r="K392" t="b">
        <f t="shared" si="6"/>
        <v>1</v>
      </c>
    </row>
    <row r="393" spans="1:11" hidden="1" x14ac:dyDescent="0.25">
      <c r="A393" t="s">
        <v>4880</v>
      </c>
      <c r="B393">
        <v>4911556382</v>
      </c>
      <c r="C393" t="s">
        <v>4883</v>
      </c>
      <c r="D393" t="s">
        <v>4882</v>
      </c>
      <c r="E393" t="s">
        <v>2378</v>
      </c>
      <c r="F393" t="s">
        <v>5634</v>
      </c>
      <c r="G393" t="s">
        <v>5635</v>
      </c>
      <c r="H393" t="s">
        <v>5634</v>
      </c>
      <c r="I393" t="s">
        <v>5636</v>
      </c>
      <c r="J393" t="b">
        <f>VLOOKUP(A393,'Demanda Bruta'!A:BF,58,0)</f>
        <v>1</v>
      </c>
      <c r="K393" t="b">
        <f t="shared" si="6"/>
        <v>1</v>
      </c>
    </row>
    <row r="394" spans="1:11" hidden="1" x14ac:dyDescent="0.25">
      <c r="A394" t="s">
        <v>4892</v>
      </c>
      <c r="B394">
        <v>63185920406</v>
      </c>
      <c r="C394" t="s">
        <v>4895</v>
      </c>
      <c r="D394" t="s">
        <v>4894</v>
      </c>
      <c r="E394" t="s">
        <v>2378</v>
      </c>
      <c r="F394" t="s">
        <v>5637</v>
      </c>
      <c r="G394" t="s">
        <v>5648</v>
      </c>
      <c r="H394" t="s">
        <v>5634</v>
      </c>
      <c r="I394" t="s">
        <v>5636</v>
      </c>
      <c r="J394" t="b">
        <f>VLOOKUP(A394,'Demanda Bruta'!A:BF,58,0)</f>
        <v>1</v>
      </c>
      <c r="K394" t="b">
        <f t="shared" si="6"/>
        <v>1</v>
      </c>
    </row>
    <row r="395" spans="1:11" hidden="1" x14ac:dyDescent="0.25">
      <c r="A395" t="s">
        <v>4903</v>
      </c>
      <c r="B395">
        <v>5301088440</v>
      </c>
      <c r="C395" t="s">
        <v>4906</v>
      </c>
      <c r="D395" t="s">
        <v>4905</v>
      </c>
      <c r="E395" t="s">
        <v>2535</v>
      </c>
      <c r="F395" t="s">
        <v>5634</v>
      </c>
      <c r="G395" t="s">
        <v>5635</v>
      </c>
      <c r="H395" t="s">
        <v>5634</v>
      </c>
      <c r="I395" t="s">
        <v>5636</v>
      </c>
      <c r="J395" t="b">
        <f>VLOOKUP(A395,'Demanda Bruta'!A:BF,58,0)</f>
        <v>1</v>
      </c>
      <c r="K395" t="b">
        <f t="shared" si="6"/>
        <v>1</v>
      </c>
    </row>
    <row r="396" spans="1:11" hidden="1" x14ac:dyDescent="0.25">
      <c r="A396" t="s">
        <v>4915</v>
      </c>
      <c r="B396">
        <v>51948770059</v>
      </c>
      <c r="C396" t="s">
        <v>4918</v>
      </c>
      <c r="D396" t="s">
        <v>4917</v>
      </c>
      <c r="E396" t="s">
        <v>2453</v>
      </c>
      <c r="F396" t="s">
        <v>5634</v>
      </c>
      <c r="G396" t="s">
        <v>5635</v>
      </c>
      <c r="H396" t="s">
        <v>5634</v>
      </c>
      <c r="I396" t="s">
        <v>5636</v>
      </c>
      <c r="J396" t="b">
        <f>VLOOKUP(A396,'Demanda Bruta'!A:BF,58,0)</f>
        <v>1</v>
      </c>
      <c r="K396" t="b">
        <f t="shared" si="6"/>
        <v>1</v>
      </c>
    </row>
    <row r="397" spans="1:11" hidden="1" x14ac:dyDescent="0.25">
      <c r="A397" t="s">
        <v>4929</v>
      </c>
      <c r="B397">
        <v>7066922840</v>
      </c>
      <c r="C397" t="s">
        <v>4932</v>
      </c>
      <c r="D397" t="s">
        <v>4931</v>
      </c>
      <c r="E397" t="s">
        <v>2289</v>
      </c>
      <c r="F397" t="s">
        <v>5634</v>
      </c>
      <c r="G397" t="s">
        <v>5635</v>
      </c>
      <c r="H397" t="s">
        <v>5634</v>
      </c>
      <c r="I397" t="s">
        <v>5636</v>
      </c>
      <c r="J397" t="b">
        <f>VLOOKUP(A397,'Demanda Bruta'!A:BF,58,0)</f>
        <v>1</v>
      </c>
      <c r="K397" t="b">
        <f t="shared" si="6"/>
        <v>1</v>
      </c>
    </row>
    <row r="398" spans="1:11" hidden="1" x14ac:dyDescent="0.25">
      <c r="A398" t="s">
        <v>4940</v>
      </c>
      <c r="B398">
        <v>82574197704</v>
      </c>
      <c r="C398" t="s">
        <v>4943</v>
      </c>
      <c r="D398" t="s">
        <v>4942</v>
      </c>
      <c r="E398" t="s">
        <v>2289</v>
      </c>
      <c r="F398" t="s">
        <v>5634</v>
      </c>
      <c r="G398" t="s">
        <v>5635</v>
      </c>
      <c r="H398" t="s">
        <v>5634</v>
      </c>
      <c r="I398" t="s">
        <v>5636</v>
      </c>
      <c r="J398" t="b">
        <f>VLOOKUP(A398,'Demanda Bruta'!A:BF,58,0)</f>
        <v>1</v>
      </c>
      <c r="K398" t="b">
        <f t="shared" si="6"/>
        <v>1</v>
      </c>
    </row>
    <row r="399" spans="1:11" hidden="1" x14ac:dyDescent="0.25">
      <c r="A399" t="s">
        <v>4951</v>
      </c>
      <c r="B399">
        <v>9394135740</v>
      </c>
      <c r="C399" t="s">
        <v>4954</v>
      </c>
      <c r="D399" t="s">
        <v>4953</v>
      </c>
      <c r="E399" t="s">
        <v>2289</v>
      </c>
      <c r="F399" t="s">
        <v>5634</v>
      </c>
      <c r="G399" t="s">
        <v>5635</v>
      </c>
      <c r="H399" t="s">
        <v>5634</v>
      </c>
      <c r="I399" t="s">
        <v>5636</v>
      </c>
      <c r="J399" t="b">
        <f>VLOOKUP(A399,'Demanda Bruta'!A:BF,58,0)</f>
        <v>1</v>
      </c>
      <c r="K399" t="b">
        <f t="shared" si="6"/>
        <v>1</v>
      </c>
    </row>
    <row r="400" spans="1:11" hidden="1" x14ac:dyDescent="0.25">
      <c r="A400" t="s">
        <v>4962</v>
      </c>
      <c r="B400">
        <v>8580865492</v>
      </c>
      <c r="C400" t="s">
        <v>4965</v>
      </c>
      <c r="D400" t="s">
        <v>4964</v>
      </c>
      <c r="E400" t="s">
        <v>2378</v>
      </c>
      <c r="F400" t="s">
        <v>5634</v>
      </c>
      <c r="G400" t="s">
        <v>5635</v>
      </c>
      <c r="H400" t="s">
        <v>5634</v>
      </c>
      <c r="I400" t="s">
        <v>5636</v>
      </c>
      <c r="J400" t="b">
        <f>VLOOKUP(A400,'Demanda Bruta'!A:BF,58,0)</f>
        <v>1</v>
      </c>
      <c r="K400" t="b">
        <f t="shared" si="6"/>
        <v>1</v>
      </c>
    </row>
    <row r="401" spans="1:11" hidden="1" x14ac:dyDescent="0.25">
      <c r="A401" t="s">
        <v>4973</v>
      </c>
      <c r="B401">
        <v>23653597870</v>
      </c>
      <c r="C401" t="s">
        <v>4976</v>
      </c>
      <c r="D401" t="s">
        <v>4975</v>
      </c>
      <c r="E401" t="s">
        <v>2453</v>
      </c>
      <c r="F401" t="s">
        <v>5634</v>
      </c>
      <c r="G401" t="s">
        <v>5635</v>
      </c>
      <c r="H401" t="s">
        <v>5634</v>
      </c>
      <c r="I401" t="s">
        <v>5636</v>
      </c>
      <c r="J401" t="b">
        <f>VLOOKUP(A401,'Demanda Bruta'!A:BF,58,0)</f>
        <v>1</v>
      </c>
      <c r="K401" t="b">
        <f t="shared" si="6"/>
        <v>1</v>
      </c>
    </row>
    <row r="402" spans="1:11" hidden="1" x14ac:dyDescent="0.25">
      <c r="A402" t="s">
        <v>4984</v>
      </c>
      <c r="B402">
        <v>8329029425</v>
      </c>
      <c r="C402" t="s">
        <v>4987</v>
      </c>
      <c r="D402" t="s">
        <v>4986</v>
      </c>
      <c r="E402" t="s">
        <v>2453</v>
      </c>
      <c r="F402" t="s">
        <v>5634</v>
      </c>
      <c r="G402" t="s">
        <v>5635</v>
      </c>
      <c r="H402" t="s">
        <v>5634</v>
      </c>
      <c r="I402" t="s">
        <v>5636</v>
      </c>
      <c r="J402" t="b">
        <f>VLOOKUP(A402,'Demanda Bruta'!A:BF,58,0)</f>
        <v>1</v>
      </c>
      <c r="K402" t="b">
        <f t="shared" si="6"/>
        <v>1</v>
      </c>
    </row>
    <row r="403" spans="1:11" hidden="1" x14ac:dyDescent="0.25">
      <c r="A403" t="s">
        <v>4995</v>
      </c>
      <c r="B403">
        <v>12434475752</v>
      </c>
      <c r="C403" t="s">
        <v>4998</v>
      </c>
      <c r="D403" t="s">
        <v>4997</v>
      </c>
      <c r="E403" t="s">
        <v>2535</v>
      </c>
      <c r="F403" t="s">
        <v>5637</v>
      </c>
      <c r="G403" t="s">
        <v>5648</v>
      </c>
      <c r="H403" t="s">
        <v>5637</v>
      </c>
      <c r="I403" t="s">
        <v>5639</v>
      </c>
      <c r="J403" t="b">
        <f>VLOOKUP(A403,'Demanda Bruta'!A:BF,58,0)</f>
        <v>0</v>
      </c>
      <c r="K403" t="b">
        <f t="shared" si="6"/>
        <v>1</v>
      </c>
    </row>
    <row r="404" spans="1:11" hidden="1" x14ac:dyDescent="0.25">
      <c r="A404" t="s">
        <v>5006</v>
      </c>
      <c r="B404">
        <v>1398477583</v>
      </c>
      <c r="C404" t="s">
        <v>5009</v>
      </c>
      <c r="D404" t="s">
        <v>5008</v>
      </c>
      <c r="E404" t="s">
        <v>2378</v>
      </c>
      <c r="F404" t="s">
        <v>5637</v>
      </c>
      <c r="G404" t="s">
        <v>5696</v>
      </c>
      <c r="H404" t="s">
        <v>5637</v>
      </c>
      <c r="I404" t="s">
        <v>5639</v>
      </c>
      <c r="J404" t="b">
        <f>VLOOKUP(A404,'Demanda Bruta'!A:BF,58,0)</f>
        <v>0</v>
      </c>
      <c r="K404" t="b">
        <f t="shared" si="6"/>
        <v>1</v>
      </c>
    </row>
    <row r="405" spans="1:11" hidden="1" x14ac:dyDescent="0.25">
      <c r="A405" t="s">
        <v>5017</v>
      </c>
      <c r="B405">
        <v>1541209524</v>
      </c>
      <c r="C405" t="s">
        <v>5020</v>
      </c>
      <c r="D405" t="s">
        <v>5019</v>
      </c>
      <c r="E405" t="s">
        <v>2668</v>
      </c>
      <c r="F405" t="s">
        <v>5634</v>
      </c>
      <c r="G405" t="s">
        <v>5635</v>
      </c>
      <c r="H405" t="s">
        <v>5634</v>
      </c>
      <c r="I405" t="s">
        <v>5636</v>
      </c>
      <c r="J405" t="b">
        <f>VLOOKUP(A405,'Demanda Bruta'!A:BF,58,0)</f>
        <v>1</v>
      </c>
      <c r="K405" t="b">
        <f t="shared" si="6"/>
        <v>1</v>
      </c>
    </row>
    <row r="406" spans="1:11" hidden="1" x14ac:dyDescent="0.25">
      <c r="A406" t="s">
        <v>5028</v>
      </c>
      <c r="B406">
        <v>12407327756</v>
      </c>
      <c r="C406" t="s">
        <v>5031</v>
      </c>
      <c r="D406" t="s">
        <v>5030</v>
      </c>
      <c r="E406" t="s">
        <v>2289</v>
      </c>
      <c r="F406" t="s">
        <v>5634</v>
      </c>
      <c r="G406" t="s">
        <v>5635</v>
      </c>
      <c r="H406" t="s">
        <v>5634</v>
      </c>
      <c r="I406" t="s">
        <v>5636</v>
      </c>
      <c r="J406" t="b">
        <f>VLOOKUP(A406,'Demanda Bruta'!A:BF,58,0)</f>
        <v>1</v>
      </c>
      <c r="K406" t="b">
        <f t="shared" si="6"/>
        <v>1</v>
      </c>
    </row>
    <row r="407" spans="1:11" hidden="1" x14ac:dyDescent="0.25">
      <c r="A407" t="s">
        <v>5039</v>
      </c>
      <c r="B407">
        <v>2086345925</v>
      </c>
      <c r="C407" t="s">
        <v>5042</v>
      </c>
      <c r="D407" t="s">
        <v>5041</v>
      </c>
      <c r="E407" t="s">
        <v>2339</v>
      </c>
      <c r="F407" t="s">
        <v>5634</v>
      </c>
      <c r="G407" t="s">
        <v>5635</v>
      </c>
      <c r="H407" t="s">
        <v>5634</v>
      </c>
      <c r="I407" t="s">
        <v>5636</v>
      </c>
      <c r="J407" t="b">
        <f>VLOOKUP(A407,'Demanda Bruta'!A:BF,58,0)</f>
        <v>1</v>
      </c>
      <c r="K407" t="b">
        <f t="shared" si="6"/>
        <v>1</v>
      </c>
    </row>
    <row r="408" spans="1:11" hidden="1" x14ac:dyDescent="0.25">
      <c r="A408" t="s">
        <v>5050</v>
      </c>
      <c r="B408">
        <v>14662211786</v>
      </c>
      <c r="C408" t="s">
        <v>5053</v>
      </c>
      <c r="D408" t="s">
        <v>5052</v>
      </c>
      <c r="E408" t="s">
        <v>2289</v>
      </c>
      <c r="F408" t="s">
        <v>5634</v>
      </c>
      <c r="G408" t="s">
        <v>5635</v>
      </c>
      <c r="H408" t="s">
        <v>5634</v>
      </c>
      <c r="I408" t="s">
        <v>5636</v>
      </c>
      <c r="J408" t="b">
        <f>VLOOKUP(A408,'Demanda Bruta'!A:BF,58,0)</f>
        <v>1</v>
      </c>
      <c r="K408" t="b">
        <f t="shared" si="6"/>
        <v>1</v>
      </c>
    </row>
    <row r="409" spans="1:11" hidden="1" x14ac:dyDescent="0.25">
      <c r="A409" t="s">
        <v>5061</v>
      </c>
      <c r="B409">
        <v>1230056718</v>
      </c>
      <c r="C409" t="s">
        <v>5064</v>
      </c>
      <c r="D409" t="s">
        <v>5063</v>
      </c>
      <c r="E409" t="s">
        <v>2289</v>
      </c>
      <c r="F409" t="s">
        <v>5634</v>
      </c>
      <c r="G409" t="s">
        <v>5635</v>
      </c>
      <c r="H409" t="s">
        <v>5634</v>
      </c>
      <c r="I409" t="s">
        <v>5636</v>
      </c>
      <c r="J409" t="b">
        <f>VLOOKUP(A409,'Demanda Bruta'!A:BF,58,0)</f>
        <v>1</v>
      </c>
      <c r="K409" t="b">
        <f t="shared" si="6"/>
        <v>1</v>
      </c>
    </row>
    <row r="410" spans="1:11" hidden="1" x14ac:dyDescent="0.25">
      <c r="A410" t="s">
        <v>5072</v>
      </c>
      <c r="B410">
        <v>1230056718</v>
      </c>
      <c r="C410" t="s">
        <v>5064</v>
      </c>
      <c r="D410" t="s">
        <v>5063</v>
      </c>
      <c r="E410" t="s">
        <v>2289</v>
      </c>
      <c r="F410" t="s">
        <v>5637</v>
      </c>
      <c r="G410" t="s">
        <v>5715</v>
      </c>
      <c r="H410" t="s">
        <v>5637</v>
      </c>
      <c r="I410" t="s">
        <v>5639</v>
      </c>
      <c r="J410" t="b">
        <f>VLOOKUP(A410,'Demanda Bruta'!A:BF,58,0)</f>
        <v>0</v>
      </c>
      <c r="K410" t="b">
        <f t="shared" si="6"/>
        <v>1</v>
      </c>
    </row>
    <row r="411" spans="1:11" hidden="1" x14ac:dyDescent="0.25">
      <c r="A411" t="s">
        <v>5075</v>
      </c>
      <c r="B411">
        <v>60810267365</v>
      </c>
      <c r="C411" t="s">
        <v>5078</v>
      </c>
      <c r="D411" t="s">
        <v>5077</v>
      </c>
      <c r="E411" t="s">
        <v>5081</v>
      </c>
      <c r="F411" t="s">
        <v>5637</v>
      </c>
      <c r="G411" t="s">
        <v>5716</v>
      </c>
      <c r="H411" t="s">
        <v>5637</v>
      </c>
      <c r="I411" t="s">
        <v>5639</v>
      </c>
      <c r="J411" t="b">
        <f>VLOOKUP(A411,'Demanda Bruta'!A:BF,58,0)</f>
        <v>0</v>
      </c>
      <c r="K411" t="b">
        <f t="shared" si="6"/>
        <v>1</v>
      </c>
    </row>
    <row r="412" spans="1:11" hidden="1" x14ac:dyDescent="0.25">
      <c r="A412" t="s">
        <v>5088</v>
      </c>
      <c r="B412">
        <v>8084176498</v>
      </c>
      <c r="C412" t="s">
        <v>5091</v>
      </c>
      <c r="D412" t="s">
        <v>5090</v>
      </c>
      <c r="E412" t="s">
        <v>2378</v>
      </c>
      <c r="F412" t="s">
        <v>5634</v>
      </c>
      <c r="G412" t="s">
        <v>5635</v>
      </c>
      <c r="H412" t="s">
        <v>5634</v>
      </c>
      <c r="I412" t="s">
        <v>5636</v>
      </c>
      <c r="J412" t="b">
        <f>VLOOKUP(A412,'Demanda Bruta'!A:BF,58,0)</f>
        <v>1</v>
      </c>
      <c r="K412" t="b">
        <f t="shared" si="6"/>
        <v>1</v>
      </c>
    </row>
    <row r="413" spans="1:11" hidden="1" x14ac:dyDescent="0.25">
      <c r="A413" t="s">
        <v>5100</v>
      </c>
      <c r="B413">
        <v>1314315447</v>
      </c>
      <c r="C413" t="s">
        <v>5103</v>
      </c>
      <c r="D413" t="s">
        <v>5102</v>
      </c>
      <c r="E413" t="s">
        <v>2378</v>
      </c>
      <c r="F413" t="s">
        <v>5634</v>
      </c>
      <c r="G413" t="s">
        <v>5635</v>
      </c>
      <c r="H413" t="s">
        <v>5634</v>
      </c>
      <c r="I413" t="s">
        <v>5636</v>
      </c>
      <c r="J413" t="b">
        <f>VLOOKUP(A413,'Demanda Bruta'!A:BF,58,0)</f>
        <v>1</v>
      </c>
      <c r="K413" t="b">
        <f t="shared" si="6"/>
        <v>1</v>
      </c>
    </row>
    <row r="414" spans="1:11" hidden="1" x14ac:dyDescent="0.25">
      <c r="A414" t="s">
        <v>5112</v>
      </c>
      <c r="B414">
        <v>10703111469</v>
      </c>
      <c r="C414" t="s">
        <v>5115</v>
      </c>
      <c r="D414" t="s">
        <v>5114</v>
      </c>
      <c r="E414" t="s">
        <v>2378</v>
      </c>
      <c r="F414" t="s">
        <v>5637</v>
      </c>
      <c r="G414" t="s">
        <v>5696</v>
      </c>
      <c r="H414" t="s">
        <v>5637</v>
      </c>
      <c r="I414" t="s">
        <v>5639</v>
      </c>
      <c r="J414" t="b">
        <f>VLOOKUP(A414,'Demanda Bruta'!A:BF,58,0)</f>
        <v>0</v>
      </c>
      <c r="K414" t="b">
        <f t="shared" si="6"/>
        <v>1</v>
      </c>
    </row>
    <row r="415" spans="1:11" hidden="1" x14ac:dyDescent="0.25">
      <c r="A415" t="s">
        <v>5123</v>
      </c>
      <c r="B415">
        <v>79821600425</v>
      </c>
      <c r="C415" t="s">
        <v>5126</v>
      </c>
      <c r="D415" t="s">
        <v>5125</v>
      </c>
      <c r="E415" t="s">
        <v>2378</v>
      </c>
      <c r="F415" t="s">
        <v>5634</v>
      </c>
      <c r="G415" t="s">
        <v>5635</v>
      </c>
      <c r="H415" t="s">
        <v>5634</v>
      </c>
      <c r="I415" t="s">
        <v>5636</v>
      </c>
      <c r="J415" t="b">
        <f>VLOOKUP(A415,'Demanda Bruta'!A:BF,58,0)</f>
        <v>1</v>
      </c>
      <c r="K415" t="b">
        <f t="shared" si="6"/>
        <v>1</v>
      </c>
    </row>
    <row r="416" spans="1:11" hidden="1" x14ac:dyDescent="0.25">
      <c r="A416" t="s">
        <v>5134</v>
      </c>
      <c r="B416">
        <v>8995502827</v>
      </c>
      <c r="C416" t="s">
        <v>5137</v>
      </c>
      <c r="D416" t="s">
        <v>5136</v>
      </c>
      <c r="E416" t="s">
        <v>2289</v>
      </c>
      <c r="F416" t="s">
        <v>5637</v>
      </c>
      <c r="G416" t="s">
        <v>5648</v>
      </c>
      <c r="H416" t="s">
        <v>5634</v>
      </c>
      <c r="I416" t="s">
        <v>5636</v>
      </c>
      <c r="J416" t="b">
        <f>VLOOKUP(A416,'Demanda Bruta'!A:BF,58,0)</f>
        <v>1</v>
      </c>
      <c r="K416" t="b">
        <f t="shared" si="6"/>
        <v>1</v>
      </c>
    </row>
    <row r="417" spans="1:11" hidden="1" x14ac:dyDescent="0.25">
      <c r="A417" t="s">
        <v>5145</v>
      </c>
      <c r="B417">
        <v>2723845427</v>
      </c>
      <c r="C417" t="s">
        <v>5148</v>
      </c>
      <c r="D417" t="s">
        <v>5147</v>
      </c>
      <c r="E417" t="s">
        <v>2453</v>
      </c>
      <c r="F417" t="s">
        <v>5634</v>
      </c>
      <c r="G417" t="s">
        <v>5635</v>
      </c>
      <c r="H417" t="s">
        <v>5634</v>
      </c>
      <c r="I417" t="s">
        <v>5636</v>
      </c>
      <c r="J417" t="b">
        <f>VLOOKUP(A417,'Demanda Bruta'!A:BF,58,0)</f>
        <v>1</v>
      </c>
      <c r="K417" t="b">
        <f t="shared" si="6"/>
        <v>1</v>
      </c>
    </row>
    <row r="418" spans="1:11" hidden="1" x14ac:dyDescent="0.25">
      <c r="A418" t="s">
        <v>5155</v>
      </c>
      <c r="B418">
        <v>83449558749</v>
      </c>
      <c r="C418" t="s">
        <v>5158</v>
      </c>
      <c r="D418" t="s">
        <v>5157</v>
      </c>
      <c r="E418" t="s">
        <v>2289</v>
      </c>
      <c r="F418" t="s">
        <v>5634</v>
      </c>
      <c r="G418" t="s">
        <v>5635</v>
      </c>
      <c r="H418" t="s">
        <v>5634</v>
      </c>
      <c r="I418" t="s">
        <v>5636</v>
      </c>
      <c r="J418" t="b">
        <f>VLOOKUP(A418,'Demanda Bruta'!A:BF,58,0)</f>
        <v>1</v>
      </c>
      <c r="K418" t="b">
        <f t="shared" si="6"/>
        <v>1</v>
      </c>
    </row>
    <row r="419" spans="1:11" hidden="1" x14ac:dyDescent="0.25">
      <c r="A419" t="s">
        <v>5166</v>
      </c>
      <c r="B419">
        <v>4166100998</v>
      </c>
      <c r="C419" t="s">
        <v>5169</v>
      </c>
      <c r="D419" t="s">
        <v>5168</v>
      </c>
      <c r="E419" t="s">
        <v>5172</v>
      </c>
      <c r="F419" t="s">
        <v>5637</v>
      </c>
      <c r="G419" t="s">
        <v>5717</v>
      </c>
      <c r="H419" t="s">
        <v>5637</v>
      </c>
      <c r="I419" t="s">
        <v>5639</v>
      </c>
      <c r="J419" t="b">
        <f>VLOOKUP(A419,'Demanda Bruta'!A:BF,58,0)</f>
        <v>0</v>
      </c>
      <c r="K419" t="b">
        <f t="shared" si="6"/>
        <v>1</v>
      </c>
    </row>
    <row r="420" spans="1:11" hidden="1" x14ac:dyDescent="0.25">
      <c r="A420" t="s">
        <v>5179</v>
      </c>
      <c r="B420">
        <v>12125573601</v>
      </c>
      <c r="C420" t="s">
        <v>5182</v>
      </c>
      <c r="D420" t="s">
        <v>5181</v>
      </c>
      <c r="E420" t="s">
        <v>2378</v>
      </c>
      <c r="F420" t="s">
        <v>5634</v>
      </c>
      <c r="G420" t="s">
        <v>5635</v>
      </c>
      <c r="H420" t="s">
        <v>5634</v>
      </c>
      <c r="I420" t="s">
        <v>5636</v>
      </c>
      <c r="J420" t="b">
        <f>VLOOKUP(A420,'Demanda Bruta'!A:BF,58,0)</f>
        <v>1</v>
      </c>
      <c r="K420" t="b">
        <f t="shared" si="6"/>
        <v>1</v>
      </c>
    </row>
    <row r="421" spans="1:11" hidden="1" x14ac:dyDescent="0.25">
      <c r="A421" t="s">
        <v>5189</v>
      </c>
      <c r="B421">
        <v>36879578888</v>
      </c>
      <c r="C421" t="s">
        <v>5192</v>
      </c>
      <c r="D421" t="s">
        <v>5191</v>
      </c>
      <c r="E421" t="s">
        <v>2668</v>
      </c>
      <c r="F421" t="s">
        <v>5634</v>
      </c>
      <c r="G421" t="s">
        <v>5635</v>
      </c>
      <c r="H421" t="s">
        <v>5634</v>
      </c>
      <c r="I421" t="s">
        <v>5636</v>
      </c>
      <c r="J421" t="b">
        <f>VLOOKUP(A421,'Demanda Bruta'!A:BF,58,0)</f>
        <v>1</v>
      </c>
      <c r="K421" t="b">
        <f t="shared" si="6"/>
        <v>1</v>
      </c>
    </row>
    <row r="422" spans="1:11" hidden="1" x14ac:dyDescent="0.25">
      <c r="A422" t="s">
        <v>5200</v>
      </c>
      <c r="B422">
        <v>7182108402</v>
      </c>
      <c r="C422" t="s">
        <v>5203</v>
      </c>
      <c r="D422" t="s">
        <v>5202</v>
      </c>
      <c r="E422" t="s">
        <v>2453</v>
      </c>
      <c r="F422" t="s">
        <v>5634</v>
      </c>
      <c r="G422" t="s">
        <v>5635</v>
      </c>
      <c r="H422" t="s">
        <v>5634</v>
      </c>
      <c r="I422" t="s">
        <v>5636</v>
      </c>
      <c r="J422" t="b">
        <f>VLOOKUP(A422,'Demanda Bruta'!A:BF,58,0)</f>
        <v>1</v>
      </c>
      <c r="K422" t="b">
        <f t="shared" si="6"/>
        <v>1</v>
      </c>
    </row>
    <row r="423" spans="1:11" hidden="1" x14ac:dyDescent="0.25">
      <c r="A423" t="s">
        <v>5211</v>
      </c>
      <c r="B423">
        <v>4846730689</v>
      </c>
      <c r="C423" t="s">
        <v>5214</v>
      </c>
      <c r="D423" t="s">
        <v>5213</v>
      </c>
      <c r="E423" t="s">
        <v>2668</v>
      </c>
      <c r="F423" t="s">
        <v>5634</v>
      </c>
      <c r="G423" t="s">
        <v>5635</v>
      </c>
      <c r="H423" t="s">
        <v>5634</v>
      </c>
      <c r="I423" t="s">
        <v>5636</v>
      </c>
      <c r="J423" t="b">
        <f>VLOOKUP(A423,'Demanda Bruta'!A:BF,58,0)</f>
        <v>1</v>
      </c>
      <c r="K423" t="b">
        <f t="shared" si="6"/>
        <v>1</v>
      </c>
    </row>
    <row r="424" spans="1:11" hidden="1" x14ac:dyDescent="0.25">
      <c r="A424" t="s">
        <v>5222</v>
      </c>
      <c r="B424">
        <v>50934538700</v>
      </c>
      <c r="C424" t="s">
        <v>5225</v>
      </c>
      <c r="D424" t="s">
        <v>5224</v>
      </c>
      <c r="E424" t="s">
        <v>2289</v>
      </c>
      <c r="F424" t="s">
        <v>5634</v>
      </c>
      <c r="G424" t="s">
        <v>5635</v>
      </c>
      <c r="H424" t="s">
        <v>5634</v>
      </c>
      <c r="I424" t="s">
        <v>5636</v>
      </c>
      <c r="J424" t="b">
        <f>VLOOKUP(A424,'Demanda Bruta'!A:BF,58,0)</f>
        <v>1</v>
      </c>
      <c r="K424" t="b">
        <f t="shared" si="6"/>
        <v>1</v>
      </c>
    </row>
    <row r="425" spans="1:11" hidden="1" x14ac:dyDescent="0.25">
      <c r="A425" t="s">
        <v>5233</v>
      </c>
      <c r="B425">
        <v>77174631215</v>
      </c>
      <c r="C425" t="s">
        <v>5236</v>
      </c>
      <c r="D425" t="s">
        <v>5235</v>
      </c>
      <c r="E425" t="s">
        <v>2289</v>
      </c>
      <c r="F425" t="s">
        <v>5634</v>
      </c>
      <c r="G425" t="s">
        <v>5635</v>
      </c>
      <c r="H425" t="s">
        <v>5634</v>
      </c>
      <c r="I425" t="s">
        <v>5636</v>
      </c>
      <c r="J425" t="b">
        <f>VLOOKUP(A425,'Demanda Bruta'!A:BF,58,0)</f>
        <v>1</v>
      </c>
      <c r="K425" t="b">
        <f t="shared" si="6"/>
        <v>1</v>
      </c>
    </row>
    <row r="426" spans="1:11" hidden="1" x14ac:dyDescent="0.25">
      <c r="A426" t="s">
        <v>5244</v>
      </c>
      <c r="B426">
        <v>10071524436</v>
      </c>
      <c r="C426" t="s">
        <v>5247</v>
      </c>
      <c r="D426" t="s">
        <v>5246</v>
      </c>
      <c r="E426" t="s">
        <v>2378</v>
      </c>
      <c r="F426" t="s">
        <v>5634</v>
      </c>
      <c r="G426" t="s">
        <v>5635</v>
      </c>
      <c r="H426" t="s">
        <v>5634</v>
      </c>
      <c r="I426" t="s">
        <v>5636</v>
      </c>
      <c r="J426" t="b">
        <f>VLOOKUP(A426,'Demanda Bruta'!A:BF,58,0)</f>
        <v>1</v>
      </c>
      <c r="K426" t="b">
        <f t="shared" si="6"/>
        <v>1</v>
      </c>
    </row>
    <row r="427" spans="1:11" hidden="1" x14ac:dyDescent="0.25">
      <c r="A427" t="s">
        <v>5256</v>
      </c>
      <c r="B427">
        <v>5432113473</v>
      </c>
      <c r="C427" t="s">
        <v>5259</v>
      </c>
      <c r="D427" t="s">
        <v>5258</v>
      </c>
      <c r="E427" t="s">
        <v>2378</v>
      </c>
      <c r="F427" t="s">
        <v>5634</v>
      </c>
      <c r="G427" t="s">
        <v>5635</v>
      </c>
      <c r="H427" t="s">
        <v>5634</v>
      </c>
      <c r="I427" t="s">
        <v>5636</v>
      </c>
      <c r="J427" t="b">
        <f>VLOOKUP(A427,'Demanda Bruta'!A:BF,58,0)</f>
        <v>1</v>
      </c>
      <c r="K427" t="b">
        <f t="shared" si="6"/>
        <v>1</v>
      </c>
    </row>
    <row r="428" spans="1:11" hidden="1" x14ac:dyDescent="0.25">
      <c r="A428" t="s">
        <v>5268</v>
      </c>
      <c r="B428">
        <v>9476058439</v>
      </c>
      <c r="C428" t="s">
        <v>5271</v>
      </c>
      <c r="D428" t="s">
        <v>5270</v>
      </c>
      <c r="E428" t="s">
        <v>2378</v>
      </c>
      <c r="F428" t="s">
        <v>5634</v>
      </c>
      <c r="G428" t="s">
        <v>5635</v>
      </c>
      <c r="H428" t="s">
        <v>5634</v>
      </c>
      <c r="I428" t="s">
        <v>5636</v>
      </c>
      <c r="J428" t="b">
        <f>VLOOKUP(A428,'Demanda Bruta'!A:BF,58,0)</f>
        <v>1</v>
      </c>
      <c r="K428" t="b">
        <f t="shared" si="6"/>
        <v>1</v>
      </c>
    </row>
    <row r="429" spans="1:11" hidden="1" x14ac:dyDescent="0.25">
      <c r="A429" t="s">
        <v>5279</v>
      </c>
      <c r="B429">
        <v>9064876410</v>
      </c>
      <c r="C429" t="s">
        <v>5282</v>
      </c>
      <c r="D429" t="s">
        <v>5281</v>
      </c>
      <c r="E429" t="s">
        <v>2378</v>
      </c>
      <c r="F429" t="s">
        <v>5634</v>
      </c>
      <c r="G429" t="s">
        <v>5635</v>
      </c>
      <c r="H429" t="s">
        <v>5634</v>
      </c>
      <c r="I429" t="s">
        <v>5636</v>
      </c>
      <c r="J429" t="b">
        <f>VLOOKUP(A429,'Demanda Bruta'!A:BF,58,0)</f>
        <v>1</v>
      </c>
      <c r="K429" t="b">
        <f t="shared" si="6"/>
        <v>1</v>
      </c>
    </row>
    <row r="430" spans="1:11" hidden="1" x14ac:dyDescent="0.25">
      <c r="A430" t="s">
        <v>5291</v>
      </c>
      <c r="B430">
        <v>11323318704</v>
      </c>
      <c r="C430" t="s">
        <v>5294</v>
      </c>
      <c r="D430" t="s">
        <v>5293</v>
      </c>
      <c r="E430" t="s">
        <v>2289</v>
      </c>
      <c r="F430" t="s">
        <v>5634</v>
      </c>
      <c r="G430" t="s">
        <v>5635</v>
      </c>
      <c r="H430" t="s">
        <v>5634</v>
      </c>
      <c r="I430" t="s">
        <v>5636</v>
      </c>
      <c r="J430" t="b">
        <f>VLOOKUP(A430,'Demanda Bruta'!A:BF,58,0)</f>
        <v>1</v>
      </c>
      <c r="K430" t="b">
        <f t="shared" si="6"/>
        <v>1</v>
      </c>
    </row>
    <row r="431" spans="1:11" hidden="1" x14ac:dyDescent="0.25">
      <c r="A431" t="s">
        <v>5302</v>
      </c>
      <c r="B431">
        <v>8310124473</v>
      </c>
      <c r="C431" t="s">
        <v>5305</v>
      </c>
      <c r="D431" t="s">
        <v>5304</v>
      </c>
      <c r="E431" t="s">
        <v>2289</v>
      </c>
      <c r="F431" t="s">
        <v>5634</v>
      </c>
      <c r="G431" t="s">
        <v>5635</v>
      </c>
      <c r="H431" t="s">
        <v>5634</v>
      </c>
      <c r="I431" t="s">
        <v>5636</v>
      </c>
      <c r="J431" t="b">
        <f>VLOOKUP(A431,'Demanda Bruta'!A:BF,58,0)</f>
        <v>1</v>
      </c>
      <c r="K431" t="b">
        <f t="shared" si="6"/>
        <v>1</v>
      </c>
    </row>
    <row r="432" spans="1:11" hidden="1" x14ac:dyDescent="0.25">
      <c r="A432" t="s">
        <v>5313</v>
      </c>
      <c r="B432">
        <v>1544274467</v>
      </c>
      <c r="C432" t="s">
        <v>5316</v>
      </c>
      <c r="D432" t="s">
        <v>5315</v>
      </c>
      <c r="E432" t="s">
        <v>2535</v>
      </c>
      <c r="F432" t="s">
        <v>5634</v>
      </c>
      <c r="G432" t="s">
        <v>5635</v>
      </c>
      <c r="H432" t="s">
        <v>5634</v>
      </c>
      <c r="I432" t="s">
        <v>5636</v>
      </c>
      <c r="J432" t="b">
        <f>VLOOKUP(A432,'Demanda Bruta'!A:BF,58,0)</f>
        <v>1</v>
      </c>
      <c r="K432" t="b">
        <f t="shared" si="6"/>
        <v>1</v>
      </c>
    </row>
    <row r="433" spans="1:11" hidden="1" x14ac:dyDescent="0.25">
      <c r="A433" t="s">
        <v>5324</v>
      </c>
      <c r="B433">
        <v>2783294117</v>
      </c>
      <c r="C433" t="s">
        <v>5327</v>
      </c>
      <c r="D433" t="s">
        <v>5326</v>
      </c>
      <c r="E433" t="s">
        <v>2535</v>
      </c>
      <c r="F433" t="s">
        <v>5634</v>
      </c>
      <c r="G433" t="s">
        <v>5635</v>
      </c>
      <c r="H433" t="s">
        <v>5634</v>
      </c>
      <c r="I433" t="s">
        <v>5636</v>
      </c>
      <c r="J433" t="b">
        <f>VLOOKUP(A433,'Demanda Bruta'!A:BF,58,0)</f>
        <v>1</v>
      </c>
      <c r="K433" t="b">
        <f t="shared" si="6"/>
        <v>1</v>
      </c>
    </row>
    <row r="434" spans="1:11" hidden="1" x14ac:dyDescent="0.25">
      <c r="A434" t="s">
        <v>5336</v>
      </c>
      <c r="B434">
        <v>1539667421</v>
      </c>
      <c r="C434" t="s">
        <v>5339</v>
      </c>
      <c r="D434" t="s">
        <v>5338</v>
      </c>
      <c r="E434" t="s">
        <v>2453</v>
      </c>
      <c r="F434" t="s">
        <v>5634</v>
      </c>
      <c r="G434" t="s">
        <v>5635</v>
      </c>
      <c r="H434" t="s">
        <v>5634</v>
      </c>
      <c r="I434" t="s">
        <v>5636</v>
      </c>
      <c r="J434" t="b">
        <f>VLOOKUP(A434,'Demanda Bruta'!A:BF,58,0)</f>
        <v>1</v>
      </c>
      <c r="K434" t="b">
        <f t="shared" si="6"/>
        <v>1</v>
      </c>
    </row>
    <row r="435" spans="1:11" hidden="1" x14ac:dyDescent="0.25">
      <c r="A435" t="s">
        <v>5347</v>
      </c>
      <c r="B435">
        <v>70252392167</v>
      </c>
      <c r="C435" t="s">
        <v>5350</v>
      </c>
      <c r="D435" t="s">
        <v>5349</v>
      </c>
      <c r="E435" t="s">
        <v>2453</v>
      </c>
      <c r="F435" t="s">
        <v>5634</v>
      </c>
      <c r="G435" t="s">
        <v>5635</v>
      </c>
      <c r="H435" t="s">
        <v>5634</v>
      </c>
      <c r="I435" t="s">
        <v>5636</v>
      </c>
      <c r="J435" t="b">
        <f>VLOOKUP(A435,'Demanda Bruta'!A:BF,58,0)</f>
        <v>1</v>
      </c>
      <c r="K435" t="b">
        <f t="shared" si="6"/>
        <v>1</v>
      </c>
    </row>
    <row r="436" spans="1:11" hidden="1" x14ac:dyDescent="0.25">
      <c r="A436" t="s">
        <v>5358</v>
      </c>
      <c r="B436">
        <v>66749883753</v>
      </c>
      <c r="C436" t="s">
        <v>5361</v>
      </c>
      <c r="D436" t="s">
        <v>5360</v>
      </c>
      <c r="E436" t="s">
        <v>2972</v>
      </c>
      <c r="F436" t="s">
        <v>5634</v>
      </c>
      <c r="G436" t="s">
        <v>5635</v>
      </c>
      <c r="H436" t="s">
        <v>5634</v>
      </c>
      <c r="I436" t="s">
        <v>5636</v>
      </c>
      <c r="J436" t="b">
        <f>VLOOKUP(A436,'Demanda Bruta'!A:BF,58,0)</f>
        <v>1</v>
      </c>
      <c r="K436" t="b">
        <f t="shared" si="6"/>
        <v>1</v>
      </c>
    </row>
    <row r="437" spans="1:11" hidden="1" x14ac:dyDescent="0.25">
      <c r="A437" t="s">
        <v>5369</v>
      </c>
      <c r="B437">
        <v>47039205904</v>
      </c>
      <c r="C437" t="s">
        <v>5372</v>
      </c>
      <c r="D437" t="s">
        <v>5371</v>
      </c>
      <c r="E437" t="s">
        <v>2773</v>
      </c>
      <c r="F437" t="s">
        <v>5634</v>
      </c>
      <c r="G437" t="s">
        <v>5635</v>
      </c>
      <c r="H437" t="s">
        <v>5634</v>
      </c>
      <c r="I437" t="s">
        <v>5636</v>
      </c>
      <c r="J437" t="b">
        <f>VLOOKUP(A437,'Demanda Bruta'!A:BF,58,0)</f>
        <v>1</v>
      </c>
      <c r="K437" t="b">
        <f t="shared" si="6"/>
        <v>1</v>
      </c>
    </row>
    <row r="438" spans="1:11" hidden="1" x14ac:dyDescent="0.25">
      <c r="A438" t="s">
        <v>5380</v>
      </c>
      <c r="B438">
        <v>82359032887</v>
      </c>
      <c r="C438" t="s">
        <v>5383</v>
      </c>
      <c r="D438" t="s">
        <v>5382</v>
      </c>
      <c r="E438" t="s">
        <v>362</v>
      </c>
      <c r="F438" t="s">
        <v>5634</v>
      </c>
      <c r="G438" t="s">
        <v>5635</v>
      </c>
      <c r="H438" t="s">
        <v>5634</v>
      </c>
      <c r="I438" t="s">
        <v>5636</v>
      </c>
      <c r="J438" t="b">
        <f>VLOOKUP(A438,'Demanda Bruta'!A:BF,58,0)</f>
        <v>1</v>
      </c>
      <c r="K438" t="b">
        <f t="shared" si="6"/>
        <v>1</v>
      </c>
    </row>
    <row r="439" spans="1:11" hidden="1" x14ac:dyDescent="0.25">
      <c r="A439" t="s">
        <v>5391</v>
      </c>
      <c r="B439">
        <v>3560943833</v>
      </c>
      <c r="C439" t="s">
        <v>5394</v>
      </c>
      <c r="D439" t="s">
        <v>5393</v>
      </c>
      <c r="E439" t="s">
        <v>182</v>
      </c>
      <c r="F439" t="s">
        <v>5634</v>
      </c>
      <c r="G439" t="s">
        <v>5635</v>
      </c>
      <c r="H439" t="s">
        <v>5634</v>
      </c>
      <c r="I439" t="s">
        <v>5636</v>
      </c>
      <c r="J439" t="b">
        <f>VLOOKUP(A439,'Demanda Bruta'!A:BF,58,0)</f>
        <v>1</v>
      </c>
      <c r="K439" t="b">
        <f t="shared" si="6"/>
        <v>1</v>
      </c>
    </row>
    <row r="440" spans="1:11" hidden="1" x14ac:dyDescent="0.25">
      <c r="A440" t="s">
        <v>5402</v>
      </c>
      <c r="B440">
        <v>31161219072</v>
      </c>
      <c r="C440" t="s">
        <v>5405</v>
      </c>
      <c r="D440" t="s">
        <v>5404</v>
      </c>
      <c r="E440" t="s">
        <v>5409</v>
      </c>
      <c r="F440" t="s">
        <v>5637</v>
      </c>
      <c r="G440" t="s">
        <v>5718</v>
      </c>
      <c r="H440" t="s">
        <v>5637</v>
      </c>
      <c r="I440" t="s">
        <v>5639</v>
      </c>
      <c r="J440" t="b">
        <f>VLOOKUP(A440,'Demanda Bruta'!A:BF,58,0)</f>
        <v>0</v>
      </c>
      <c r="K440" t="b">
        <f t="shared" si="6"/>
        <v>1</v>
      </c>
    </row>
    <row r="441" spans="1:11" hidden="1" x14ac:dyDescent="0.25">
      <c r="A441" t="s">
        <v>5416</v>
      </c>
      <c r="B441">
        <v>95468706091</v>
      </c>
      <c r="C441" t="s">
        <v>5419</v>
      </c>
      <c r="D441" t="s">
        <v>5418</v>
      </c>
      <c r="E441" t="s">
        <v>5422</v>
      </c>
      <c r="F441" t="s">
        <v>5637</v>
      </c>
      <c r="G441" t="s">
        <v>5719</v>
      </c>
      <c r="H441" t="s">
        <v>5637</v>
      </c>
      <c r="I441" t="s">
        <v>5639</v>
      </c>
      <c r="J441" t="b">
        <f>VLOOKUP(A441,'Demanda Bruta'!A:BF,58,0)</f>
        <v>0</v>
      </c>
      <c r="K441" t="b">
        <f t="shared" si="6"/>
        <v>1</v>
      </c>
    </row>
    <row r="442" spans="1:11" hidden="1" x14ac:dyDescent="0.25">
      <c r="A442" t="s">
        <v>5429</v>
      </c>
      <c r="B442">
        <v>9844937191</v>
      </c>
      <c r="C442" t="s">
        <v>5432</v>
      </c>
      <c r="D442" t="s">
        <v>5431</v>
      </c>
      <c r="E442" t="s">
        <v>2225</v>
      </c>
      <c r="F442" t="s">
        <v>5634</v>
      </c>
      <c r="G442" t="s">
        <v>5635</v>
      </c>
      <c r="H442" t="s">
        <v>5634</v>
      </c>
      <c r="I442" t="s">
        <v>5636</v>
      </c>
      <c r="J442" t="b">
        <f>VLOOKUP(A442,'Demanda Bruta'!A:BF,58,0)</f>
        <v>1</v>
      </c>
      <c r="K442" t="b">
        <f t="shared" si="6"/>
        <v>1</v>
      </c>
    </row>
    <row r="443" spans="1:11" hidden="1" x14ac:dyDescent="0.25">
      <c r="A443" t="s">
        <v>5440</v>
      </c>
      <c r="B443">
        <v>51936682400</v>
      </c>
      <c r="C443" t="s">
        <v>5443</v>
      </c>
      <c r="D443" t="s">
        <v>5442</v>
      </c>
      <c r="E443" t="s">
        <v>2043</v>
      </c>
      <c r="F443" t="s">
        <v>5637</v>
      </c>
      <c r="G443" t="s">
        <v>5720</v>
      </c>
      <c r="H443" t="s">
        <v>5637</v>
      </c>
      <c r="I443" t="s">
        <v>5639</v>
      </c>
      <c r="J443" t="b">
        <f>VLOOKUP(A443,'Demanda Bruta'!A:BF,58,0)</f>
        <v>0</v>
      </c>
      <c r="K443" t="b">
        <f t="shared" si="6"/>
        <v>1</v>
      </c>
    </row>
    <row r="444" spans="1:11" hidden="1" x14ac:dyDescent="0.25">
      <c r="A444" t="s">
        <v>5452</v>
      </c>
      <c r="B444">
        <v>7530554735</v>
      </c>
      <c r="C444" t="s">
        <v>5455</v>
      </c>
      <c r="D444" t="s">
        <v>5454</v>
      </c>
      <c r="E444" t="s">
        <v>606</v>
      </c>
      <c r="F444" t="s">
        <v>5637</v>
      </c>
      <c r="G444" t="s">
        <v>5721</v>
      </c>
      <c r="H444" t="s">
        <v>5637</v>
      </c>
      <c r="I444" t="s">
        <v>5639</v>
      </c>
      <c r="J444" t="b">
        <f>VLOOKUP(A444,'Demanda Bruta'!A:BF,58,0)</f>
        <v>0</v>
      </c>
      <c r="K444" t="b">
        <f t="shared" si="6"/>
        <v>1</v>
      </c>
    </row>
    <row r="445" spans="1:11" hidden="1" x14ac:dyDescent="0.25">
      <c r="A445" t="s">
        <v>5464</v>
      </c>
      <c r="B445">
        <v>5971662775</v>
      </c>
      <c r="C445" t="s">
        <v>5467</v>
      </c>
      <c r="D445" t="s">
        <v>5466</v>
      </c>
      <c r="E445" t="s">
        <v>2148</v>
      </c>
      <c r="F445" t="s">
        <v>5634</v>
      </c>
      <c r="G445" t="s">
        <v>5635</v>
      </c>
      <c r="H445" t="s">
        <v>5634</v>
      </c>
      <c r="I445" t="s">
        <v>5636</v>
      </c>
      <c r="J445" t="b">
        <f>VLOOKUP(A445,'Demanda Bruta'!A:BF,58,0)</f>
        <v>1</v>
      </c>
      <c r="K445" t="b">
        <f t="shared" si="6"/>
        <v>1</v>
      </c>
    </row>
    <row r="446" spans="1:11" hidden="1" x14ac:dyDescent="0.25">
      <c r="A446" t="s">
        <v>5475</v>
      </c>
      <c r="B446">
        <v>8940438701</v>
      </c>
      <c r="C446" t="s">
        <v>5478</v>
      </c>
      <c r="D446" t="s">
        <v>5477</v>
      </c>
      <c r="E446" t="s">
        <v>5481</v>
      </c>
      <c r="F446" t="s">
        <v>5634</v>
      </c>
      <c r="G446" t="s">
        <v>5635</v>
      </c>
      <c r="H446" t="s">
        <v>5634</v>
      </c>
      <c r="I446" t="s">
        <v>5636</v>
      </c>
      <c r="J446" t="b">
        <f>VLOOKUP(A446,'Demanda Bruta'!A:BF,58,0)</f>
        <v>1</v>
      </c>
      <c r="K446" t="b">
        <f t="shared" si="6"/>
        <v>1</v>
      </c>
    </row>
    <row r="447" spans="1:11" hidden="1" x14ac:dyDescent="0.25">
      <c r="A447" t="s">
        <v>5488</v>
      </c>
      <c r="B447">
        <v>68827288104</v>
      </c>
      <c r="C447" t="s">
        <v>5491</v>
      </c>
      <c r="D447" t="s">
        <v>5490</v>
      </c>
      <c r="E447" t="s">
        <v>5481</v>
      </c>
      <c r="F447" t="s">
        <v>5634</v>
      </c>
      <c r="G447" t="s">
        <v>5635</v>
      </c>
      <c r="H447" t="s">
        <v>5634</v>
      </c>
      <c r="I447" t="s">
        <v>5636</v>
      </c>
      <c r="J447" t="b">
        <f>VLOOKUP(A447,'Demanda Bruta'!A:BF,58,0)</f>
        <v>1</v>
      </c>
      <c r="K447" t="b">
        <f t="shared" si="6"/>
        <v>1</v>
      </c>
    </row>
    <row r="448" spans="1:11" hidden="1" x14ac:dyDescent="0.25">
      <c r="A448" t="s">
        <v>5499</v>
      </c>
      <c r="B448">
        <v>7695174807</v>
      </c>
      <c r="C448" t="s">
        <v>5502</v>
      </c>
      <c r="D448" t="s">
        <v>5501</v>
      </c>
      <c r="E448" t="s">
        <v>2225</v>
      </c>
      <c r="F448" t="s">
        <v>5637</v>
      </c>
      <c r="G448" t="s">
        <v>5689</v>
      </c>
      <c r="H448" t="s">
        <v>5637</v>
      </c>
      <c r="I448" t="s">
        <v>5639</v>
      </c>
      <c r="J448" t="b">
        <f>VLOOKUP(A448,'Demanda Bruta'!A:BF,58,0)</f>
        <v>0</v>
      </c>
      <c r="K448" t="b">
        <f t="shared" si="6"/>
        <v>1</v>
      </c>
    </row>
    <row r="449" spans="1:11" hidden="1" x14ac:dyDescent="0.25">
      <c r="A449" t="s">
        <v>5510</v>
      </c>
      <c r="B449">
        <v>8301531797</v>
      </c>
      <c r="C449" t="s">
        <v>5513</v>
      </c>
      <c r="D449" t="s">
        <v>5512</v>
      </c>
      <c r="E449" t="s">
        <v>2131</v>
      </c>
      <c r="F449" t="s">
        <v>5634</v>
      </c>
      <c r="G449" t="s">
        <v>5635</v>
      </c>
      <c r="H449" t="s">
        <v>5634</v>
      </c>
      <c r="I449" t="s">
        <v>5636</v>
      </c>
      <c r="J449" t="b">
        <f>VLOOKUP(A449,'Demanda Bruta'!A:BF,58,0)</f>
        <v>1</v>
      </c>
      <c r="K449" t="b">
        <f t="shared" si="6"/>
        <v>1</v>
      </c>
    </row>
    <row r="450" spans="1:11" hidden="1" x14ac:dyDescent="0.25">
      <c r="A450" t="s">
        <v>5521</v>
      </c>
      <c r="B450">
        <v>70971854220</v>
      </c>
      <c r="C450" t="s">
        <v>5524</v>
      </c>
      <c r="D450" t="s">
        <v>5523</v>
      </c>
      <c r="E450" t="s">
        <v>2111</v>
      </c>
      <c r="F450" t="s">
        <v>5634</v>
      </c>
      <c r="G450" t="s">
        <v>5635</v>
      </c>
      <c r="H450" t="s">
        <v>5634</v>
      </c>
      <c r="I450" t="s">
        <v>5636</v>
      </c>
      <c r="J450" t="b">
        <f>VLOOKUP(A450,'Demanda Bruta'!A:BF,58,0)</f>
        <v>1</v>
      </c>
      <c r="K450" t="b">
        <f t="shared" si="6"/>
        <v>1</v>
      </c>
    </row>
    <row r="451" spans="1:11" hidden="1" x14ac:dyDescent="0.25">
      <c r="A451" t="s">
        <v>5533</v>
      </c>
      <c r="B451">
        <v>24520713153</v>
      </c>
      <c r="C451" t="s">
        <v>5536</v>
      </c>
      <c r="D451" t="s">
        <v>5535</v>
      </c>
      <c r="E451" t="s">
        <v>2131</v>
      </c>
      <c r="F451" t="s">
        <v>5634</v>
      </c>
      <c r="G451" t="s">
        <v>5635</v>
      </c>
      <c r="H451" t="s">
        <v>5634</v>
      </c>
      <c r="I451" t="s">
        <v>5636</v>
      </c>
      <c r="J451" t="b">
        <f>VLOOKUP(A451,'Demanda Bruta'!A:BF,58,0)</f>
        <v>1</v>
      </c>
      <c r="K451" t="b">
        <f t="shared" ref="K451:K458" si="7">IF(IF(H451="Sim",TRUE,FALSE)=J451,TRUE,FALSE)</f>
        <v>1</v>
      </c>
    </row>
    <row r="452" spans="1:11" hidden="1" x14ac:dyDescent="0.25">
      <c r="A452" t="s">
        <v>5546</v>
      </c>
      <c r="B452">
        <v>70620377291</v>
      </c>
      <c r="C452" t="s">
        <v>5549</v>
      </c>
      <c r="D452" t="s">
        <v>5548</v>
      </c>
      <c r="E452" t="s">
        <v>2131</v>
      </c>
      <c r="F452" t="s">
        <v>5634</v>
      </c>
      <c r="G452" t="s">
        <v>5635</v>
      </c>
      <c r="H452" t="s">
        <v>5634</v>
      </c>
      <c r="I452" t="s">
        <v>5636</v>
      </c>
      <c r="J452" t="b">
        <f>VLOOKUP(A452,'Demanda Bruta'!A:BF,58,0)</f>
        <v>1</v>
      </c>
      <c r="K452" t="b">
        <f t="shared" si="7"/>
        <v>1</v>
      </c>
    </row>
    <row r="453" spans="1:11" hidden="1" x14ac:dyDescent="0.25">
      <c r="A453" t="s">
        <v>5559</v>
      </c>
      <c r="B453">
        <v>26812790893</v>
      </c>
      <c r="C453" t="s">
        <v>5562</v>
      </c>
      <c r="D453" t="s">
        <v>5561</v>
      </c>
      <c r="E453" t="s">
        <v>2131</v>
      </c>
      <c r="F453" t="s">
        <v>5637</v>
      </c>
      <c r="G453" t="s">
        <v>5648</v>
      </c>
      <c r="H453" t="s">
        <v>5634</v>
      </c>
      <c r="I453" t="s">
        <v>5636</v>
      </c>
      <c r="J453" t="b">
        <f>VLOOKUP(A453,'Demanda Bruta'!A:BF,58,0)</f>
        <v>1</v>
      </c>
      <c r="K453" t="b">
        <f t="shared" si="7"/>
        <v>1</v>
      </c>
    </row>
    <row r="454" spans="1:11" hidden="1" x14ac:dyDescent="0.25">
      <c r="A454" t="s">
        <v>5570</v>
      </c>
      <c r="B454">
        <v>5247563760</v>
      </c>
      <c r="C454" t="s">
        <v>5573</v>
      </c>
      <c r="D454" t="s">
        <v>5572</v>
      </c>
      <c r="E454" t="s">
        <v>2148</v>
      </c>
      <c r="F454" t="s">
        <v>5634</v>
      </c>
      <c r="G454" t="s">
        <v>5635</v>
      </c>
      <c r="H454" t="s">
        <v>5634</v>
      </c>
      <c r="I454" t="s">
        <v>5636</v>
      </c>
      <c r="J454" t="b">
        <f>VLOOKUP(A454,'Demanda Bruta'!A:BF,58,0)</f>
        <v>1</v>
      </c>
      <c r="K454" t="b">
        <f t="shared" si="7"/>
        <v>1</v>
      </c>
    </row>
    <row r="455" spans="1:11" hidden="1" x14ac:dyDescent="0.25">
      <c r="A455" t="s">
        <v>5582</v>
      </c>
      <c r="B455">
        <v>6613196606</v>
      </c>
      <c r="C455" t="s">
        <v>5585</v>
      </c>
      <c r="D455" t="s">
        <v>5584</v>
      </c>
      <c r="E455" t="s">
        <v>2148</v>
      </c>
      <c r="F455" t="s">
        <v>5634</v>
      </c>
      <c r="G455" t="s">
        <v>5635</v>
      </c>
      <c r="H455" t="s">
        <v>5634</v>
      </c>
      <c r="I455" t="s">
        <v>5636</v>
      </c>
      <c r="J455" t="b">
        <f>VLOOKUP(A455,'Demanda Bruta'!A:BF,58,0)</f>
        <v>1</v>
      </c>
      <c r="K455" t="b">
        <f t="shared" si="7"/>
        <v>1</v>
      </c>
    </row>
    <row r="456" spans="1:11" hidden="1" x14ac:dyDescent="0.25">
      <c r="A456" t="s">
        <v>5593</v>
      </c>
      <c r="B456">
        <v>1110293763</v>
      </c>
      <c r="C456" t="s">
        <v>5596</v>
      </c>
      <c r="D456" t="s">
        <v>5595</v>
      </c>
      <c r="E456" t="s">
        <v>2111</v>
      </c>
      <c r="F456" t="s">
        <v>5634</v>
      </c>
      <c r="G456" t="s">
        <v>5635</v>
      </c>
      <c r="H456" t="s">
        <v>5634</v>
      </c>
      <c r="I456" t="s">
        <v>5636</v>
      </c>
      <c r="J456" t="b">
        <f>VLOOKUP(A456,'Demanda Bruta'!A:BF,58,0)</f>
        <v>1</v>
      </c>
      <c r="K456" t="b">
        <f t="shared" si="7"/>
        <v>1</v>
      </c>
    </row>
    <row r="457" spans="1:11" hidden="1" x14ac:dyDescent="0.25">
      <c r="A457" t="s">
        <v>5604</v>
      </c>
      <c r="B457">
        <v>75414902887</v>
      </c>
      <c r="C457" t="s">
        <v>5607</v>
      </c>
      <c r="D457" t="s">
        <v>5606</v>
      </c>
      <c r="E457" t="s">
        <v>5611</v>
      </c>
      <c r="F457" t="s">
        <v>5637</v>
      </c>
      <c r="G457" t="s">
        <v>5722</v>
      </c>
      <c r="H457" t="s">
        <v>5637</v>
      </c>
      <c r="I457" t="s">
        <v>5639</v>
      </c>
      <c r="J457" t="b">
        <f>VLOOKUP(A457,'Demanda Bruta'!A:BF,58,0)</f>
        <v>0</v>
      </c>
      <c r="K457" t="b">
        <f t="shared" si="7"/>
        <v>1</v>
      </c>
    </row>
    <row r="458" spans="1:11" hidden="1" x14ac:dyDescent="0.25">
      <c r="A458" t="s">
        <v>5618</v>
      </c>
      <c r="B458">
        <v>6807789858</v>
      </c>
      <c r="C458" t="s">
        <v>5621</v>
      </c>
      <c r="D458" t="s">
        <v>5620</v>
      </c>
      <c r="E458" t="s">
        <v>1325</v>
      </c>
      <c r="F458" t="s">
        <v>5637</v>
      </c>
      <c r="G458" t="s">
        <v>5723</v>
      </c>
      <c r="H458" t="s">
        <v>5637</v>
      </c>
      <c r="I458" t="s">
        <v>5639</v>
      </c>
      <c r="J458" t="b">
        <f>VLOOKUP(A458,'Demanda Bruta'!A:BF,58,0)</f>
        <v>0</v>
      </c>
      <c r="K458" t="b">
        <f t="shared" si="7"/>
        <v>1</v>
      </c>
    </row>
  </sheetData>
  <autoFilter ref="A1:K458" xr:uid="{1B411476-E97E-499F-88F3-A52976603E96}">
    <filterColumn colId="3">
      <filters>
        <filter val="Niklaus Ursus Wetter"/>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E7E652DB24EDD40B141D342188C77C1" ma:contentTypeVersion="9" ma:contentTypeDescription="Crie um novo documento." ma:contentTypeScope="" ma:versionID="25572e287605f3896b461ff8e062939e">
  <xsd:schema xmlns:xsd="http://www.w3.org/2001/XMLSchema" xmlns:xs="http://www.w3.org/2001/XMLSchema" xmlns:p="http://schemas.microsoft.com/office/2006/metadata/properties" xmlns:ns2="809e3500-baab-4e7a-837c-97f3b2af80f6" targetNamespace="http://schemas.microsoft.com/office/2006/metadata/properties" ma:root="true" ma:fieldsID="a22c0d81d5eb224fd4e0a6ed77283c16" ns2:_="">
    <xsd:import namespace="809e3500-baab-4e7a-837c-97f3b2af80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9e3500-baab-4e7a-837c-97f3b2af80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ba7ab298-c1d5-4671-becd-5691754bddc1"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09e3500-baab-4e7a-837c-97f3b2af80f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D7A521-53FA-46BA-B210-BB3E1FA481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9e3500-baab-4e7a-837c-97f3b2af80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32B406B-3A0C-45F9-8DE0-AFA6470DA71A}">
  <ds:schemaRefs>
    <ds:schemaRef ds:uri="http://schemas.microsoft.com/office/2006/metadata/properties"/>
    <ds:schemaRef ds:uri="http://schemas.microsoft.com/office/infopath/2007/PartnerControls"/>
    <ds:schemaRef ds:uri="809e3500-baab-4e7a-837c-97f3b2af80f6"/>
  </ds:schemaRefs>
</ds:datastoreItem>
</file>

<file path=customXml/itemProps3.xml><?xml version="1.0" encoding="utf-8"?>
<ds:datastoreItem xmlns:ds="http://schemas.openxmlformats.org/officeDocument/2006/customXml" ds:itemID="{31ABABAF-77CB-4832-AA42-73D714EECAB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Demanda Bruta</vt:lpstr>
      <vt:lpstr>Planilha1</vt:lpstr>
      <vt:lpstr>Pré-Seleção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Alberto de Campos e Silva</cp:lastModifiedBy>
  <cp:revision/>
  <dcterms:created xsi:type="dcterms:W3CDTF">2026-07-01T19:14:39Z</dcterms:created>
  <dcterms:modified xsi:type="dcterms:W3CDTF">2026-07-19T16:47:58Z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0x010100DE7E652DB24EDD40B141D342188C77C1</vt:lpwstr>
  </property>
  <property fmtid="{D5CDD505-2E9C-101B-9397-08002B2CF9AE}" pid="3" name="MediaServiceImageTags">
    <vt:lpwstr/>
  </property>
</Properties>
</file>